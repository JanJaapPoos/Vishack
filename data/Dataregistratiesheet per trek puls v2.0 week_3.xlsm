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pulsdata 2018\"/>
    </mc:Choice>
  </mc:AlternateContent>
  <bookViews>
    <workbookView xWindow="0" yWindow="0" windowWidth="15360" windowHeight="8664" tabRatio="822" activeTab="1"/>
  </bookViews>
  <sheets>
    <sheet name="Help" sheetId="41" r:id="rId1"/>
    <sheet name="Invullen" sheetId="42" r:id="rId2"/>
    <sheet name="Kaart" sheetId="43" r:id="rId3"/>
    <sheet name="Printpagina &amp; prijzen" sheetId="46" r:id="rId4"/>
    <sheet name="Soortenlijst" sheetId="44" r:id="rId5"/>
    <sheet name="Sheet leegmaken" sheetId="45" r:id="rId6"/>
    <sheet name="Rect" sheetId="32" state="hidden" r:id="rId7"/>
  </sheets>
  <functionGroups builtInGroupCount="18"/>
  <definedNames>
    <definedName name="_xlnm.Print_Area" localSheetId="0">Help!$A$1:$G$28</definedName>
    <definedName name="_xlnm.Print_Area" localSheetId="1">Invullen!$A$1:$T$254</definedName>
    <definedName name="_xlnm.Print_Area" localSheetId="2">Kaart!$B$1:$K$26</definedName>
    <definedName name="_xlnm.Print_Area" localSheetId="3">'Printpagina &amp; prijzen'!$A$1:$M$256</definedName>
    <definedName name="Rect">OFFSET(Rect!$A$1,0,0,COUNTA(Rect!$A$1:$A$1048477),4)</definedName>
    <definedName name="SpeciesCode">Soortenlijst!$A$2:$A$36</definedName>
    <definedName name="SpeciesCodeFullList">Soortenlijst!$G$2:$G$41</definedName>
  </definedNames>
  <calcPr calcId="162913"/>
</workbook>
</file>

<file path=xl/calcChain.xml><?xml version="1.0" encoding="utf-8"?>
<calcChain xmlns="http://schemas.openxmlformats.org/spreadsheetml/2006/main">
  <c r="S249" i="43" l="1"/>
  <c r="S248" i="43"/>
  <c r="S247" i="43"/>
  <c r="S246" i="43"/>
  <c r="S245" i="43"/>
  <c r="S244" i="43"/>
  <c r="S243" i="43"/>
  <c r="S242" i="43"/>
  <c r="S241" i="43"/>
  <c r="S240" i="43"/>
  <c r="S239" i="43"/>
  <c r="S238" i="43"/>
  <c r="S237" i="43"/>
  <c r="S236" i="43"/>
  <c r="S235" i="43"/>
  <c r="S234" i="43"/>
  <c r="S233" i="43"/>
  <c r="S232" i="43"/>
  <c r="S231" i="43"/>
  <c r="S230" i="43"/>
  <c r="S229" i="43"/>
  <c r="S228" i="43"/>
  <c r="S227" i="43"/>
  <c r="S226" i="43"/>
  <c r="S225" i="43"/>
  <c r="S224" i="43"/>
  <c r="S223" i="43"/>
  <c r="S222" i="43"/>
  <c r="S221" i="43"/>
  <c r="S220" i="43"/>
  <c r="S219" i="43"/>
  <c r="S218" i="43"/>
  <c r="S217" i="43"/>
  <c r="S216" i="43"/>
  <c r="S215" i="43"/>
  <c r="S214" i="43"/>
  <c r="S213" i="43"/>
  <c r="S212" i="43"/>
  <c r="S211" i="43"/>
  <c r="S210" i="43"/>
  <c r="S209" i="43"/>
  <c r="S208" i="43"/>
  <c r="S207" i="43"/>
  <c r="S206" i="43"/>
  <c r="S205" i="43"/>
  <c r="S204" i="43"/>
  <c r="S203" i="43"/>
  <c r="S202" i="43"/>
  <c r="S201" i="43"/>
  <c r="S200" i="43"/>
  <c r="S199" i="43"/>
  <c r="S198" i="43"/>
  <c r="S197" i="43"/>
  <c r="S196" i="43"/>
  <c r="S195" i="43"/>
  <c r="S194" i="43"/>
  <c r="S193" i="43"/>
  <c r="S192" i="43"/>
  <c r="S191" i="43"/>
  <c r="S190" i="43"/>
  <c r="S189" i="43"/>
  <c r="S188" i="43"/>
  <c r="S187" i="43"/>
  <c r="S186" i="43"/>
  <c r="S185" i="43"/>
  <c r="S184" i="43"/>
  <c r="S183" i="43"/>
  <c r="S182" i="43"/>
  <c r="S181" i="43"/>
  <c r="S180" i="43"/>
  <c r="S179" i="43"/>
  <c r="S178" i="43"/>
  <c r="S177" i="43"/>
  <c r="S176" i="43"/>
  <c r="S175" i="43"/>
  <c r="S174" i="43"/>
  <c r="S173" i="43"/>
  <c r="S172" i="43"/>
  <c r="S171" i="43"/>
  <c r="S170" i="43"/>
  <c r="S169" i="43"/>
  <c r="S168" i="43"/>
  <c r="S167" i="43"/>
  <c r="S166" i="43"/>
  <c r="S165" i="43"/>
  <c r="S164" i="43"/>
  <c r="S163" i="43"/>
  <c r="S162" i="43"/>
  <c r="S161" i="43"/>
  <c r="S160" i="43"/>
  <c r="S159" i="43"/>
  <c r="S158" i="43"/>
  <c r="S157" i="43"/>
  <c r="S156" i="43"/>
  <c r="S155" i="43"/>
  <c r="S154" i="43"/>
  <c r="S153" i="43"/>
  <c r="S152" i="43"/>
  <c r="S151" i="43"/>
  <c r="S150" i="43"/>
  <c r="S149" i="43"/>
  <c r="S148" i="43"/>
  <c r="S147" i="43"/>
  <c r="S146" i="43"/>
  <c r="S145" i="43"/>
  <c r="S144" i="43"/>
  <c r="S143" i="43"/>
  <c r="S142" i="43"/>
  <c r="S141" i="43"/>
  <c r="S140" i="43"/>
  <c r="S139" i="43"/>
  <c r="S138" i="43"/>
  <c r="S137" i="43"/>
  <c r="S136" i="43"/>
  <c r="S135" i="43"/>
  <c r="S134" i="43"/>
  <c r="S133" i="43"/>
  <c r="S132" i="43"/>
  <c r="S131" i="43"/>
  <c r="S130" i="43"/>
  <c r="S129" i="43"/>
  <c r="S128" i="43"/>
  <c r="S127" i="43"/>
  <c r="S126" i="43"/>
  <c r="S125" i="43"/>
  <c r="S124" i="43"/>
  <c r="S123" i="43"/>
  <c r="S122" i="43"/>
  <c r="S121" i="43"/>
  <c r="S120" i="43"/>
  <c r="S119" i="43"/>
  <c r="S118" i="43"/>
  <c r="S117" i="43"/>
  <c r="S116" i="43"/>
  <c r="S115" i="43"/>
  <c r="S114" i="43"/>
  <c r="S113" i="43"/>
  <c r="S112" i="43"/>
  <c r="S111" i="43"/>
  <c r="S110" i="43"/>
  <c r="S109" i="43"/>
  <c r="S108" i="43"/>
  <c r="S107" i="43"/>
  <c r="S106" i="43"/>
  <c r="S105" i="43"/>
  <c r="S104" i="43"/>
  <c r="S103" i="43"/>
  <c r="S102" i="43"/>
  <c r="S101" i="43"/>
  <c r="S100" i="43"/>
  <c r="S99" i="43"/>
  <c r="S98" i="43"/>
  <c r="S97" i="43"/>
  <c r="S96" i="43"/>
  <c r="S95" i="43"/>
  <c r="S94" i="43"/>
  <c r="S93" i="43"/>
  <c r="S92" i="43"/>
  <c r="S91" i="43"/>
  <c r="S90" i="43"/>
  <c r="S89" i="43"/>
  <c r="S88" i="43"/>
  <c r="S87" i="43"/>
  <c r="S86" i="43"/>
  <c r="S85" i="43"/>
  <c r="S84" i="43"/>
  <c r="S83" i="43"/>
  <c r="S82" i="43"/>
  <c r="S81" i="43"/>
  <c r="S80" i="43"/>
  <c r="S79" i="43"/>
  <c r="S78" i="43"/>
  <c r="S77" i="43"/>
  <c r="S76" i="43"/>
  <c r="S75" i="43"/>
  <c r="S74" i="43"/>
  <c r="S73" i="43"/>
  <c r="S72" i="43"/>
  <c r="S71" i="43"/>
  <c r="S70" i="43"/>
  <c r="S69" i="43"/>
  <c r="S68" i="43"/>
  <c r="S67" i="43"/>
  <c r="S66" i="43"/>
  <c r="S65" i="43"/>
  <c r="S64" i="43"/>
  <c r="S63" i="43"/>
  <c r="S62" i="43"/>
  <c r="S61" i="43"/>
  <c r="S60" i="43"/>
  <c r="S59" i="43"/>
  <c r="S58" i="43"/>
  <c r="S57" i="43"/>
  <c r="S56" i="43"/>
  <c r="S55" i="43"/>
  <c r="S54" i="43"/>
  <c r="S53" i="43"/>
  <c r="S52" i="43"/>
  <c r="S51" i="43"/>
  <c r="S50" i="43"/>
  <c r="S49" i="43"/>
  <c r="S48" i="43"/>
  <c r="S47" i="43"/>
  <c r="S46" i="43"/>
  <c r="S45" i="43"/>
  <c r="S44" i="43"/>
  <c r="S43" i="43"/>
  <c r="S42" i="43"/>
  <c r="S41" i="43"/>
  <c r="S40" i="43"/>
  <c r="S39" i="43"/>
  <c r="S38" i="43"/>
  <c r="S37" i="43"/>
  <c r="S36" i="43"/>
  <c r="S35" i="43"/>
  <c r="S34" i="43"/>
  <c r="S33" i="43"/>
  <c r="S32" i="43"/>
  <c r="S31" i="43"/>
  <c r="S30" i="43"/>
  <c r="S29" i="43"/>
  <c r="S28" i="43"/>
  <c r="S27" i="43"/>
  <c r="S26" i="43"/>
  <c r="S25" i="43"/>
  <c r="S24" i="43"/>
  <c r="S23" i="43"/>
  <c r="S22" i="43"/>
  <c r="S21" i="43"/>
  <c r="S20" i="43"/>
  <c r="S19" i="43"/>
  <c r="S18" i="43"/>
  <c r="S17" i="43"/>
  <c r="S16" i="43"/>
  <c r="S15" i="43"/>
  <c r="S14" i="43"/>
  <c r="S13" i="43"/>
  <c r="S12" i="43"/>
  <c r="S11" i="43"/>
  <c r="S10" i="43"/>
  <c r="S9" i="43"/>
  <c r="S8" i="43"/>
  <c r="S7" i="43"/>
  <c r="S6" i="43"/>
  <c r="S5" i="43"/>
  <c r="S4" i="43"/>
  <c r="S3" i="43"/>
  <c r="S2" i="43"/>
  <c r="M82" i="43" l="1"/>
  <c r="N82" i="43"/>
  <c r="O82" i="43"/>
  <c r="P82" i="43"/>
  <c r="Q82" i="43" s="1"/>
  <c r="M83" i="43"/>
  <c r="N83" i="43"/>
  <c r="O83" i="43"/>
  <c r="P83" i="43"/>
  <c r="Q83" i="43" s="1"/>
  <c r="M84" i="43"/>
  <c r="N84" i="43"/>
  <c r="O84" i="43"/>
  <c r="P84" i="43"/>
  <c r="Q84" i="43" s="1"/>
  <c r="M85" i="43"/>
  <c r="N85" i="43"/>
  <c r="O85" i="43"/>
  <c r="P85" i="43"/>
  <c r="Q85" i="43" s="1"/>
  <c r="M86" i="43"/>
  <c r="N86" i="43"/>
  <c r="O86" i="43"/>
  <c r="P86" i="43"/>
  <c r="Q86" i="43" s="1"/>
  <c r="M87" i="43"/>
  <c r="N87" i="43"/>
  <c r="O87" i="43"/>
  <c r="P87" i="43"/>
  <c r="Q87" i="43" s="1"/>
  <c r="M88" i="43"/>
  <c r="N88" i="43"/>
  <c r="O88" i="43"/>
  <c r="P88" i="43"/>
  <c r="Q88" i="43" s="1"/>
  <c r="M89" i="43"/>
  <c r="N89" i="43"/>
  <c r="O89" i="43"/>
  <c r="P89" i="43"/>
  <c r="Q89" i="43" s="1"/>
  <c r="M90" i="43"/>
  <c r="N90" i="43"/>
  <c r="O90" i="43"/>
  <c r="P90" i="43"/>
  <c r="Q90" i="43" s="1"/>
  <c r="M91" i="43"/>
  <c r="N91" i="43"/>
  <c r="O91" i="43"/>
  <c r="P91" i="43"/>
  <c r="Q91" i="43" s="1"/>
  <c r="M92" i="43"/>
  <c r="N92" i="43"/>
  <c r="O92" i="43"/>
  <c r="P92" i="43"/>
  <c r="Q92" i="43" s="1"/>
  <c r="M93" i="43"/>
  <c r="N93" i="43"/>
  <c r="O93" i="43"/>
  <c r="P93" i="43"/>
  <c r="Q93" i="43" s="1"/>
  <c r="M94" i="43"/>
  <c r="N94" i="43"/>
  <c r="O94" i="43"/>
  <c r="P94" i="43"/>
  <c r="Q94" i="43" s="1"/>
  <c r="M95" i="43"/>
  <c r="N95" i="43"/>
  <c r="O95" i="43"/>
  <c r="P95" i="43"/>
  <c r="Q95" i="43" s="1"/>
  <c r="M96" i="43"/>
  <c r="N96" i="43"/>
  <c r="O96" i="43"/>
  <c r="P96" i="43"/>
  <c r="Q96" i="43" s="1"/>
  <c r="M97" i="43"/>
  <c r="N97" i="43"/>
  <c r="O97" i="43"/>
  <c r="P97" i="43"/>
  <c r="Q97" i="43" s="1"/>
  <c r="M98" i="43"/>
  <c r="N98" i="43"/>
  <c r="O98" i="43"/>
  <c r="P98" i="43"/>
  <c r="Q98" i="43" s="1"/>
  <c r="M99" i="43"/>
  <c r="N99" i="43"/>
  <c r="O99" i="43"/>
  <c r="P99" i="43"/>
  <c r="Q99" i="43" s="1"/>
  <c r="M100" i="43"/>
  <c r="N100" i="43"/>
  <c r="O100" i="43"/>
  <c r="P100" i="43"/>
  <c r="Q100" i="43" s="1"/>
  <c r="M101" i="43"/>
  <c r="N101" i="43"/>
  <c r="O101" i="43"/>
  <c r="P101" i="43"/>
  <c r="Q101" i="43" s="1"/>
  <c r="M102" i="43"/>
  <c r="N102" i="43"/>
  <c r="O102" i="43"/>
  <c r="P102" i="43"/>
  <c r="Q102" i="43" s="1"/>
  <c r="M103" i="43"/>
  <c r="N103" i="43"/>
  <c r="O103" i="43"/>
  <c r="P103" i="43"/>
  <c r="Q103" i="43" s="1"/>
  <c r="M104" i="43"/>
  <c r="N104" i="43"/>
  <c r="O104" i="43"/>
  <c r="P104" i="43"/>
  <c r="Q104" i="43" s="1"/>
  <c r="M105" i="43"/>
  <c r="N105" i="43"/>
  <c r="O105" i="43"/>
  <c r="P105" i="43"/>
  <c r="Q105" i="43" s="1"/>
  <c r="M106" i="43"/>
  <c r="N106" i="43"/>
  <c r="O106" i="43"/>
  <c r="P106" i="43"/>
  <c r="Q106" i="43" s="1"/>
  <c r="M107" i="43"/>
  <c r="N107" i="43"/>
  <c r="O107" i="43"/>
  <c r="P107" i="43"/>
  <c r="Q107" i="43" s="1"/>
  <c r="M108" i="43"/>
  <c r="N108" i="43"/>
  <c r="O108" i="43"/>
  <c r="P108" i="43"/>
  <c r="Q108" i="43" s="1"/>
  <c r="M109" i="43"/>
  <c r="N109" i="43"/>
  <c r="O109" i="43"/>
  <c r="P109" i="43"/>
  <c r="Q109" i="43" s="1"/>
  <c r="M110" i="43"/>
  <c r="N110" i="43"/>
  <c r="O110" i="43"/>
  <c r="P110" i="43"/>
  <c r="Q110" i="43" s="1"/>
  <c r="M111" i="43"/>
  <c r="N111" i="43"/>
  <c r="O111" i="43"/>
  <c r="P111" i="43"/>
  <c r="Q111" i="43" s="1"/>
  <c r="M112" i="43"/>
  <c r="N112" i="43"/>
  <c r="O112" i="43"/>
  <c r="P112" i="43"/>
  <c r="Q112" i="43" s="1"/>
  <c r="M113" i="43"/>
  <c r="N113" i="43"/>
  <c r="O113" i="43"/>
  <c r="P113" i="43"/>
  <c r="Q113" i="43" s="1"/>
  <c r="M114" i="43"/>
  <c r="N114" i="43"/>
  <c r="O114" i="43"/>
  <c r="P114" i="43"/>
  <c r="Q114" i="43" s="1"/>
  <c r="M115" i="43"/>
  <c r="N115" i="43"/>
  <c r="O115" i="43"/>
  <c r="P115" i="43"/>
  <c r="Q115" i="43" s="1"/>
  <c r="M116" i="43"/>
  <c r="N116" i="43"/>
  <c r="O116" i="43"/>
  <c r="P116" i="43"/>
  <c r="Q116" i="43" s="1"/>
  <c r="M117" i="43"/>
  <c r="N117" i="43"/>
  <c r="O117" i="43"/>
  <c r="P117" i="43"/>
  <c r="Q117" i="43" s="1"/>
  <c r="M118" i="43"/>
  <c r="N118" i="43"/>
  <c r="O118" i="43"/>
  <c r="P118" i="43"/>
  <c r="Q118" i="43" s="1"/>
  <c r="M119" i="43"/>
  <c r="N119" i="43"/>
  <c r="O119" i="43"/>
  <c r="P119" i="43"/>
  <c r="Q119" i="43" s="1"/>
  <c r="M120" i="43"/>
  <c r="N120" i="43"/>
  <c r="O120" i="43"/>
  <c r="P120" i="43"/>
  <c r="Q120" i="43" s="1"/>
  <c r="M121" i="43"/>
  <c r="N121" i="43"/>
  <c r="O121" i="43"/>
  <c r="P121" i="43"/>
  <c r="Q121" i="43" s="1"/>
  <c r="M122" i="43"/>
  <c r="N122" i="43"/>
  <c r="O122" i="43"/>
  <c r="P122" i="43"/>
  <c r="Q122" i="43" s="1"/>
  <c r="M123" i="43"/>
  <c r="N123" i="43"/>
  <c r="O123" i="43"/>
  <c r="P123" i="43"/>
  <c r="Q123" i="43" s="1"/>
  <c r="M124" i="43"/>
  <c r="N124" i="43"/>
  <c r="O124" i="43"/>
  <c r="P124" i="43"/>
  <c r="Q124" i="43" s="1"/>
  <c r="M125" i="43"/>
  <c r="N125" i="43"/>
  <c r="O125" i="43"/>
  <c r="P125" i="43"/>
  <c r="Q125" i="43" s="1"/>
  <c r="M126" i="43"/>
  <c r="N126" i="43"/>
  <c r="O126" i="43"/>
  <c r="P126" i="43"/>
  <c r="Q126" i="43" s="1"/>
  <c r="M127" i="43"/>
  <c r="N127" i="43"/>
  <c r="O127" i="43"/>
  <c r="P127" i="43"/>
  <c r="Q127" i="43" s="1"/>
  <c r="M128" i="43"/>
  <c r="N128" i="43"/>
  <c r="O128" i="43"/>
  <c r="P128" i="43"/>
  <c r="Q128" i="43" s="1"/>
  <c r="M129" i="43"/>
  <c r="N129" i="43"/>
  <c r="O129" i="43"/>
  <c r="P129" i="43"/>
  <c r="Q129" i="43" s="1"/>
  <c r="M130" i="43"/>
  <c r="N130" i="43"/>
  <c r="O130" i="43"/>
  <c r="P130" i="43"/>
  <c r="Q130" i="43" s="1"/>
  <c r="M131" i="43"/>
  <c r="N131" i="43"/>
  <c r="O131" i="43"/>
  <c r="P131" i="43"/>
  <c r="Q131" i="43" s="1"/>
  <c r="M132" i="43"/>
  <c r="N132" i="43"/>
  <c r="O132" i="43"/>
  <c r="P132" i="43"/>
  <c r="Q132" i="43" s="1"/>
  <c r="M133" i="43"/>
  <c r="N133" i="43"/>
  <c r="O133" i="43"/>
  <c r="P133" i="43"/>
  <c r="Q133" i="43" s="1"/>
  <c r="M134" i="43"/>
  <c r="N134" i="43"/>
  <c r="O134" i="43"/>
  <c r="P134" i="43"/>
  <c r="Q134" i="43" s="1"/>
  <c r="M135" i="43"/>
  <c r="N135" i="43"/>
  <c r="O135" i="43"/>
  <c r="P135" i="43"/>
  <c r="Q135" i="43" s="1"/>
  <c r="M136" i="43"/>
  <c r="N136" i="43"/>
  <c r="O136" i="43"/>
  <c r="P136" i="43"/>
  <c r="Q136" i="43" s="1"/>
  <c r="M137" i="43"/>
  <c r="N137" i="43"/>
  <c r="O137" i="43"/>
  <c r="P137" i="43"/>
  <c r="Q137" i="43" s="1"/>
  <c r="M138" i="43"/>
  <c r="N138" i="43"/>
  <c r="O138" i="43"/>
  <c r="P138" i="43"/>
  <c r="Q138" i="43" s="1"/>
  <c r="M139" i="43"/>
  <c r="N139" i="43"/>
  <c r="O139" i="43"/>
  <c r="P139" i="43"/>
  <c r="Q139" i="43" s="1"/>
  <c r="M140" i="43"/>
  <c r="N140" i="43"/>
  <c r="O140" i="43"/>
  <c r="P140" i="43"/>
  <c r="Q140" i="43" s="1"/>
  <c r="M141" i="43"/>
  <c r="N141" i="43"/>
  <c r="O141" i="43"/>
  <c r="P141" i="43"/>
  <c r="Q141" i="43" s="1"/>
  <c r="M142" i="43"/>
  <c r="N142" i="43"/>
  <c r="O142" i="43"/>
  <c r="P142" i="43"/>
  <c r="Q142" i="43" s="1"/>
  <c r="M143" i="43"/>
  <c r="N143" i="43"/>
  <c r="O143" i="43"/>
  <c r="P143" i="43"/>
  <c r="Q143" i="43" s="1"/>
  <c r="M144" i="43"/>
  <c r="N144" i="43"/>
  <c r="O144" i="43"/>
  <c r="P144" i="43"/>
  <c r="Q144" i="43" s="1"/>
  <c r="M145" i="43"/>
  <c r="N145" i="43"/>
  <c r="O145" i="43"/>
  <c r="P145" i="43"/>
  <c r="Q145" i="43" s="1"/>
  <c r="M146" i="43"/>
  <c r="N146" i="43"/>
  <c r="O146" i="43"/>
  <c r="P146" i="43"/>
  <c r="Q146" i="43" s="1"/>
  <c r="M147" i="43"/>
  <c r="N147" i="43"/>
  <c r="O147" i="43"/>
  <c r="P147" i="43"/>
  <c r="Q147" i="43" s="1"/>
  <c r="M148" i="43"/>
  <c r="N148" i="43"/>
  <c r="O148" i="43"/>
  <c r="P148" i="43"/>
  <c r="Q148" i="43" s="1"/>
  <c r="M149" i="43"/>
  <c r="N149" i="43"/>
  <c r="O149" i="43"/>
  <c r="P149" i="43"/>
  <c r="Q149" i="43" s="1"/>
  <c r="M150" i="43"/>
  <c r="N150" i="43"/>
  <c r="O150" i="43"/>
  <c r="P150" i="43"/>
  <c r="Q150" i="43" s="1"/>
  <c r="M151" i="43"/>
  <c r="N151" i="43"/>
  <c r="O151" i="43"/>
  <c r="P151" i="43"/>
  <c r="Q151" i="43" s="1"/>
  <c r="M152" i="43"/>
  <c r="N152" i="43"/>
  <c r="O152" i="43"/>
  <c r="P152" i="43"/>
  <c r="Q152" i="43" s="1"/>
  <c r="M153" i="43"/>
  <c r="N153" i="43"/>
  <c r="O153" i="43"/>
  <c r="P153" i="43"/>
  <c r="Q153" i="43" s="1"/>
  <c r="M154" i="43"/>
  <c r="N154" i="43"/>
  <c r="O154" i="43"/>
  <c r="P154" i="43"/>
  <c r="Q154" i="43" s="1"/>
  <c r="M155" i="43"/>
  <c r="N155" i="43"/>
  <c r="O155" i="43"/>
  <c r="P155" i="43"/>
  <c r="Q155" i="43" s="1"/>
  <c r="M156" i="43"/>
  <c r="N156" i="43"/>
  <c r="O156" i="43"/>
  <c r="P156" i="43"/>
  <c r="Q156" i="43" s="1"/>
  <c r="M157" i="43"/>
  <c r="N157" i="43"/>
  <c r="O157" i="43"/>
  <c r="P157" i="43"/>
  <c r="Q157" i="43" s="1"/>
  <c r="M158" i="43"/>
  <c r="N158" i="43"/>
  <c r="O158" i="43"/>
  <c r="P158" i="43"/>
  <c r="Q158" i="43" s="1"/>
  <c r="M159" i="43"/>
  <c r="N159" i="43"/>
  <c r="O159" i="43"/>
  <c r="P159" i="43"/>
  <c r="Q159" i="43" s="1"/>
  <c r="M160" i="43"/>
  <c r="N160" i="43"/>
  <c r="O160" i="43"/>
  <c r="P160" i="43"/>
  <c r="Q160" i="43" s="1"/>
  <c r="M161" i="43"/>
  <c r="N161" i="43"/>
  <c r="O161" i="43"/>
  <c r="P161" i="43"/>
  <c r="Q161" i="43" s="1"/>
  <c r="M162" i="43"/>
  <c r="N162" i="43"/>
  <c r="O162" i="43"/>
  <c r="P162" i="43"/>
  <c r="Q162" i="43" s="1"/>
  <c r="M163" i="43"/>
  <c r="N163" i="43"/>
  <c r="O163" i="43"/>
  <c r="P163" i="43"/>
  <c r="Q163" i="43" s="1"/>
  <c r="M164" i="43"/>
  <c r="N164" i="43"/>
  <c r="O164" i="43"/>
  <c r="P164" i="43"/>
  <c r="Q164" i="43" s="1"/>
  <c r="M165" i="43"/>
  <c r="N165" i="43"/>
  <c r="O165" i="43"/>
  <c r="P165" i="43"/>
  <c r="Q165" i="43" s="1"/>
  <c r="M166" i="43"/>
  <c r="N166" i="43"/>
  <c r="O166" i="43"/>
  <c r="P166" i="43"/>
  <c r="Q166" i="43" s="1"/>
  <c r="M167" i="43"/>
  <c r="N167" i="43"/>
  <c r="O167" i="43"/>
  <c r="P167" i="43"/>
  <c r="Q167" i="43" s="1"/>
  <c r="M168" i="43"/>
  <c r="N168" i="43"/>
  <c r="O168" i="43"/>
  <c r="P168" i="43"/>
  <c r="Q168" i="43" s="1"/>
  <c r="M169" i="43"/>
  <c r="N169" i="43"/>
  <c r="O169" i="43"/>
  <c r="P169" i="43"/>
  <c r="Q169" i="43" s="1"/>
  <c r="M170" i="43"/>
  <c r="N170" i="43"/>
  <c r="O170" i="43"/>
  <c r="P170" i="43"/>
  <c r="Q170" i="43" s="1"/>
  <c r="M171" i="43"/>
  <c r="N171" i="43"/>
  <c r="O171" i="43"/>
  <c r="P171" i="43"/>
  <c r="Q171" i="43" s="1"/>
  <c r="M172" i="43"/>
  <c r="N172" i="43"/>
  <c r="O172" i="43"/>
  <c r="P172" i="43"/>
  <c r="Q172" i="43" s="1"/>
  <c r="M173" i="43"/>
  <c r="N173" i="43"/>
  <c r="O173" i="43"/>
  <c r="P173" i="43"/>
  <c r="Q173" i="43" s="1"/>
  <c r="M174" i="43"/>
  <c r="N174" i="43"/>
  <c r="O174" i="43"/>
  <c r="P174" i="43"/>
  <c r="Q174" i="43" s="1"/>
  <c r="M175" i="43"/>
  <c r="N175" i="43"/>
  <c r="O175" i="43"/>
  <c r="P175" i="43"/>
  <c r="Q175" i="43" s="1"/>
  <c r="M176" i="43"/>
  <c r="N176" i="43"/>
  <c r="O176" i="43"/>
  <c r="P176" i="43"/>
  <c r="Q176" i="43" s="1"/>
  <c r="M177" i="43"/>
  <c r="N177" i="43"/>
  <c r="O177" i="43"/>
  <c r="P177" i="43"/>
  <c r="Q177" i="43" s="1"/>
  <c r="M178" i="43"/>
  <c r="N178" i="43"/>
  <c r="O178" i="43"/>
  <c r="P178" i="43"/>
  <c r="Q178" i="43" s="1"/>
  <c r="M179" i="43"/>
  <c r="N179" i="43"/>
  <c r="O179" i="43"/>
  <c r="P179" i="43"/>
  <c r="Q179" i="43" s="1"/>
  <c r="M180" i="43"/>
  <c r="N180" i="43"/>
  <c r="O180" i="43"/>
  <c r="P180" i="43"/>
  <c r="Q180" i="43" s="1"/>
  <c r="M181" i="43"/>
  <c r="N181" i="43"/>
  <c r="O181" i="43"/>
  <c r="P181" i="43"/>
  <c r="Q181" i="43" s="1"/>
  <c r="M182" i="43"/>
  <c r="N182" i="43"/>
  <c r="O182" i="43"/>
  <c r="P182" i="43"/>
  <c r="Q182" i="43" s="1"/>
  <c r="M183" i="43"/>
  <c r="N183" i="43"/>
  <c r="O183" i="43"/>
  <c r="P183" i="43"/>
  <c r="Q183" i="43" s="1"/>
  <c r="M184" i="43"/>
  <c r="N184" i="43"/>
  <c r="O184" i="43"/>
  <c r="P184" i="43"/>
  <c r="Q184" i="43" s="1"/>
  <c r="M185" i="43"/>
  <c r="N185" i="43"/>
  <c r="O185" i="43"/>
  <c r="P185" i="43"/>
  <c r="Q185" i="43" s="1"/>
  <c r="M186" i="43"/>
  <c r="N186" i="43"/>
  <c r="O186" i="43"/>
  <c r="P186" i="43"/>
  <c r="Q186" i="43" s="1"/>
  <c r="M187" i="43"/>
  <c r="N187" i="43"/>
  <c r="O187" i="43"/>
  <c r="P187" i="43"/>
  <c r="Q187" i="43" s="1"/>
  <c r="M188" i="43"/>
  <c r="N188" i="43"/>
  <c r="O188" i="43"/>
  <c r="P188" i="43"/>
  <c r="Q188" i="43" s="1"/>
  <c r="M189" i="43"/>
  <c r="N189" i="43"/>
  <c r="O189" i="43"/>
  <c r="P189" i="43"/>
  <c r="Q189" i="43" s="1"/>
  <c r="M190" i="43"/>
  <c r="N190" i="43"/>
  <c r="O190" i="43"/>
  <c r="P190" i="43"/>
  <c r="Q190" i="43" s="1"/>
  <c r="M191" i="43"/>
  <c r="N191" i="43"/>
  <c r="O191" i="43"/>
  <c r="P191" i="43"/>
  <c r="Q191" i="43" s="1"/>
  <c r="M192" i="43"/>
  <c r="N192" i="43"/>
  <c r="O192" i="43"/>
  <c r="P192" i="43"/>
  <c r="Q192" i="43" s="1"/>
  <c r="M193" i="43"/>
  <c r="N193" i="43"/>
  <c r="O193" i="43"/>
  <c r="P193" i="43"/>
  <c r="Q193" i="43" s="1"/>
  <c r="M194" i="43"/>
  <c r="N194" i="43"/>
  <c r="O194" i="43"/>
  <c r="P194" i="43"/>
  <c r="Q194" i="43" s="1"/>
  <c r="M195" i="43"/>
  <c r="N195" i="43"/>
  <c r="O195" i="43"/>
  <c r="P195" i="43"/>
  <c r="Q195" i="43" s="1"/>
  <c r="M196" i="43"/>
  <c r="N196" i="43"/>
  <c r="O196" i="43"/>
  <c r="P196" i="43"/>
  <c r="Q196" i="43" s="1"/>
  <c r="M197" i="43"/>
  <c r="N197" i="43"/>
  <c r="O197" i="43"/>
  <c r="P197" i="43"/>
  <c r="Q197" i="43" s="1"/>
  <c r="M198" i="43"/>
  <c r="N198" i="43"/>
  <c r="O198" i="43"/>
  <c r="P198" i="43"/>
  <c r="Q198" i="43" s="1"/>
  <c r="M199" i="43"/>
  <c r="N199" i="43"/>
  <c r="O199" i="43"/>
  <c r="P199" i="43"/>
  <c r="Q199" i="43" s="1"/>
  <c r="M200" i="43"/>
  <c r="N200" i="43"/>
  <c r="O200" i="43"/>
  <c r="P200" i="43"/>
  <c r="Q200" i="43" s="1"/>
  <c r="M201" i="43"/>
  <c r="N201" i="43"/>
  <c r="O201" i="43"/>
  <c r="P201" i="43"/>
  <c r="Q201" i="43" s="1"/>
  <c r="M202" i="43"/>
  <c r="N202" i="43"/>
  <c r="O202" i="43"/>
  <c r="P202" i="43"/>
  <c r="Q202" i="43" s="1"/>
  <c r="M203" i="43"/>
  <c r="N203" i="43"/>
  <c r="O203" i="43"/>
  <c r="P203" i="43"/>
  <c r="Q203" i="43" s="1"/>
  <c r="M204" i="43"/>
  <c r="N204" i="43"/>
  <c r="O204" i="43"/>
  <c r="P204" i="43"/>
  <c r="Q204" i="43" s="1"/>
  <c r="M205" i="43"/>
  <c r="N205" i="43"/>
  <c r="O205" i="43"/>
  <c r="P205" i="43"/>
  <c r="Q205" i="43" s="1"/>
  <c r="M206" i="43"/>
  <c r="N206" i="43"/>
  <c r="O206" i="43"/>
  <c r="P206" i="43"/>
  <c r="Q206" i="43" s="1"/>
  <c r="M207" i="43"/>
  <c r="N207" i="43"/>
  <c r="O207" i="43"/>
  <c r="P207" i="43"/>
  <c r="Q207" i="43" s="1"/>
  <c r="M208" i="43"/>
  <c r="N208" i="43"/>
  <c r="O208" i="43"/>
  <c r="P208" i="43"/>
  <c r="Q208" i="43" s="1"/>
  <c r="M209" i="43"/>
  <c r="N209" i="43"/>
  <c r="O209" i="43"/>
  <c r="P209" i="43"/>
  <c r="Q209" i="43" s="1"/>
  <c r="M210" i="43"/>
  <c r="N210" i="43"/>
  <c r="O210" i="43"/>
  <c r="P210" i="43"/>
  <c r="Q210" i="43" s="1"/>
  <c r="M211" i="43"/>
  <c r="N211" i="43"/>
  <c r="O211" i="43"/>
  <c r="P211" i="43"/>
  <c r="Q211" i="43" s="1"/>
  <c r="M212" i="43"/>
  <c r="N212" i="43"/>
  <c r="O212" i="43"/>
  <c r="P212" i="43"/>
  <c r="Q212" i="43" s="1"/>
  <c r="M213" i="43"/>
  <c r="N213" i="43"/>
  <c r="O213" i="43"/>
  <c r="P213" i="43"/>
  <c r="Q213" i="43" s="1"/>
  <c r="M214" i="43"/>
  <c r="N214" i="43"/>
  <c r="O214" i="43"/>
  <c r="P214" i="43"/>
  <c r="Q214" i="43" s="1"/>
  <c r="M215" i="43"/>
  <c r="N215" i="43"/>
  <c r="O215" i="43"/>
  <c r="P215" i="43"/>
  <c r="Q215" i="43" s="1"/>
  <c r="M216" i="43"/>
  <c r="N216" i="43"/>
  <c r="O216" i="43"/>
  <c r="P216" i="43"/>
  <c r="Q216" i="43" s="1"/>
  <c r="M217" i="43"/>
  <c r="N217" i="43"/>
  <c r="O217" i="43"/>
  <c r="P217" i="43"/>
  <c r="Q217" i="43" s="1"/>
  <c r="M218" i="43"/>
  <c r="N218" i="43"/>
  <c r="O218" i="43"/>
  <c r="P218" i="43"/>
  <c r="Q218" i="43" s="1"/>
  <c r="M219" i="43"/>
  <c r="N219" i="43"/>
  <c r="O219" i="43"/>
  <c r="P219" i="43"/>
  <c r="Q219" i="43" s="1"/>
  <c r="M220" i="43"/>
  <c r="N220" i="43"/>
  <c r="O220" i="43"/>
  <c r="P220" i="43"/>
  <c r="Q220" i="43" s="1"/>
  <c r="M221" i="43"/>
  <c r="N221" i="43"/>
  <c r="O221" i="43"/>
  <c r="P221" i="43"/>
  <c r="Q221" i="43" s="1"/>
  <c r="M222" i="43"/>
  <c r="N222" i="43"/>
  <c r="O222" i="43"/>
  <c r="P222" i="43"/>
  <c r="Q222" i="43" s="1"/>
  <c r="M223" i="43"/>
  <c r="N223" i="43"/>
  <c r="O223" i="43"/>
  <c r="P223" i="43"/>
  <c r="Q223" i="43" s="1"/>
  <c r="M224" i="43"/>
  <c r="N224" i="43"/>
  <c r="O224" i="43"/>
  <c r="P224" i="43"/>
  <c r="Q224" i="43" s="1"/>
  <c r="M225" i="43"/>
  <c r="N225" i="43"/>
  <c r="O225" i="43"/>
  <c r="P225" i="43"/>
  <c r="Q225" i="43" s="1"/>
  <c r="M226" i="43"/>
  <c r="N226" i="43"/>
  <c r="O226" i="43"/>
  <c r="P226" i="43"/>
  <c r="Q226" i="43" s="1"/>
  <c r="M227" i="43"/>
  <c r="N227" i="43"/>
  <c r="O227" i="43"/>
  <c r="P227" i="43"/>
  <c r="Q227" i="43" s="1"/>
  <c r="M228" i="43"/>
  <c r="N228" i="43"/>
  <c r="O228" i="43"/>
  <c r="P228" i="43"/>
  <c r="Q228" i="43" s="1"/>
  <c r="M229" i="43"/>
  <c r="N229" i="43"/>
  <c r="O229" i="43"/>
  <c r="P229" i="43"/>
  <c r="Q229" i="43" s="1"/>
  <c r="M230" i="43"/>
  <c r="N230" i="43"/>
  <c r="O230" i="43"/>
  <c r="P230" i="43"/>
  <c r="Q230" i="43" s="1"/>
  <c r="M231" i="43"/>
  <c r="N231" i="43"/>
  <c r="O231" i="43"/>
  <c r="P231" i="43"/>
  <c r="Q231" i="43" s="1"/>
  <c r="M232" i="43"/>
  <c r="N232" i="43"/>
  <c r="O232" i="43"/>
  <c r="P232" i="43"/>
  <c r="Q232" i="43" s="1"/>
  <c r="M233" i="43"/>
  <c r="N233" i="43"/>
  <c r="O233" i="43"/>
  <c r="P233" i="43"/>
  <c r="Q233" i="43" s="1"/>
  <c r="M234" i="43"/>
  <c r="N234" i="43"/>
  <c r="O234" i="43"/>
  <c r="P234" i="43"/>
  <c r="Q234" i="43" s="1"/>
  <c r="M235" i="43"/>
  <c r="N235" i="43"/>
  <c r="O235" i="43"/>
  <c r="P235" i="43"/>
  <c r="Q235" i="43" s="1"/>
  <c r="M236" i="43"/>
  <c r="N236" i="43"/>
  <c r="O236" i="43"/>
  <c r="P236" i="43"/>
  <c r="Q236" i="43" s="1"/>
  <c r="M237" i="43"/>
  <c r="N237" i="43"/>
  <c r="O237" i="43"/>
  <c r="P237" i="43"/>
  <c r="Q237" i="43" s="1"/>
  <c r="M238" i="43"/>
  <c r="N238" i="43"/>
  <c r="O238" i="43"/>
  <c r="P238" i="43"/>
  <c r="Q238" i="43" s="1"/>
  <c r="M239" i="43"/>
  <c r="N239" i="43"/>
  <c r="O239" i="43"/>
  <c r="P239" i="43"/>
  <c r="Q239" i="43" s="1"/>
  <c r="M240" i="43"/>
  <c r="N240" i="43"/>
  <c r="O240" i="43"/>
  <c r="P240" i="43"/>
  <c r="Q240" i="43" s="1"/>
  <c r="M241" i="43"/>
  <c r="N241" i="43"/>
  <c r="O241" i="43"/>
  <c r="P241" i="43"/>
  <c r="Q241" i="43" s="1"/>
  <c r="M242" i="43"/>
  <c r="N242" i="43"/>
  <c r="O242" i="43"/>
  <c r="P242" i="43"/>
  <c r="Q242" i="43" s="1"/>
  <c r="M243" i="43"/>
  <c r="N243" i="43"/>
  <c r="O243" i="43"/>
  <c r="P243" i="43"/>
  <c r="Q243" i="43" s="1"/>
  <c r="M244" i="43"/>
  <c r="N244" i="43"/>
  <c r="O244" i="43"/>
  <c r="P244" i="43"/>
  <c r="Q244" i="43" s="1"/>
  <c r="M245" i="43"/>
  <c r="N245" i="43"/>
  <c r="O245" i="43"/>
  <c r="P245" i="43"/>
  <c r="Q245" i="43" s="1"/>
  <c r="M246" i="43"/>
  <c r="N246" i="43"/>
  <c r="O246" i="43"/>
  <c r="P246" i="43"/>
  <c r="Q246" i="43" s="1"/>
  <c r="M247" i="43"/>
  <c r="N247" i="43"/>
  <c r="O247" i="43"/>
  <c r="P247" i="43"/>
  <c r="Q247" i="43" s="1"/>
  <c r="M248" i="43"/>
  <c r="N248" i="43"/>
  <c r="O248" i="43"/>
  <c r="P248" i="43"/>
  <c r="Q248" i="43" s="1"/>
  <c r="M249" i="43"/>
  <c r="N249" i="43"/>
  <c r="O249" i="43"/>
  <c r="P249" i="43"/>
  <c r="Q249" i="43" s="1"/>
  <c r="I7" i="46"/>
  <c r="L4" i="46" l="1"/>
  <c r="J4" i="46"/>
  <c r="K8" i="46"/>
  <c r="L8" i="46"/>
  <c r="K9" i="46"/>
  <c r="L9" i="46"/>
  <c r="K10" i="46"/>
  <c r="L10" i="46" s="1"/>
  <c r="K11" i="46"/>
  <c r="L11" i="46"/>
  <c r="K12" i="46"/>
  <c r="L12" i="46"/>
  <c r="K13" i="46"/>
  <c r="L13" i="46"/>
  <c r="K14" i="46"/>
  <c r="L14" i="46"/>
  <c r="K15" i="46"/>
  <c r="L15" i="46"/>
  <c r="K16" i="46"/>
  <c r="L16" i="46"/>
  <c r="K17" i="46"/>
  <c r="L17" i="46" s="1"/>
  <c r="K18" i="46"/>
  <c r="L18" i="46"/>
  <c r="K19" i="46"/>
  <c r="L19" i="46"/>
  <c r="K20" i="46"/>
  <c r="L20" i="46"/>
  <c r="K21" i="46"/>
  <c r="L21" i="46" s="1"/>
  <c r="K22" i="46"/>
  <c r="L22" i="46"/>
  <c r="K23" i="46"/>
  <c r="L23" i="46"/>
  <c r="K24" i="46"/>
  <c r="L24" i="46"/>
  <c r="K25" i="46"/>
  <c r="L25" i="46"/>
  <c r="K26" i="46"/>
  <c r="L26" i="46"/>
  <c r="K27" i="46"/>
  <c r="L27" i="46"/>
  <c r="K28" i="46"/>
  <c r="L28" i="46"/>
  <c r="K29" i="46"/>
  <c r="L29" i="46" s="1"/>
  <c r="K30" i="46"/>
  <c r="L30" i="46"/>
  <c r="K31" i="46"/>
  <c r="L31" i="46"/>
  <c r="K32" i="46"/>
  <c r="L32" i="46"/>
  <c r="K33" i="46"/>
  <c r="L33" i="46"/>
  <c r="K34" i="46"/>
  <c r="L34" i="46"/>
  <c r="K35" i="46"/>
  <c r="L35" i="46" s="1"/>
  <c r="K36" i="46"/>
  <c r="L36" i="46"/>
  <c r="K37" i="46"/>
  <c r="L37" i="46"/>
  <c r="K38" i="46"/>
  <c r="L38" i="46"/>
  <c r="K39" i="46"/>
  <c r="L39" i="46"/>
  <c r="J40" i="46"/>
  <c r="K40" i="46"/>
  <c r="L40" i="46"/>
  <c r="K41" i="46"/>
  <c r="L41" i="46"/>
  <c r="K42" i="46"/>
  <c r="L42" i="46"/>
  <c r="K43" i="46"/>
  <c r="L43" i="46"/>
  <c r="K44" i="46"/>
  <c r="L44" i="46"/>
  <c r="K45" i="46"/>
  <c r="L45" i="46"/>
  <c r="K46" i="46"/>
  <c r="L46" i="46"/>
  <c r="K47" i="46"/>
  <c r="L47" i="46"/>
  <c r="K48" i="46"/>
  <c r="L48" i="46"/>
  <c r="K49" i="46"/>
  <c r="L49" i="46"/>
  <c r="K50" i="46"/>
  <c r="L50" i="46"/>
  <c r="K51" i="46"/>
  <c r="L51" i="46"/>
  <c r="K52" i="46"/>
  <c r="L52" i="46"/>
  <c r="K53" i="46"/>
  <c r="L53" i="46"/>
  <c r="K54" i="46"/>
  <c r="L54" i="46"/>
  <c r="K55" i="46"/>
  <c r="L55" i="46"/>
  <c r="K56" i="46"/>
  <c r="L56" i="46"/>
  <c r="K57" i="46"/>
  <c r="L57" i="46"/>
  <c r="K58" i="46"/>
  <c r="L58" i="46"/>
  <c r="K59" i="46"/>
  <c r="L59" i="46"/>
  <c r="K60" i="46"/>
  <c r="L60" i="46"/>
  <c r="K61" i="46"/>
  <c r="L61" i="46"/>
  <c r="K62" i="46"/>
  <c r="L62" i="46"/>
  <c r="K63" i="46"/>
  <c r="L63" i="46"/>
  <c r="K64" i="46"/>
  <c r="L64" i="46"/>
  <c r="K65" i="46"/>
  <c r="L65" i="46"/>
  <c r="K66" i="46"/>
  <c r="L66" i="46"/>
  <c r="K67" i="46"/>
  <c r="L67" i="46"/>
  <c r="J68" i="46"/>
  <c r="K68" i="46"/>
  <c r="L68" i="46"/>
  <c r="J69" i="46"/>
  <c r="K69" i="46"/>
  <c r="L69" i="46" s="1"/>
  <c r="J70" i="46"/>
  <c r="K70" i="46"/>
  <c r="L70" i="46"/>
  <c r="J71" i="46"/>
  <c r="K71" i="46"/>
  <c r="L71" i="46"/>
  <c r="J72" i="46"/>
  <c r="K72" i="46"/>
  <c r="L72" i="46"/>
  <c r="J73" i="46"/>
  <c r="K73" i="46"/>
  <c r="L73" i="46"/>
  <c r="J74" i="46"/>
  <c r="K74" i="46"/>
  <c r="L74" i="46"/>
  <c r="J75" i="46"/>
  <c r="K75" i="46"/>
  <c r="L75" i="46"/>
  <c r="J76" i="46"/>
  <c r="K76" i="46"/>
  <c r="L76" i="46"/>
  <c r="J77" i="46"/>
  <c r="K77" i="46"/>
  <c r="L77" i="46"/>
  <c r="J78" i="46"/>
  <c r="K78" i="46"/>
  <c r="L78" i="46"/>
  <c r="J79" i="46"/>
  <c r="K79" i="46"/>
  <c r="L79" i="46"/>
  <c r="J80" i="46"/>
  <c r="K80" i="46"/>
  <c r="L80" i="46"/>
  <c r="J81" i="46"/>
  <c r="K81" i="46"/>
  <c r="L81" i="46"/>
  <c r="J82" i="46"/>
  <c r="K82" i="46"/>
  <c r="L82" i="46"/>
  <c r="J83" i="46"/>
  <c r="K83" i="46"/>
  <c r="L83" i="46"/>
  <c r="J84" i="46"/>
  <c r="K84" i="46"/>
  <c r="L84" i="46"/>
  <c r="J85" i="46"/>
  <c r="K85" i="46"/>
  <c r="L85" i="46"/>
  <c r="J86" i="46"/>
  <c r="K86" i="46"/>
  <c r="L86" i="46"/>
  <c r="J87" i="46"/>
  <c r="K87" i="46"/>
  <c r="L87" i="46"/>
  <c r="J88" i="46"/>
  <c r="K88" i="46"/>
  <c r="L88" i="46"/>
  <c r="J89" i="46"/>
  <c r="K89" i="46"/>
  <c r="L89" i="46"/>
  <c r="J90" i="46"/>
  <c r="K90" i="46"/>
  <c r="L90" i="46"/>
  <c r="J91" i="46"/>
  <c r="K91" i="46"/>
  <c r="L91" i="46"/>
  <c r="J92" i="46"/>
  <c r="K92" i="46"/>
  <c r="L92" i="46"/>
  <c r="J93" i="46"/>
  <c r="K93" i="46"/>
  <c r="L93" i="46"/>
  <c r="J94" i="46"/>
  <c r="K94" i="46"/>
  <c r="L94" i="46"/>
  <c r="J95" i="46"/>
  <c r="K95" i="46"/>
  <c r="L95" i="46"/>
  <c r="J96" i="46"/>
  <c r="K96" i="46"/>
  <c r="L96" i="46"/>
  <c r="J97" i="46"/>
  <c r="K97" i="46"/>
  <c r="L97" i="46"/>
  <c r="J98" i="46"/>
  <c r="K98" i="46"/>
  <c r="L98" i="46"/>
  <c r="J99" i="46"/>
  <c r="K99" i="46"/>
  <c r="L99" i="46"/>
  <c r="J100" i="46"/>
  <c r="K100" i="46"/>
  <c r="L100" i="46"/>
  <c r="J101" i="46"/>
  <c r="K101" i="46"/>
  <c r="L101" i="46"/>
  <c r="J102" i="46"/>
  <c r="K102" i="46"/>
  <c r="L102" i="46"/>
  <c r="J103" i="46"/>
  <c r="K103" i="46"/>
  <c r="L103" i="46"/>
  <c r="J104" i="46"/>
  <c r="K104" i="46"/>
  <c r="L104" i="46"/>
  <c r="J105" i="46"/>
  <c r="K105" i="46"/>
  <c r="L105" i="46"/>
  <c r="J106" i="46"/>
  <c r="K106" i="46"/>
  <c r="L106" i="46"/>
  <c r="J107" i="46"/>
  <c r="K107" i="46"/>
  <c r="L107" i="46"/>
  <c r="J108" i="46"/>
  <c r="K108" i="46"/>
  <c r="L108" i="46"/>
  <c r="J109" i="46"/>
  <c r="K109" i="46"/>
  <c r="L109" i="46"/>
  <c r="J110" i="46"/>
  <c r="K110" i="46"/>
  <c r="L110" i="46"/>
  <c r="J111" i="46"/>
  <c r="K111" i="46"/>
  <c r="L111" i="46"/>
  <c r="J112" i="46"/>
  <c r="K112" i="46"/>
  <c r="L112" i="46"/>
  <c r="J113" i="46"/>
  <c r="K113" i="46"/>
  <c r="L113" i="46"/>
  <c r="J114" i="46"/>
  <c r="K114" i="46"/>
  <c r="L114" i="46"/>
  <c r="J115" i="46"/>
  <c r="K115" i="46"/>
  <c r="L115" i="46"/>
  <c r="J116" i="46"/>
  <c r="K116" i="46"/>
  <c r="L116" i="46"/>
  <c r="J117" i="46"/>
  <c r="K117" i="46"/>
  <c r="L117" i="46"/>
  <c r="J118" i="46"/>
  <c r="K118" i="46"/>
  <c r="L118" i="46"/>
  <c r="J119" i="46"/>
  <c r="K119" i="46"/>
  <c r="L119" i="46"/>
  <c r="J120" i="46"/>
  <c r="K120" i="46"/>
  <c r="L120" i="46"/>
  <c r="J121" i="46"/>
  <c r="K121" i="46"/>
  <c r="L121" i="46"/>
  <c r="J122" i="46"/>
  <c r="K122" i="46"/>
  <c r="L122" i="46"/>
  <c r="J123" i="46"/>
  <c r="K123" i="46"/>
  <c r="L123" i="46"/>
  <c r="J124" i="46"/>
  <c r="K124" i="46"/>
  <c r="L124" i="46"/>
  <c r="J125" i="46"/>
  <c r="K125" i="46"/>
  <c r="L125" i="46"/>
  <c r="J126" i="46"/>
  <c r="K126" i="46"/>
  <c r="L126" i="46"/>
  <c r="J127" i="46"/>
  <c r="K127" i="46"/>
  <c r="L127" i="46"/>
  <c r="J128" i="46"/>
  <c r="K128" i="46"/>
  <c r="L128" i="46"/>
  <c r="J129" i="46"/>
  <c r="K129" i="46"/>
  <c r="L129" i="46"/>
  <c r="J130" i="46"/>
  <c r="K130" i="46"/>
  <c r="L130" i="46"/>
  <c r="J131" i="46"/>
  <c r="K131" i="46"/>
  <c r="L131" i="46"/>
  <c r="J132" i="46"/>
  <c r="K132" i="46"/>
  <c r="L132" i="46"/>
  <c r="J133" i="46"/>
  <c r="K133" i="46"/>
  <c r="L133" i="46"/>
  <c r="J134" i="46"/>
  <c r="K134" i="46"/>
  <c r="L134" i="46"/>
  <c r="J135" i="46"/>
  <c r="K135" i="46"/>
  <c r="L135" i="46"/>
  <c r="J136" i="46"/>
  <c r="K136" i="46"/>
  <c r="L136" i="46"/>
  <c r="J137" i="46"/>
  <c r="K137" i="46"/>
  <c r="L137" i="46"/>
  <c r="J138" i="46"/>
  <c r="K138" i="46"/>
  <c r="L138" i="46"/>
  <c r="J139" i="46"/>
  <c r="K139" i="46"/>
  <c r="L139" i="46"/>
  <c r="J140" i="46"/>
  <c r="K140" i="46"/>
  <c r="L140" i="46"/>
  <c r="J141" i="46"/>
  <c r="K141" i="46"/>
  <c r="L141" i="46"/>
  <c r="J142" i="46"/>
  <c r="K142" i="46"/>
  <c r="L142" i="46"/>
  <c r="J143" i="46"/>
  <c r="K143" i="46"/>
  <c r="L143" i="46"/>
  <c r="J144" i="46"/>
  <c r="K144" i="46"/>
  <c r="L144" i="46"/>
  <c r="J145" i="46"/>
  <c r="K145" i="46"/>
  <c r="L145" i="46"/>
  <c r="J146" i="46"/>
  <c r="K146" i="46"/>
  <c r="L146" i="46"/>
  <c r="J147" i="46"/>
  <c r="K147" i="46"/>
  <c r="L147" i="46"/>
  <c r="J148" i="46"/>
  <c r="K148" i="46"/>
  <c r="L148" i="46"/>
  <c r="J149" i="46"/>
  <c r="K149" i="46"/>
  <c r="L149" i="46"/>
  <c r="J150" i="46"/>
  <c r="K150" i="46"/>
  <c r="L150" i="46"/>
  <c r="J151" i="46"/>
  <c r="K151" i="46"/>
  <c r="L151" i="46"/>
  <c r="J152" i="46"/>
  <c r="K152" i="46"/>
  <c r="L152" i="46"/>
  <c r="J153" i="46"/>
  <c r="K153" i="46"/>
  <c r="L153" i="46"/>
  <c r="J154" i="46"/>
  <c r="K154" i="46"/>
  <c r="L154" i="46"/>
  <c r="J155" i="46"/>
  <c r="K155" i="46"/>
  <c r="L155" i="46"/>
  <c r="J156" i="46"/>
  <c r="K156" i="46"/>
  <c r="L156" i="46"/>
  <c r="J157" i="46"/>
  <c r="K157" i="46"/>
  <c r="L157" i="46"/>
  <c r="J158" i="46"/>
  <c r="K158" i="46"/>
  <c r="L158" i="46"/>
  <c r="J159" i="46"/>
  <c r="K159" i="46"/>
  <c r="L159" i="46"/>
  <c r="J160" i="46"/>
  <c r="K160" i="46"/>
  <c r="L160" i="46"/>
  <c r="J161" i="46"/>
  <c r="K161" i="46"/>
  <c r="L161" i="46"/>
  <c r="J162" i="46"/>
  <c r="K162" i="46"/>
  <c r="L162" i="46"/>
  <c r="J163" i="46"/>
  <c r="K163" i="46"/>
  <c r="L163" i="46"/>
  <c r="J164" i="46"/>
  <c r="K164" i="46"/>
  <c r="L164" i="46"/>
  <c r="J165" i="46"/>
  <c r="K165" i="46"/>
  <c r="L165" i="46"/>
  <c r="J166" i="46"/>
  <c r="K166" i="46"/>
  <c r="L166" i="46"/>
  <c r="J167" i="46"/>
  <c r="K167" i="46"/>
  <c r="L167" i="46"/>
  <c r="J168" i="46"/>
  <c r="K168" i="46"/>
  <c r="L168" i="46"/>
  <c r="J169" i="46"/>
  <c r="K169" i="46"/>
  <c r="L169" i="46"/>
  <c r="J170" i="46"/>
  <c r="K170" i="46"/>
  <c r="L170" i="46"/>
  <c r="J171" i="46"/>
  <c r="K171" i="46"/>
  <c r="L171" i="46"/>
  <c r="J172" i="46"/>
  <c r="K172" i="46"/>
  <c r="L172" i="46"/>
  <c r="J173" i="46"/>
  <c r="K173" i="46"/>
  <c r="L173" i="46"/>
  <c r="J174" i="46"/>
  <c r="K174" i="46"/>
  <c r="L174" i="46"/>
  <c r="J175" i="46"/>
  <c r="K175" i="46"/>
  <c r="L175" i="46"/>
  <c r="J176" i="46"/>
  <c r="K176" i="46"/>
  <c r="L176" i="46"/>
  <c r="J177" i="46"/>
  <c r="K177" i="46"/>
  <c r="L177" i="46"/>
  <c r="J178" i="46"/>
  <c r="K178" i="46"/>
  <c r="L178" i="46"/>
  <c r="J179" i="46"/>
  <c r="K179" i="46"/>
  <c r="L179" i="46"/>
  <c r="J180" i="46"/>
  <c r="K180" i="46"/>
  <c r="L180" i="46"/>
  <c r="J181" i="46"/>
  <c r="K181" i="46"/>
  <c r="L181" i="46"/>
  <c r="J182" i="46"/>
  <c r="K182" i="46"/>
  <c r="L182" i="46"/>
  <c r="J183" i="46"/>
  <c r="K183" i="46"/>
  <c r="L183" i="46"/>
  <c r="J184" i="46"/>
  <c r="K184" i="46"/>
  <c r="L184" i="46"/>
  <c r="J185" i="46"/>
  <c r="K185" i="46"/>
  <c r="L185" i="46"/>
  <c r="J186" i="46"/>
  <c r="K186" i="46"/>
  <c r="L186" i="46"/>
  <c r="J187" i="46"/>
  <c r="K187" i="46"/>
  <c r="L187" i="46"/>
  <c r="J188" i="46"/>
  <c r="K188" i="46"/>
  <c r="L188" i="46"/>
  <c r="J189" i="46"/>
  <c r="K189" i="46"/>
  <c r="L189" i="46"/>
  <c r="J190" i="46"/>
  <c r="K190" i="46"/>
  <c r="L190" i="46"/>
  <c r="J191" i="46"/>
  <c r="K191" i="46"/>
  <c r="L191" i="46"/>
  <c r="J192" i="46"/>
  <c r="K192" i="46"/>
  <c r="L192" i="46"/>
  <c r="J193" i="46"/>
  <c r="K193" i="46"/>
  <c r="L193" i="46"/>
  <c r="J194" i="46"/>
  <c r="K194" i="46"/>
  <c r="L194" i="46"/>
  <c r="J195" i="46"/>
  <c r="K195" i="46"/>
  <c r="L195" i="46"/>
  <c r="J196" i="46"/>
  <c r="K196" i="46"/>
  <c r="L196" i="46"/>
  <c r="J197" i="46"/>
  <c r="K197" i="46"/>
  <c r="L197" i="46"/>
  <c r="J198" i="46"/>
  <c r="K198" i="46"/>
  <c r="L198" i="46"/>
  <c r="J199" i="46"/>
  <c r="K199" i="46"/>
  <c r="L199" i="46"/>
  <c r="J200" i="46"/>
  <c r="K200" i="46"/>
  <c r="L200" i="46"/>
  <c r="J201" i="46"/>
  <c r="K201" i="46"/>
  <c r="L201" i="46"/>
  <c r="J202" i="46"/>
  <c r="K202" i="46"/>
  <c r="L202" i="46"/>
  <c r="J203" i="46"/>
  <c r="K203" i="46"/>
  <c r="L203" i="46"/>
  <c r="J204" i="46"/>
  <c r="K204" i="46"/>
  <c r="L204" i="46"/>
  <c r="J205" i="46"/>
  <c r="K205" i="46"/>
  <c r="L205" i="46"/>
  <c r="J206" i="46"/>
  <c r="K206" i="46"/>
  <c r="L206" i="46"/>
  <c r="J207" i="46"/>
  <c r="K207" i="46"/>
  <c r="L207" i="46"/>
  <c r="J208" i="46"/>
  <c r="K208" i="46"/>
  <c r="L208" i="46"/>
  <c r="J209" i="46"/>
  <c r="K209" i="46"/>
  <c r="L209" i="46"/>
  <c r="J210" i="46"/>
  <c r="K210" i="46"/>
  <c r="L210" i="46"/>
  <c r="J211" i="46"/>
  <c r="K211" i="46"/>
  <c r="L211" i="46"/>
  <c r="J212" i="46"/>
  <c r="K212" i="46"/>
  <c r="L212" i="46"/>
  <c r="J213" i="46"/>
  <c r="K213" i="46"/>
  <c r="L213" i="46"/>
  <c r="J214" i="46"/>
  <c r="K214" i="46"/>
  <c r="L214" i="46"/>
  <c r="J215" i="46"/>
  <c r="K215" i="46"/>
  <c r="L215" i="46"/>
  <c r="J216" i="46"/>
  <c r="K216" i="46"/>
  <c r="L216" i="46"/>
  <c r="J217" i="46"/>
  <c r="K217" i="46"/>
  <c r="L217" i="46"/>
  <c r="J218" i="46"/>
  <c r="K218" i="46"/>
  <c r="L218" i="46"/>
  <c r="J219" i="46"/>
  <c r="K219" i="46"/>
  <c r="L219" i="46"/>
  <c r="J220" i="46"/>
  <c r="K220" i="46"/>
  <c r="L220" i="46"/>
  <c r="J221" i="46"/>
  <c r="K221" i="46"/>
  <c r="L221" i="46"/>
  <c r="J222" i="46"/>
  <c r="K222" i="46"/>
  <c r="L222" i="46"/>
  <c r="J223" i="46"/>
  <c r="K223" i="46"/>
  <c r="L223" i="46"/>
  <c r="J224" i="46"/>
  <c r="K224" i="46"/>
  <c r="L224" i="46"/>
  <c r="J225" i="46"/>
  <c r="K225" i="46"/>
  <c r="L225" i="46"/>
  <c r="J226" i="46"/>
  <c r="K226" i="46"/>
  <c r="L226" i="46"/>
  <c r="J227" i="46"/>
  <c r="K227" i="46"/>
  <c r="L227" i="46"/>
  <c r="J228" i="46"/>
  <c r="K228" i="46"/>
  <c r="L228" i="46"/>
  <c r="J229" i="46"/>
  <c r="K229" i="46"/>
  <c r="L229" i="46"/>
  <c r="J230" i="46"/>
  <c r="K230" i="46"/>
  <c r="L230" i="46"/>
  <c r="J231" i="46"/>
  <c r="K231" i="46"/>
  <c r="L231" i="46"/>
  <c r="J232" i="46"/>
  <c r="K232" i="46"/>
  <c r="L232" i="46"/>
  <c r="J233" i="46"/>
  <c r="K233" i="46"/>
  <c r="L233" i="46"/>
  <c r="J234" i="46"/>
  <c r="K234" i="46"/>
  <c r="L234" i="46"/>
  <c r="J235" i="46"/>
  <c r="K235" i="46"/>
  <c r="L235" i="46"/>
  <c r="J236" i="46"/>
  <c r="K236" i="46"/>
  <c r="L236" i="46"/>
  <c r="J237" i="46"/>
  <c r="K237" i="46"/>
  <c r="L237" i="46"/>
  <c r="J238" i="46"/>
  <c r="K238" i="46"/>
  <c r="L238" i="46"/>
  <c r="J239" i="46"/>
  <c r="K239" i="46"/>
  <c r="L239" i="46"/>
  <c r="J240" i="46"/>
  <c r="K240" i="46"/>
  <c r="L240" i="46"/>
  <c r="J241" i="46"/>
  <c r="K241" i="46"/>
  <c r="L241" i="46"/>
  <c r="J242" i="46"/>
  <c r="K242" i="46"/>
  <c r="L242" i="46"/>
  <c r="J243" i="46"/>
  <c r="K243" i="46"/>
  <c r="L243" i="46"/>
  <c r="J244" i="46"/>
  <c r="K244" i="46"/>
  <c r="L244" i="46"/>
  <c r="J245" i="46"/>
  <c r="K245" i="46"/>
  <c r="L245" i="46"/>
  <c r="J246" i="46"/>
  <c r="K246" i="46"/>
  <c r="L246" i="46"/>
  <c r="K247" i="46"/>
  <c r="L247" i="46"/>
  <c r="J248" i="46"/>
  <c r="K248" i="46"/>
  <c r="L248" i="46"/>
  <c r="J249" i="46"/>
  <c r="K249" i="46"/>
  <c r="L249" i="46"/>
  <c r="J250" i="46"/>
  <c r="K250" i="46"/>
  <c r="L250" i="46"/>
  <c r="J251" i="46"/>
  <c r="K251" i="46"/>
  <c r="L251" i="46"/>
  <c r="J252" i="46"/>
  <c r="K252" i="46"/>
  <c r="L252" i="46"/>
  <c r="J253" i="46"/>
  <c r="K253" i="46"/>
  <c r="L253" i="46"/>
  <c r="J254" i="46"/>
  <c r="K254" i="46"/>
  <c r="L254" i="46"/>
  <c r="K255" i="46"/>
  <c r="L255" i="46"/>
  <c r="J256" i="46"/>
  <c r="K256" i="46"/>
  <c r="L256" i="46"/>
  <c r="L7" i="46"/>
  <c r="A8" i="46"/>
  <c r="B8" i="46"/>
  <c r="D8" i="46"/>
  <c r="E8" i="46"/>
  <c r="F8" i="46"/>
  <c r="G8" i="46"/>
  <c r="H8" i="46"/>
  <c r="I8" i="46"/>
  <c r="J8" i="46" s="1"/>
  <c r="A9" i="46"/>
  <c r="B9" i="46"/>
  <c r="D9" i="46"/>
  <c r="E9" i="46"/>
  <c r="F9" i="46"/>
  <c r="G9" i="46"/>
  <c r="H9" i="46"/>
  <c r="I9" i="46"/>
  <c r="J9" i="46" s="1"/>
  <c r="A10" i="46"/>
  <c r="B10" i="46"/>
  <c r="D10" i="46"/>
  <c r="E10" i="46"/>
  <c r="F10" i="46"/>
  <c r="G10" i="46"/>
  <c r="H10" i="46"/>
  <c r="I10" i="46"/>
  <c r="J10" i="46" s="1"/>
  <c r="A11" i="46"/>
  <c r="B11" i="46"/>
  <c r="D11" i="46"/>
  <c r="E11" i="46"/>
  <c r="F11" i="46"/>
  <c r="G11" i="46"/>
  <c r="H11" i="46"/>
  <c r="I11" i="46"/>
  <c r="J11" i="46" s="1"/>
  <c r="A12" i="46"/>
  <c r="B12" i="46"/>
  <c r="D12" i="46"/>
  <c r="E12" i="46"/>
  <c r="F12" i="46"/>
  <c r="G12" i="46"/>
  <c r="H12" i="46"/>
  <c r="I12" i="46"/>
  <c r="J12" i="46" s="1"/>
  <c r="A13" i="46"/>
  <c r="B13" i="46"/>
  <c r="D13" i="46"/>
  <c r="E13" i="46"/>
  <c r="F13" i="46"/>
  <c r="G13" i="46"/>
  <c r="H13" i="46"/>
  <c r="I13" i="46"/>
  <c r="J13" i="46" s="1"/>
  <c r="A14" i="46"/>
  <c r="B14" i="46"/>
  <c r="D14" i="46"/>
  <c r="E14" i="46"/>
  <c r="F14" i="46"/>
  <c r="G14" i="46"/>
  <c r="H14" i="46"/>
  <c r="I14" i="46"/>
  <c r="J14" i="46" s="1"/>
  <c r="A15" i="46"/>
  <c r="B15" i="46"/>
  <c r="D15" i="46"/>
  <c r="E15" i="46"/>
  <c r="F15" i="46"/>
  <c r="G15" i="46"/>
  <c r="H15" i="46"/>
  <c r="I15" i="46"/>
  <c r="J15" i="46" s="1"/>
  <c r="A16" i="46"/>
  <c r="B16" i="46"/>
  <c r="D16" i="46"/>
  <c r="E16" i="46"/>
  <c r="F16" i="46"/>
  <c r="G16" i="46"/>
  <c r="H16" i="46"/>
  <c r="I16" i="46"/>
  <c r="J16" i="46" s="1"/>
  <c r="A17" i="46"/>
  <c r="B17" i="46"/>
  <c r="D17" i="46"/>
  <c r="E17" i="46"/>
  <c r="F17" i="46"/>
  <c r="G17" i="46"/>
  <c r="H17" i="46"/>
  <c r="I17" i="46"/>
  <c r="J17" i="46" s="1"/>
  <c r="A18" i="46"/>
  <c r="B18" i="46"/>
  <c r="D18" i="46"/>
  <c r="E18" i="46"/>
  <c r="F18" i="46"/>
  <c r="G18" i="46"/>
  <c r="H18" i="46"/>
  <c r="I18" i="46"/>
  <c r="J18" i="46" s="1"/>
  <c r="A19" i="46"/>
  <c r="B19" i="46"/>
  <c r="D19" i="46"/>
  <c r="E19" i="46"/>
  <c r="F19" i="46"/>
  <c r="G19" i="46"/>
  <c r="H19" i="46"/>
  <c r="I19" i="46"/>
  <c r="J19" i="46" s="1"/>
  <c r="A20" i="46"/>
  <c r="B20" i="46"/>
  <c r="D20" i="46"/>
  <c r="E20" i="46"/>
  <c r="F20" i="46"/>
  <c r="G20" i="46"/>
  <c r="H20" i="46"/>
  <c r="I20" i="46"/>
  <c r="J20" i="46" s="1"/>
  <c r="A21" i="46"/>
  <c r="B21" i="46"/>
  <c r="D21" i="46"/>
  <c r="E21" i="46"/>
  <c r="F21" i="46"/>
  <c r="G21" i="46"/>
  <c r="H21" i="46"/>
  <c r="I21" i="46"/>
  <c r="J21" i="46" s="1"/>
  <c r="A22" i="46"/>
  <c r="B22" i="46"/>
  <c r="D22" i="46"/>
  <c r="E22" i="46"/>
  <c r="F22" i="46"/>
  <c r="G22" i="46"/>
  <c r="H22" i="46"/>
  <c r="I22" i="46"/>
  <c r="J22" i="46" s="1"/>
  <c r="A23" i="46"/>
  <c r="B23" i="46"/>
  <c r="D23" i="46"/>
  <c r="E23" i="46"/>
  <c r="F23" i="46"/>
  <c r="G23" i="46"/>
  <c r="H23" i="46"/>
  <c r="I23" i="46"/>
  <c r="J23" i="46" s="1"/>
  <c r="A24" i="46"/>
  <c r="B24" i="46"/>
  <c r="D24" i="46"/>
  <c r="E24" i="46"/>
  <c r="F24" i="46"/>
  <c r="G24" i="46"/>
  <c r="H24" i="46"/>
  <c r="I24" i="46"/>
  <c r="J24" i="46" s="1"/>
  <c r="A25" i="46"/>
  <c r="B25" i="46"/>
  <c r="D25" i="46"/>
  <c r="E25" i="46"/>
  <c r="F25" i="46"/>
  <c r="G25" i="46"/>
  <c r="H25" i="46"/>
  <c r="I25" i="46"/>
  <c r="J25" i="46" s="1"/>
  <c r="A26" i="46"/>
  <c r="B26" i="46"/>
  <c r="D26" i="46"/>
  <c r="E26" i="46"/>
  <c r="F26" i="46"/>
  <c r="G26" i="46"/>
  <c r="H26" i="46"/>
  <c r="I26" i="46"/>
  <c r="J26" i="46" s="1"/>
  <c r="A27" i="46"/>
  <c r="B27" i="46"/>
  <c r="D27" i="46"/>
  <c r="E27" i="46"/>
  <c r="F27" i="46"/>
  <c r="G27" i="46"/>
  <c r="H27" i="46"/>
  <c r="I27" i="46"/>
  <c r="J27" i="46" s="1"/>
  <c r="A28" i="46"/>
  <c r="B28" i="46"/>
  <c r="D28" i="46"/>
  <c r="E28" i="46"/>
  <c r="F28" i="46"/>
  <c r="G28" i="46"/>
  <c r="H28" i="46"/>
  <c r="I28" i="46"/>
  <c r="J28" i="46" s="1"/>
  <c r="A29" i="46"/>
  <c r="B29" i="46"/>
  <c r="D29" i="46"/>
  <c r="E29" i="46"/>
  <c r="F29" i="46"/>
  <c r="G29" i="46"/>
  <c r="H29" i="46"/>
  <c r="I29" i="46"/>
  <c r="J29" i="46" s="1"/>
  <c r="A30" i="46"/>
  <c r="B30" i="46"/>
  <c r="D30" i="46"/>
  <c r="E30" i="46"/>
  <c r="F30" i="46"/>
  <c r="G30" i="46"/>
  <c r="H30" i="46"/>
  <c r="I30" i="46"/>
  <c r="J30" i="46" s="1"/>
  <c r="A31" i="46"/>
  <c r="B31" i="46"/>
  <c r="D31" i="46"/>
  <c r="E31" i="46"/>
  <c r="F31" i="46"/>
  <c r="G31" i="46"/>
  <c r="H31" i="46"/>
  <c r="I31" i="46"/>
  <c r="J31" i="46" s="1"/>
  <c r="A32" i="46"/>
  <c r="B32" i="46"/>
  <c r="D32" i="46"/>
  <c r="E32" i="46"/>
  <c r="F32" i="46"/>
  <c r="G32" i="46"/>
  <c r="H32" i="46"/>
  <c r="I32" i="46"/>
  <c r="J32" i="46" s="1"/>
  <c r="A33" i="46"/>
  <c r="B33" i="46"/>
  <c r="D33" i="46"/>
  <c r="E33" i="46"/>
  <c r="F33" i="46"/>
  <c r="G33" i="46"/>
  <c r="H33" i="46"/>
  <c r="I33" i="46"/>
  <c r="J33" i="46" s="1"/>
  <c r="A34" i="46"/>
  <c r="B34" i="46"/>
  <c r="D34" i="46"/>
  <c r="E34" i="46"/>
  <c r="F34" i="46"/>
  <c r="G34" i="46"/>
  <c r="H34" i="46"/>
  <c r="I34" i="46"/>
  <c r="J34" i="46" s="1"/>
  <c r="A35" i="46"/>
  <c r="B35" i="46"/>
  <c r="D35" i="46"/>
  <c r="E35" i="46"/>
  <c r="F35" i="46"/>
  <c r="G35" i="46"/>
  <c r="H35" i="46"/>
  <c r="I35" i="46"/>
  <c r="J35" i="46" s="1"/>
  <c r="A36" i="46"/>
  <c r="B36" i="46"/>
  <c r="D36" i="46"/>
  <c r="E36" i="46"/>
  <c r="F36" i="46"/>
  <c r="G36" i="46"/>
  <c r="H36" i="46"/>
  <c r="I36" i="46"/>
  <c r="J36" i="46" s="1"/>
  <c r="A37" i="46"/>
  <c r="B37" i="46"/>
  <c r="D37" i="46"/>
  <c r="E37" i="46"/>
  <c r="F37" i="46"/>
  <c r="G37" i="46"/>
  <c r="H37" i="46"/>
  <c r="I37" i="46"/>
  <c r="J37" i="46" s="1"/>
  <c r="A38" i="46"/>
  <c r="B38" i="46"/>
  <c r="D38" i="46"/>
  <c r="E38" i="46"/>
  <c r="F38" i="46"/>
  <c r="G38" i="46"/>
  <c r="H38" i="46"/>
  <c r="I38" i="46"/>
  <c r="J38" i="46" s="1"/>
  <c r="A39" i="46"/>
  <c r="B39" i="46"/>
  <c r="D39" i="46"/>
  <c r="E39" i="46"/>
  <c r="F39" i="46"/>
  <c r="G39" i="46"/>
  <c r="H39" i="46"/>
  <c r="I39" i="46"/>
  <c r="J39" i="46" s="1"/>
  <c r="A40" i="46"/>
  <c r="B40" i="46"/>
  <c r="D40" i="46"/>
  <c r="E40" i="46"/>
  <c r="F40" i="46"/>
  <c r="G40" i="46"/>
  <c r="H40" i="46"/>
  <c r="I40" i="46"/>
  <c r="A41" i="46"/>
  <c r="B41" i="46"/>
  <c r="D41" i="46"/>
  <c r="E41" i="46"/>
  <c r="F41" i="46"/>
  <c r="G41" i="46"/>
  <c r="H41" i="46"/>
  <c r="I41" i="46"/>
  <c r="J41" i="46" s="1"/>
  <c r="A42" i="46"/>
  <c r="B42" i="46"/>
  <c r="D42" i="46"/>
  <c r="E42" i="46"/>
  <c r="F42" i="46"/>
  <c r="G42" i="46"/>
  <c r="H42" i="46"/>
  <c r="I42" i="46"/>
  <c r="J42" i="46" s="1"/>
  <c r="A43" i="46"/>
  <c r="B43" i="46"/>
  <c r="D43" i="46"/>
  <c r="E43" i="46"/>
  <c r="F43" i="46"/>
  <c r="G43" i="46"/>
  <c r="H43" i="46"/>
  <c r="I43" i="46"/>
  <c r="J43" i="46" s="1"/>
  <c r="A44" i="46"/>
  <c r="B44" i="46"/>
  <c r="D44" i="46"/>
  <c r="E44" i="46"/>
  <c r="F44" i="46"/>
  <c r="G44" i="46"/>
  <c r="H44" i="46"/>
  <c r="I44" i="46"/>
  <c r="J44" i="46" s="1"/>
  <c r="A45" i="46"/>
  <c r="B45" i="46"/>
  <c r="D45" i="46"/>
  <c r="E45" i="46"/>
  <c r="F45" i="46"/>
  <c r="G45" i="46"/>
  <c r="H45" i="46"/>
  <c r="I45" i="46"/>
  <c r="J45" i="46" s="1"/>
  <c r="A46" i="46"/>
  <c r="B46" i="46"/>
  <c r="D46" i="46"/>
  <c r="E46" i="46"/>
  <c r="F46" i="46"/>
  <c r="G46" i="46"/>
  <c r="H46" i="46"/>
  <c r="I46" i="46"/>
  <c r="J46" i="46" s="1"/>
  <c r="A47" i="46"/>
  <c r="B47" i="46"/>
  <c r="D47" i="46"/>
  <c r="E47" i="46"/>
  <c r="F47" i="46"/>
  <c r="G47" i="46"/>
  <c r="H47" i="46"/>
  <c r="I47" i="46"/>
  <c r="J47" i="46" s="1"/>
  <c r="A48" i="46"/>
  <c r="B48" i="46"/>
  <c r="D48" i="46"/>
  <c r="E48" i="46"/>
  <c r="F48" i="46"/>
  <c r="G48" i="46"/>
  <c r="H48" i="46"/>
  <c r="I48" i="46"/>
  <c r="J48" i="46" s="1"/>
  <c r="A49" i="46"/>
  <c r="B49" i="46"/>
  <c r="D49" i="46"/>
  <c r="E49" i="46"/>
  <c r="F49" i="46"/>
  <c r="G49" i="46"/>
  <c r="H49" i="46"/>
  <c r="I49" i="46"/>
  <c r="J49" i="46" s="1"/>
  <c r="A50" i="46"/>
  <c r="B50" i="46"/>
  <c r="D50" i="46"/>
  <c r="E50" i="46"/>
  <c r="F50" i="46"/>
  <c r="G50" i="46"/>
  <c r="H50" i="46"/>
  <c r="I50" i="46"/>
  <c r="J50" i="46" s="1"/>
  <c r="A51" i="46"/>
  <c r="B51" i="46"/>
  <c r="D51" i="46"/>
  <c r="E51" i="46"/>
  <c r="F51" i="46"/>
  <c r="G51" i="46"/>
  <c r="H51" i="46"/>
  <c r="I51" i="46"/>
  <c r="J51" i="46" s="1"/>
  <c r="A52" i="46"/>
  <c r="B52" i="46"/>
  <c r="D52" i="46"/>
  <c r="E52" i="46"/>
  <c r="F52" i="46"/>
  <c r="G52" i="46"/>
  <c r="H52" i="46"/>
  <c r="I52" i="46"/>
  <c r="J52" i="46" s="1"/>
  <c r="A53" i="46"/>
  <c r="B53" i="46"/>
  <c r="D53" i="46"/>
  <c r="E53" i="46"/>
  <c r="F53" i="46"/>
  <c r="G53" i="46"/>
  <c r="H53" i="46"/>
  <c r="I53" i="46"/>
  <c r="J53" i="46" s="1"/>
  <c r="A54" i="46"/>
  <c r="B54" i="46"/>
  <c r="D54" i="46"/>
  <c r="E54" i="46"/>
  <c r="F54" i="46"/>
  <c r="G54" i="46"/>
  <c r="H54" i="46"/>
  <c r="I54" i="46"/>
  <c r="J54" i="46" s="1"/>
  <c r="A55" i="46"/>
  <c r="B55" i="46"/>
  <c r="D55" i="46"/>
  <c r="E55" i="46"/>
  <c r="F55" i="46"/>
  <c r="G55" i="46"/>
  <c r="H55" i="46"/>
  <c r="I55" i="46"/>
  <c r="J55" i="46" s="1"/>
  <c r="A56" i="46"/>
  <c r="B56" i="46"/>
  <c r="D56" i="46"/>
  <c r="E56" i="46"/>
  <c r="F56" i="46"/>
  <c r="G56" i="46"/>
  <c r="H56" i="46"/>
  <c r="I56" i="46"/>
  <c r="J56" i="46" s="1"/>
  <c r="A57" i="46"/>
  <c r="B57" i="46"/>
  <c r="D57" i="46"/>
  <c r="E57" i="46"/>
  <c r="F57" i="46"/>
  <c r="G57" i="46"/>
  <c r="H57" i="46"/>
  <c r="I57" i="46"/>
  <c r="J57" i="46" s="1"/>
  <c r="A58" i="46"/>
  <c r="B58" i="46"/>
  <c r="D58" i="46"/>
  <c r="E58" i="46"/>
  <c r="F58" i="46"/>
  <c r="G58" i="46"/>
  <c r="H58" i="46"/>
  <c r="I58" i="46"/>
  <c r="J58" i="46" s="1"/>
  <c r="A59" i="46"/>
  <c r="B59" i="46"/>
  <c r="D59" i="46"/>
  <c r="E59" i="46"/>
  <c r="F59" i="46"/>
  <c r="G59" i="46"/>
  <c r="H59" i="46"/>
  <c r="I59" i="46"/>
  <c r="J59" i="46" s="1"/>
  <c r="A60" i="46"/>
  <c r="B60" i="46"/>
  <c r="D60" i="46"/>
  <c r="E60" i="46"/>
  <c r="F60" i="46"/>
  <c r="G60" i="46"/>
  <c r="H60" i="46"/>
  <c r="I60" i="46"/>
  <c r="J60" i="46" s="1"/>
  <c r="A61" i="46"/>
  <c r="B61" i="46"/>
  <c r="D61" i="46"/>
  <c r="E61" i="46"/>
  <c r="F61" i="46"/>
  <c r="G61" i="46"/>
  <c r="H61" i="46"/>
  <c r="I61" i="46"/>
  <c r="J61" i="46" s="1"/>
  <c r="A62" i="46"/>
  <c r="B62" i="46"/>
  <c r="D62" i="46"/>
  <c r="E62" i="46"/>
  <c r="F62" i="46"/>
  <c r="G62" i="46"/>
  <c r="H62" i="46"/>
  <c r="I62" i="46"/>
  <c r="J62" i="46" s="1"/>
  <c r="A63" i="46"/>
  <c r="B63" i="46"/>
  <c r="D63" i="46"/>
  <c r="E63" i="46"/>
  <c r="F63" i="46"/>
  <c r="G63" i="46"/>
  <c r="H63" i="46"/>
  <c r="I63" i="46"/>
  <c r="J63" i="46" s="1"/>
  <c r="A64" i="46"/>
  <c r="B64" i="46"/>
  <c r="D64" i="46"/>
  <c r="E64" i="46"/>
  <c r="F64" i="46"/>
  <c r="G64" i="46"/>
  <c r="H64" i="46"/>
  <c r="I64" i="46"/>
  <c r="J64" i="46" s="1"/>
  <c r="A65" i="46"/>
  <c r="B65" i="46"/>
  <c r="D65" i="46"/>
  <c r="E65" i="46"/>
  <c r="F65" i="46"/>
  <c r="G65" i="46"/>
  <c r="H65" i="46"/>
  <c r="I65" i="46"/>
  <c r="J65" i="46" s="1"/>
  <c r="A66" i="46"/>
  <c r="B66" i="46"/>
  <c r="D66" i="46"/>
  <c r="E66" i="46"/>
  <c r="F66" i="46"/>
  <c r="G66" i="46"/>
  <c r="H66" i="46"/>
  <c r="I66" i="46"/>
  <c r="J66" i="46" s="1"/>
  <c r="A67" i="46"/>
  <c r="B67" i="46"/>
  <c r="D67" i="46"/>
  <c r="E67" i="46"/>
  <c r="F67" i="46"/>
  <c r="G67" i="46"/>
  <c r="H67" i="46"/>
  <c r="I67" i="46"/>
  <c r="J67" i="46" s="1"/>
  <c r="A68" i="46"/>
  <c r="B68" i="46"/>
  <c r="D68" i="46"/>
  <c r="E68" i="46"/>
  <c r="F68" i="46"/>
  <c r="G68" i="46"/>
  <c r="H68" i="46"/>
  <c r="I68" i="46"/>
  <c r="A69" i="46"/>
  <c r="B69" i="46"/>
  <c r="D69" i="46"/>
  <c r="E69" i="46"/>
  <c r="F69" i="46"/>
  <c r="G69" i="46"/>
  <c r="H69" i="46"/>
  <c r="I69" i="46"/>
  <c r="A70" i="46"/>
  <c r="B70" i="46"/>
  <c r="D70" i="46"/>
  <c r="E70" i="46"/>
  <c r="F70" i="46"/>
  <c r="G70" i="46"/>
  <c r="H70" i="46"/>
  <c r="I70" i="46"/>
  <c r="A71" i="46"/>
  <c r="B71" i="46"/>
  <c r="D71" i="46"/>
  <c r="E71" i="46"/>
  <c r="F71" i="46"/>
  <c r="G71" i="46"/>
  <c r="H71" i="46"/>
  <c r="I71" i="46"/>
  <c r="A72" i="46"/>
  <c r="B72" i="46"/>
  <c r="D72" i="46"/>
  <c r="E72" i="46"/>
  <c r="F72" i="46"/>
  <c r="G72" i="46"/>
  <c r="H72" i="46"/>
  <c r="I72" i="46"/>
  <c r="A73" i="46"/>
  <c r="B73" i="46"/>
  <c r="D73" i="46"/>
  <c r="E73" i="46"/>
  <c r="F73" i="46"/>
  <c r="G73" i="46"/>
  <c r="H73" i="46"/>
  <c r="I73" i="46"/>
  <c r="A74" i="46"/>
  <c r="B74" i="46"/>
  <c r="D74" i="46"/>
  <c r="E74" i="46"/>
  <c r="F74" i="46"/>
  <c r="G74" i="46"/>
  <c r="H74" i="46"/>
  <c r="I74" i="46"/>
  <c r="A75" i="46"/>
  <c r="B75" i="46"/>
  <c r="D75" i="46"/>
  <c r="E75" i="46"/>
  <c r="F75" i="46"/>
  <c r="G75" i="46"/>
  <c r="H75" i="46"/>
  <c r="I75" i="46"/>
  <c r="A76" i="46"/>
  <c r="B76" i="46"/>
  <c r="D76" i="46"/>
  <c r="E76" i="46"/>
  <c r="F76" i="46"/>
  <c r="G76" i="46"/>
  <c r="H76" i="46"/>
  <c r="I76" i="46"/>
  <c r="A77" i="46"/>
  <c r="B77" i="46"/>
  <c r="D77" i="46"/>
  <c r="E77" i="46"/>
  <c r="F77" i="46"/>
  <c r="G77" i="46"/>
  <c r="H77" i="46"/>
  <c r="I77" i="46"/>
  <c r="A78" i="46"/>
  <c r="B78" i="46"/>
  <c r="D78" i="46"/>
  <c r="E78" i="46"/>
  <c r="F78" i="46"/>
  <c r="G78" i="46"/>
  <c r="H78" i="46"/>
  <c r="I78" i="46"/>
  <c r="A79" i="46"/>
  <c r="B79" i="46"/>
  <c r="D79" i="46"/>
  <c r="E79" i="46"/>
  <c r="F79" i="46"/>
  <c r="G79" i="46"/>
  <c r="H79" i="46"/>
  <c r="I79" i="46"/>
  <c r="A80" i="46"/>
  <c r="B80" i="46"/>
  <c r="D80" i="46"/>
  <c r="E80" i="46"/>
  <c r="F80" i="46"/>
  <c r="G80" i="46"/>
  <c r="H80" i="46"/>
  <c r="I80" i="46"/>
  <c r="A81" i="46"/>
  <c r="B81" i="46"/>
  <c r="D81" i="46"/>
  <c r="E81" i="46"/>
  <c r="F81" i="46"/>
  <c r="G81" i="46"/>
  <c r="H81" i="46"/>
  <c r="I81" i="46"/>
  <c r="A82" i="46"/>
  <c r="B82" i="46"/>
  <c r="D82" i="46"/>
  <c r="E82" i="46"/>
  <c r="F82" i="46"/>
  <c r="G82" i="46"/>
  <c r="H82" i="46"/>
  <c r="I82" i="46"/>
  <c r="A83" i="46"/>
  <c r="B83" i="46"/>
  <c r="D83" i="46"/>
  <c r="E83" i="46"/>
  <c r="F83" i="46"/>
  <c r="G83" i="46"/>
  <c r="H83" i="46"/>
  <c r="I83" i="46"/>
  <c r="A84" i="46"/>
  <c r="B84" i="46"/>
  <c r="D84" i="46"/>
  <c r="E84" i="46"/>
  <c r="F84" i="46"/>
  <c r="G84" i="46"/>
  <c r="H84" i="46"/>
  <c r="I84" i="46"/>
  <c r="A85" i="46"/>
  <c r="B85" i="46"/>
  <c r="D85" i="46"/>
  <c r="E85" i="46"/>
  <c r="F85" i="46"/>
  <c r="G85" i="46"/>
  <c r="H85" i="46"/>
  <c r="I85" i="46"/>
  <c r="A86" i="46"/>
  <c r="B86" i="46"/>
  <c r="D86" i="46"/>
  <c r="E86" i="46"/>
  <c r="F86" i="46"/>
  <c r="G86" i="46"/>
  <c r="H86" i="46"/>
  <c r="I86" i="46"/>
  <c r="A87" i="46"/>
  <c r="B87" i="46"/>
  <c r="D87" i="46"/>
  <c r="E87" i="46"/>
  <c r="F87" i="46"/>
  <c r="G87" i="46"/>
  <c r="H87" i="46"/>
  <c r="I87" i="46"/>
  <c r="A88" i="46"/>
  <c r="B88" i="46"/>
  <c r="D88" i="46"/>
  <c r="E88" i="46"/>
  <c r="F88" i="46"/>
  <c r="G88" i="46"/>
  <c r="H88" i="46"/>
  <c r="I88" i="46"/>
  <c r="A89" i="46"/>
  <c r="B89" i="46"/>
  <c r="D89" i="46"/>
  <c r="E89" i="46"/>
  <c r="F89" i="46"/>
  <c r="G89" i="46"/>
  <c r="H89" i="46"/>
  <c r="I89" i="46"/>
  <c r="A90" i="46"/>
  <c r="B90" i="46"/>
  <c r="D90" i="46"/>
  <c r="E90" i="46"/>
  <c r="F90" i="46"/>
  <c r="G90" i="46"/>
  <c r="H90" i="46"/>
  <c r="I90" i="46"/>
  <c r="A91" i="46"/>
  <c r="B91" i="46"/>
  <c r="D91" i="46"/>
  <c r="E91" i="46"/>
  <c r="F91" i="46"/>
  <c r="G91" i="46"/>
  <c r="H91" i="46"/>
  <c r="I91" i="46"/>
  <c r="A92" i="46"/>
  <c r="B92" i="46"/>
  <c r="D92" i="46"/>
  <c r="E92" i="46"/>
  <c r="F92" i="46"/>
  <c r="G92" i="46"/>
  <c r="H92" i="46"/>
  <c r="I92" i="46"/>
  <c r="A93" i="46"/>
  <c r="B93" i="46"/>
  <c r="D93" i="46"/>
  <c r="E93" i="46"/>
  <c r="F93" i="46"/>
  <c r="G93" i="46"/>
  <c r="H93" i="46"/>
  <c r="I93" i="46"/>
  <c r="A94" i="46"/>
  <c r="B94" i="46"/>
  <c r="D94" i="46"/>
  <c r="E94" i="46"/>
  <c r="F94" i="46"/>
  <c r="G94" i="46"/>
  <c r="H94" i="46"/>
  <c r="I94" i="46"/>
  <c r="A95" i="46"/>
  <c r="B95" i="46"/>
  <c r="D95" i="46"/>
  <c r="E95" i="46"/>
  <c r="F95" i="46"/>
  <c r="G95" i="46"/>
  <c r="H95" i="46"/>
  <c r="I95" i="46"/>
  <c r="A96" i="46"/>
  <c r="B96" i="46"/>
  <c r="D96" i="46"/>
  <c r="E96" i="46"/>
  <c r="F96" i="46"/>
  <c r="G96" i="46"/>
  <c r="H96" i="46"/>
  <c r="I96" i="46"/>
  <c r="A97" i="46"/>
  <c r="B97" i="46"/>
  <c r="D97" i="46"/>
  <c r="E97" i="46"/>
  <c r="F97" i="46"/>
  <c r="G97" i="46"/>
  <c r="H97" i="46"/>
  <c r="I97" i="46"/>
  <c r="A98" i="46"/>
  <c r="B98" i="46"/>
  <c r="D98" i="46"/>
  <c r="E98" i="46"/>
  <c r="F98" i="46"/>
  <c r="G98" i="46"/>
  <c r="H98" i="46"/>
  <c r="I98" i="46"/>
  <c r="A99" i="46"/>
  <c r="B99" i="46"/>
  <c r="D99" i="46"/>
  <c r="E99" i="46"/>
  <c r="F99" i="46"/>
  <c r="G99" i="46"/>
  <c r="H99" i="46"/>
  <c r="I99" i="46"/>
  <c r="A100" i="46"/>
  <c r="B100" i="46"/>
  <c r="D100" i="46"/>
  <c r="E100" i="46"/>
  <c r="F100" i="46"/>
  <c r="G100" i="46"/>
  <c r="H100" i="46"/>
  <c r="I100" i="46"/>
  <c r="A101" i="46"/>
  <c r="B101" i="46"/>
  <c r="D101" i="46"/>
  <c r="E101" i="46"/>
  <c r="F101" i="46"/>
  <c r="G101" i="46"/>
  <c r="H101" i="46"/>
  <c r="I101" i="46"/>
  <c r="A102" i="46"/>
  <c r="B102" i="46"/>
  <c r="D102" i="46"/>
  <c r="E102" i="46"/>
  <c r="F102" i="46"/>
  <c r="G102" i="46"/>
  <c r="H102" i="46"/>
  <c r="I102" i="46"/>
  <c r="A103" i="46"/>
  <c r="B103" i="46"/>
  <c r="D103" i="46"/>
  <c r="E103" i="46"/>
  <c r="F103" i="46"/>
  <c r="G103" i="46"/>
  <c r="H103" i="46"/>
  <c r="I103" i="46"/>
  <c r="A104" i="46"/>
  <c r="B104" i="46"/>
  <c r="D104" i="46"/>
  <c r="E104" i="46"/>
  <c r="F104" i="46"/>
  <c r="G104" i="46"/>
  <c r="H104" i="46"/>
  <c r="I104" i="46"/>
  <c r="A105" i="46"/>
  <c r="B105" i="46"/>
  <c r="D105" i="46"/>
  <c r="E105" i="46"/>
  <c r="F105" i="46"/>
  <c r="G105" i="46"/>
  <c r="H105" i="46"/>
  <c r="I105" i="46"/>
  <c r="A106" i="46"/>
  <c r="B106" i="46"/>
  <c r="D106" i="46"/>
  <c r="E106" i="46"/>
  <c r="F106" i="46"/>
  <c r="G106" i="46"/>
  <c r="H106" i="46"/>
  <c r="I106" i="46"/>
  <c r="A107" i="46"/>
  <c r="B107" i="46"/>
  <c r="D107" i="46"/>
  <c r="E107" i="46"/>
  <c r="F107" i="46"/>
  <c r="G107" i="46"/>
  <c r="H107" i="46"/>
  <c r="I107" i="46"/>
  <c r="A108" i="46"/>
  <c r="B108" i="46"/>
  <c r="D108" i="46"/>
  <c r="E108" i="46"/>
  <c r="F108" i="46"/>
  <c r="G108" i="46"/>
  <c r="H108" i="46"/>
  <c r="I108" i="46"/>
  <c r="A109" i="46"/>
  <c r="B109" i="46"/>
  <c r="D109" i="46"/>
  <c r="E109" i="46"/>
  <c r="F109" i="46"/>
  <c r="G109" i="46"/>
  <c r="H109" i="46"/>
  <c r="I109" i="46"/>
  <c r="A110" i="46"/>
  <c r="B110" i="46"/>
  <c r="D110" i="46"/>
  <c r="E110" i="46"/>
  <c r="F110" i="46"/>
  <c r="G110" i="46"/>
  <c r="H110" i="46"/>
  <c r="I110" i="46"/>
  <c r="A111" i="46"/>
  <c r="B111" i="46"/>
  <c r="D111" i="46"/>
  <c r="E111" i="46"/>
  <c r="F111" i="46"/>
  <c r="G111" i="46"/>
  <c r="H111" i="46"/>
  <c r="I111" i="46"/>
  <c r="A112" i="46"/>
  <c r="B112" i="46"/>
  <c r="D112" i="46"/>
  <c r="E112" i="46"/>
  <c r="F112" i="46"/>
  <c r="G112" i="46"/>
  <c r="H112" i="46"/>
  <c r="I112" i="46"/>
  <c r="A113" i="46"/>
  <c r="B113" i="46"/>
  <c r="D113" i="46"/>
  <c r="E113" i="46"/>
  <c r="F113" i="46"/>
  <c r="G113" i="46"/>
  <c r="H113" i="46"/>
  <c r="I113" i="46"/>
  <c r="A114" i="46"/>
  <c r="B114" i="46"/>
  <c r="D114" i="46"/>
  <c r="E114" i="46"/>
  <c r="F114" i="46"/>
  <c r="G114" i="46"/>
  <c r="H114" i="46"/>
  <c r="I114" i="46"/>
  <c r="A115" i="46"/>
  <c r="B115" i="46"/>
  <c r="D115" i="46"/>
  <c r="E115" i="46"/>
  <c r="F115" i="46"/>
  <c r="G115" i="46"/>
  <c r="H115" i="46"/>
  <c r="I115" i="46"/>
  <c r="A116" i="46"/>
  <c r="B116" i="46"/>
  <c r="D116" i="46"/>
  <c r="E116" i="46"/>
  <c r="F116" i="46"/>
  <c r="G116" i="46"/>
  <c r="H116" i="46"/>
  <c r="I116" i="46"/>
  <c r="A117" i="46"/>
  <c r="B117" i="46"/>
  <c r="D117" i="46"/>
  <c r="E117" i="46"/>
  <c r="F117" i="46"/>
  <c r="G117" i="46"/>
  <c r="H117" i="46"/>
  <c r="I117" i="46"/>
  <c r="A118" i="46"/>
  <c r="B118" i="46"/>
  <c r="D118" i="46"/>
  <c r="E118" i="46"/>
  <c r="F118" i="46"/>
  <c r="G118" i="46"/>
  <c r="H118" i="46"/>
  <c r="I118" i="46"/>
  <c r="A119" i="46"/>
  <c r="B119" i="46"/>
  <c r="D119" i="46"/>
  <c r="E119" i="46"/>
  <c r="F119" i="46"/>
  <c r="G119" i="46"/>
  <c r="H119" i="46"/>
  <c r="I119" i="46"/>
  <c r="A120" i="46"/>
  <c r="B120" i="46"/>
  <c r="D120" i="46"/>
  <c r="E120" i="46"/>
  <c r="F120" i="46"/>
  <c r="G120" i="46"/>
  <c r="H120" i="46"/>
  <c r="I120" i="46"/>
  <c r="A121" i="46"/>
  <c r="B121" i="46"/>
  <c r="D121" i="46"/>
  <c r="E121" i="46"/>
  <c r="F121" i="46"/>
  <c r="G121" i="46"/>
  <c r="H121" i="46"/>
  <c r="I121" i="46"/>
  <c r="A122" i="46"/>
  <c r="B122" i="46"/>
  <c r="D122" i="46"/>
  <c r="E122" i="46"/>
  <c r="F122" i="46"/>
  <c r="G122" i="46"/>
  <c r="H122" i="46"/>
  <c r="I122" i="46"/>
  <c r="A123" i="46"/>
  <c r="B123" i="46"/>
  <c r="D123" i="46"/>
  <c r="E123" i="46"/>
  <c r="F123" i="46"/>
  <c r="G123" i="46"/>
  <c r="H123" i="46"/>
  <c r="I123" i="46"/>
  <c r="A124" i="46"/>
  <c r="B124" i="46"/>
  <c r="D124" i="46"/>
  <c r="E124" i="46"/>
  <c r="F124" i="46"/>
  <c r="G124" i="46"/>
  <c r="H124" i="46"/>
  <c r="I124" i="46"/>
  <c r="A125" i="46"/>
  <c r="B125" i="46"/>
  <c r="D125" i="46"/>
  <c r="E125" i="46"/>
  <c r="F125" i="46"/>
  <c r="G125" i="46"/>
  <c r="H125" i="46"/>
  <c r="I125" i="46"/>
  <c r="A126" i="46"/>
  <c r="B126" i="46"/>
  <c r="D126" i="46"/>
  <c r="E126" i="46"/>
  <c r="F126" i="46"/>
  <c r="G126" i="46"/>
  <c r="H126" i="46"/>
  <c r="I126" i="46"/>
  <c r="A127" i="46"/>
  <c r="B127" i="46"/>
  <c r="D127" i="46"/>
  <c r="E127" i="46"/>
  <c r="F127" i="46"/>
  <c r="G127" i="46"/>
  <c r="H127" i="46"/>
  <c r="I127" i="46"/>
  <c r="A128" i="46"/>
  <c r="B128" i="46"/>
  <c r="D128" i="46"/>
  <c r="E128" i="46"/>
  <c r="F128" i="46"/>
  <c r="G128" i="46"/>
  <c r="H128" i="46"/>
  <c r="I128" i="46"/>
  <c r="A129" i="46"/>
  <c r="B129" i="46"/>
  <c r="D129" i="46"/>
  <c r="E129" i="46"/>
  <c r="F129" i="46"/>
  <c r="G129" i="46"/>
  <c r="H129" i="46"/>
  <c r="I129" i="46"/>
  <c r="A130" i="46"/>
  <c r="B130" i="46"/>
  <c r="D130" i="46"/>
  <c r="E130" i="46"/>
  <c r="F130" i="46"/>
  <c r="G130" i="46"/>
  <c r="H130" i="46"/>
  <c r="I130" i="46"/>
  <c r="A131" i="46"/>
  <c r="B131" i="46"/>
  <c r="D131" i="46"/>
  <c r="E131" i="46"/>
  <c r="F131" i="46"/>
  <c r="G131" i="46"/>
  <c r="H131" i="46"/>
  <c r="I131" i="46"/>
  <c r="A132" i="46"/>
  <c r="B132" i="46"/>
  <c r="D132" i="46"/>
  <c r="E132" i="46"/>
  <c r="F132" i="46"/>
  <c r="G132" i="46"/>
  <c r="H132" i="46"/>
  <c r="I132" i="46"/>
  <c r="A133" i="46"/>
  <c r="B133" i="46"/>
  <c r="D133" i="46"/>
  <c r="E133" i="46"/>
  <c r="F133" i="46"/>
  <c r="G133" i="46"/>
  <c r="H133" i="46"/>
  <c r="I133" i="46"/>
  <c r="A134" i="46"/>
  <c r="B134" i="46"/>
  <c r="D134" i="46"/>
  <c r="E134" i="46"/>
  <c r="F134" i="46"/>
  <c r="G134" i="46"/>
  <c r="H134" i="46"/>
  <c r="I134" i="46"/>
  <c r="A135" i="46"/>
  <c r="B135" i="46"/>
  <c r="D135" i="46"/>
  <c r="E135" i="46"/>
  <c r="F135" i="46"/>
  <c r="G135" i="46"/>
  <c r="H135" i="46"/>
  <c r="I135" i="46"/>
  <c r="A136" i="46"/>
  <c r="B136" i="46"/>
  <c r="D136" i="46"/>
  <c r="E136" i="46"/>
  <c r="F136" i="46"/>
  <c r="G136" i="46"/>
  <c r="H136" i="46"/>
  <c r="I136" i="46"/>
  <c r="A137" i="46"/>
  <c r="B137" i="46"/>
  <c r="D137" i="46"/>
  <c r="E137" i="46"/>
  <c r="F137" i="46"/>
  <c r="G137" i="46"/>
  <c r="H137" i="46"/>
  <c r="I137" i="46"/>
  <c r="A138" i="46"/>
  <c r="B138" i="46"/>
  <c r="D138" i="46"/>
  <c r="E138" i="46"/>
  <c r="F138" i="46"/>
  <c r="G138" i="46"/>
  <c r="H138" i="46"/>
  <c r="I138" i="46"/>
  <c r="A139" i="46"/>
  <c r="B139" i="46"/>
  <c r="D139" i="46"/>
  <c r="E139" i="46"/>
  <c r="F139" i="46"/>
  <c r="G139" i="46"/>
  <c r="H139" i="46"/>
  <c r="I139" i="46"/>
  <c r="A140" i="46"/>
  <c r="B140" i="46"/>
  <c r="D140" i="46"/>
  <c r="E140" i="46"/>
  <c r="F140" i="46"/>
  <c r="G140" i="46"/>
  <c r="H140" i="46"/>
  <c r="I140" i="46"/>
  <c r="A141" i="46"/>
  <c r="B141" i="46"/>
  <c r="D141" i="46"/>
  <c r="E141" i="46"/>
  <c r="F141" i="46"/>
  <c r="G141" i="46"/>
  <c r="H141" i="46"/>
  <c r="I141" i="46"/>
  <c r="A142" i="46"/>
  <c r="B142" i="46"/>
  <c r="D142" i="46"/>
  <c r="E142" i="46"/>
  <c r="F142" i="46"/>
  <c r="G142" i="46"/>
  <c r="H142" i="46"/>
  <c r="I142" i="46"/>
  <c r="A143" i="46"/>
  <c r="B143" i="46"/>
  <c r="D143" i="46"/>
  <c r="E143" i="46"/>
  <c r="F143" i="46"/>
  <c r="G143" i="46"/>
  <c r="H143" i="46"/>
  <c r="I143" i="46"/>
  <c r="A144" i="46"/>
  <c r="B144" i="46"/>
  <c r="D144" i="46"/>
  <c r="E144" i="46"/>
  <c r="F144" i="46"/>
  <c r="G144" i="46"/>
  <c r="H144" i="46"/>
  <c r="I144" i="46"/>
  <c r="A145" i="46"/>
  <c r="B145" i="46"/>
  <c r="D145" i="46"/>
  <c r="E145" i="46"/>
  <c r="F145" i="46"/>
  <c r="G145" i="46"/>
  <c r="H145" i="46"/>
  <c r="I145" i="46"/>
  <c r="A146" i="46"/>
  <c r="B146" i="46"/>
  <c r="D146" i="46"/>
  <c r="E146" i="46"/>
  <c r="F146" i="46"/>
  <c r="G146" i="46"/>
  <c r="H146" i="46"/>
  <c r="I146" i="46"/>
  <c r="A147" i="46"/>
  <c r="B147" i="46"/>
  <c r="D147" i="46"/>
  <c r="E147" i="46"/>
  <c r="F147" i="46"/>
  <c r="G147" i="46"/>
  <c r="H147" i="46"/>
  <c r="I147" i="46"/>
  <c r="A148" i="46"/>
  <c r="B148" i="46"/>
  <c r="D148" i="46"/>
  <c r="E148" i="46"/>
  <c r="F148" i="46"/>
  <c r="G148" i="46"/>
  <c r="H148" i="46"/>
  <c r="I148" i="46"/>
  <c r="A149" i="46"/>
  <c r="B149" i="46"/>
  <c r="D149" i="46"/>
  <c r="E149" i="46"/>
  <c r="F149" i="46"/>
  <c r="G149" i="46"/>
  <c r="H149" i="46"/>
  <c r="I149" i="46"/>
  <c r="A150" i="46"/>
  <c r="B150" i="46"/>
  <c r="D150" i="46"/>
  <c r="E150" i="46"/>
  <c r="F150" i="46"/>
  <c r="G150" i="46"/>
  <c r="H150" i="46"/>
  <c r="I150" i="46"/>
  <c r="A151" i="46"/>
  <c r="B151" i="46"/>
  <c r="D151" i="46"/>
  <c r="E151" i="46"/>
  <c r="F151" i="46"/>
  <c r="G151" i="46"/>
  <c r="H151" i="46"/>
  <c r="I151" i="46"/>
  <c r="A152" i="46"/>
  <c r="B152" i="46"/>
  <c r="D152" i="46"/>
  <c r="E152" i="46"/>
  <c r="F152" i="46"/>
  <c r="G152" i="46"/>
  <c r="H152" i="46"/>
  <c r="I152" i="46"/>
  <c r="A153" i="46"/>
  <c r="B153" i="46"/>
  <c r="D153" i="46"/>
  <c r="E153" i="46"/>
  <c r="F153" i="46"/>
  <c r="G153" i="46"/>
  <c r="H153" i="46"/>
  <c r="I153" i="46"/>
  <c r="A154" i="46"/>
  <c r="B154" i="46"/>
  <c r="D154" i="46"/>
  <c r="E154" i="46"/>
  <c r="F154" i="46"/>
  <c r="G154" i="46"/>
  <c r="H154" i="46"/>
  <c r="I154" i="46"/>
  <c r="A155" i="46"/>
  <c r="B155" i="46"/>
  <c r="D155" i="46"/>
  <c r="E155" i="46"/>
  <c r="F155" i="46"/>
  <c r="G155" i="46"/>
  <c r="H155" i="46"/>
  <c r="I155" i="46"/>
  <c r="A156" i="46"/>
  <c r="B156" i="46"/>
  <c r="D156" i="46"/>
  <c r="E156" i="46"/>
  <c r="F156" i="46"/>
  <c r="G156" i="46"/>
  <c r="H156" i="46"/>
  <c r="I156" i="46"/>
  <c r="A157" i="46"/>
  <c r="B157" i="46"/>
  <c r="D157" i="46"/>
  <c r="E157" i="46"/>
  <c r="F157" i="46"/>
  <c r="G157" i="46"/>
  <c r="H157" i="46"/>
  <c r="I157" i="46"/>
  <c r="A158" i="46"/>
  <c r="B158" i="46"/>
  <c r="D158" i="46"/>
  <c r="E158" i="46"/>
  <c r="F158" i="46"/>
  <c r="G158" i="46"/>
  <c r="H158" i="46"/>
  <c r="I158" i="46"/>
  <c r="A159" i="46"/>
  <c r="B159" i="46"/>
  <c r="D159" i="46"/>
  <c r="E159" i="46"/>
  <c r="F159" i="46"/>
  <c r="G159" i="46"/>
  <c r="H159" i="46"/>
  <c r="I159" i="46"/>
  <c r="A160" i="46"/>
  <c r="B160" i="46"/>
  <c r="D160" i="46"/>
  <c r="E160" i="46"/>
  <c r="F160" i="46"/>
  <c r="G160" i="46"/>
  <c r="H160" i="46"/>
  <c r="I160" i="46"/>
  <c r="A161" i="46"/>
  <c r="B161" i="46"/>
  <c r="D161" i="46"/>
  <c r="E161" i="46"/>
  <c r="F161" i="46"/>
  <c r="G161" i="46"/>
  <c r="H161" i="46"/>
  <c r="I161" i="46"/>
  <c r="A162" i="46"/>
  <c r="B162" i="46"/>
  <c r="D162" i="46"/>
  <c r="E162" i="46"/>
  <c r="F162" i="46"/>
  <c r="G162" i="46"/>
  <c r="H162" i="46"/>
  <c r="I162" i="46"/>
  <c r="A163" i="46"/>
  <c r="B163" i="46"/>
  <c r="D163" i="46"/>
  <c r="E163" i="46"/>
  <c r="F163" i="46"/>
  <c r="G163" i="46"/>
  <c r="H163" i="46"/>
  <c r="I163" i="46"/>
  <c r="A164" i="46"/>
  <c r="B164" i="46"/>
  <c r="D164" i="46"/>
  <c r="E164" i="46"/>
  <c r="F164" i="46"/>
  <c r="G164" i="46"/>
  <c r="H164" i="46"/>
  <c r="I164" i="46"/>
  <c r="A165" i="46"/>
  <c r="B165" i="46"/>
  <c r="D165" i="46"/>
  <c r="E165" i="46"/>
  <c r="F165" i="46"/>
  <c r="G165" i="46"/>
  <c r="H165" i="46"/>
  <c r="I165" i="46"/>
  <c r="A166" i="46"/>
  <c r="B166" i="46"/>
  <c r="D166" i="46"/>
  <c r="E166" i="46"/>
  <c r="F166" i="46"/>
  <c r="G166" i="46"/>
  <c r="H166" i="46"/>
  <c r="I166" i="46"/>
  <c r="A167" i="46"/>
  <c r="B167" i="46"/>
  <c r="D167" i="46"/>
  <c r="E167" i="46"/>
  <c r="F167" i="46"/>
  <c r="G167" i="46"/>
  <c r="H167" i="46"/>
  <c r="I167" i="46"/>
  <c r="A168" i="46"/>
  <c r="B168" i="46"/>
  <c r="D168" i="46"/>
  <c r="E168" i="46"/>
  <c r="F168" i="46"/>
  <c r="G168" i="46"/>
  <c r="H168" i="46"/>
  <c r="I168" i="46"/>
  <c r="A169" i="46"/>
  <c r="B169" i="46"/>
  <c r="D169" i="46"/>
  <c r="E169" i="46"/>
  <c r="F169" i="46"/>
  <c r="G169" i="46"/>
  <c r="H169" i="46"/>
  <c r="I169" i="46"/>
  <c r="A170" i="46"/>
  <c r="B170" i="46"/>
  <c r="D170" i="46"/>
  <c r="E170" i="46"/>
  <c r="F170" i="46"/>
  <c r="G170" i="46"/>
  <c r="H170" i="46"/>
  <c r="I170" i="46"/>
  <c r="A171" i="46"/>
  <c r="B171" i="46"/>
  <c r="D171" i="46"/>
  <c r="E171" i="46"/>
  <c r="F171" i="46"/>
  <c r="G171" i="46"/>
  <c r="H171" i="46"/>
  <c r="I171" i="46"/>
  <c r="A172" i="46"/>
  <c r="B172" i="46"/>
  <c r="D172" i="46"/>
  <c r="E172" i="46"/>
  <c r="F172" i="46"/>
  <c r="G172" i="46"/>
  <c r="H172" i="46"/>
  <c r="I172" i="46"/>
  <c r="A173" i="46"/>
  <c r="B173" i="46"/>
  <c r="D173" i="46"/>
  <c r="E173" i="46"/>
  <c r="F173" i="46"/>
  <c r="G173" i="46"/>
  <c r="H173" i="46"/>
  <c r="I173" i="46"/>
  <c r="A174" i="46"/>
  <c r="B174" i="46"/>
  <c r="D174" i="46"/>
  <c r="E174" i="46"/>
  <c r="F174" i="46"/>
  <c r="G174" i="46"/>
  <c r="H174" i="46"/>
  <c r="I174" i="46"/>
  <c r="A175" i="46"/>
  <c r="B175" i="46"/>
  <c r="D175" i="46"/>
  <c r="E175" i="46"/>
  <c r="F175" i="46"/>
  <c r="G175" i="46"/>
  <c r="H175" i="46"/>
  <c r="I175" i="46"/>
  <c r="A176" i="46"/>
  <c r="B176" i="46"/>
  <c r="D176" i="46"/>
  <c r="E176" i="46"/>
  <c r="F176" i="46"/>
  <c r="G176" i="46"/>
  <c r="H176" i="46"/>
  <c r="I176" i="46"/>
  <c r="A177" i="46"/>
  <c r="B177" i="46"/>
  <c r="D177" i="46"/>
  <c r="E177" i="46"/>
  <c r="F177" i="46"/>
  <c r="G177" i="46"/>
  <c r="H177" i="46"/>
  <c r="I177" i="46"/>
  <c r="A178" i="46"/>
  <c r="B178" i="46"/>
  <c r="D178" i="46"/>
  <c r="E178" i="46"/>
  <c r="F178" i="46"/>
  <c r="G178" i="46"/>
  <c r="H178" i="46"/>
  <c r="I178" i="46"/>
  <c r="A179" i="46"/>
  <c r="B179" i="46"/>
  <c r="D179" i="46"/>
  <c r="E179" i="46"/>
  <c r="F179" i="46"/>
  <c r="G179" i="46"/>
  <c r="H179" i="46"/>
  <c r="I179" i="46"/>
  <c r="A180" i="46"/>
  <c r="B180" i="46"/>
  <c r="D180" i="46"/>
  <c r="E180" i="46"/>
  <c r="F180" i="46"/>
  <c r="G180" i="46"/>
  <c r="H180" i="46"/>
  <c r="I180" i="46"/>
  <c r="A181" i="46"/>
  <c r="B181" i="46"/>
  <c r="D181" i="46"/>
  <c r="E181" i="46"/>
  <c r="F181" i="46"/>
  <c r="G181" i="46"/>
  <c r="H181" i="46"/>
  <c r="I181" i="46"/>
  <c r="A182" i="46"/>
  <c r="B182" i="46"/>
  <c r="D182" i="46"/>
  <c r="E182" i="46"/>
  <c r="F182" i="46"/>
  <c r="G182" i="46"/>
  <c r="H182" i="46"/>
  <c r="I182" i="46"/>
  <c r="A183" i="46"/>
  <c r="B183" i="46"/>
  <c r="D183" i="46"/>
  <c r="E183" i="46"/>
  <c r="F183" i="46"/>
  <c r="G183" i="46"/>
  <c r="H183" i="46"/>
  <c r="I183" i="46"/>
  <c r="A184" i="46"/>
  <c r="B184" i="46"/>
  <c r="D184" i="46"/>
  <c r="E184" i="46"/>
  <c r="F184" i="46"/>
  <c r="G184" i="46"/>
  <c r="H184" i="46"/>
  <c r="I184" i="46"/>
  <c r="A185" i="46"/>
  <c r="B185" i="46"/>
  <c r="D185" i="46"/>
  <c r="E185" i="46"/>
  <c r="F185" i="46"/>
  <c r="G185" i="46"/>
  <c r="H185" i="46"/>
  <c r="I185" i="46"/>
  <c r="A186" i="46"/>
  <c r="B186" i="46"/>
  <c r="D186" i="46"/>
  <c r="E186" i="46"/>
  <c r="F186" i="46"/>
  <c r="G186" i="46"/>
  <c r="H186" i="46"/>
  <c r="I186" i="46"/>
  <c r="A187" i="46"/>
  <c r="B187" i="46"/>
  <c r="D187" i="46"/>
  <c r="E187" i="46"/>
  <c r="F187" i="46"/>
  <c r="G187" i="46"/>
  <c r="H187" i="46"/>
  <c r="I187" i="46"/>
  <c r="A188" i="46"/>
  <c r="B188" i="46"/>
  <c r="D188" i="46"/>
  <c r="E188" i="46"/>
  <c r="F188" i="46"/>
  <c r="G188" i="46"/>
  <c r="H188" i="46"/>
  <c r="I188" i="46"/>
  <c r="A189" i="46"/>
  <c r="B189" i="46"/>
  <c r="D189" i="46"/>
  <c r="E189" i="46"/>
  <c r="F189" i="46"/>
  <c r="G189" i="46"/>
  <c r="H189" i="46"/>
  <c r="I189" i="46"/>
  <c r="A190" i="46"/>
  <c r="B190" i="46"/>
  <c r="D190" i="46"/>
  <c r="E190" i="46"/>
  <c r="F190" i="46"/>
  <c r="G190" i="46"/>
  <c r="H190" i="46"/>
  <c r="I190" i="46"/>
  <c r="A191" i="46"/>
  <c r="B191" i="46"/>
  <c r="D191" i="46"/>
  <c r="E191" i="46"/>
  <c r="F191" i="46"/>
  <c r="G191" i="46"/>
  <c r="H191" i="46"/>
  <c r="I191" i="46"/>
  <c r="A192" i="46"/>
  <c r="B192" i="46"/>
  <c r="D192" i="46"/>
  <c r="E192" i="46"/>
  <c r="F192" i="46"/>
  <c r="G192" i="46"/>
  <c r="H192" i="46"/>
  <c r="I192" i="46"/>
  <c r="A193" i="46"/>
  <c r="B193" i="46"/>
  <c r="D193" i="46"/>
  <c r="E193" i="46"/>
  <c r="F193" i="46"/>
  <c r="G193" i="46"/>
  <c r="H193" i="46"/>
  <c r="I193" i="46"/>
  <c r="A194" i="46"/>
  <c r="B194" i="46"/>
  <c r="D194" i="46"/>
  <c r="E194" i="46"/>
  <c r="F194" i="46"/>
  <c r="G194" i="46"/>
  <c r="H194" i="46"/>
  <c r="I194" i="46"/>
  <c r="A195" i="46"/>
  <c r="B195" i="46"/>
  <c r="D195" i="46"/>
  <c r="E195" i="46"/>
  <c r="F195" i="46"/>
  <c r="G195" i="46"/>
  <c r="H195" i="46"/>
  <c r="I195" i="46"/>
  <c r="A196" i="46"/>
  <c r="B196" i="46"/>
  <c r="D196" i="46"/>
  <c r="E196" i="46"/>
  <c r="F196" i="46"/>
  <c r="G196" i="46"/>
  <c r="H196" i="46"/>
  <c r="I196" i="46"/>
  <c r="A197" i="46"/>
  <c r="B197" i="46"/>
  <c r="D197" i="46"/>
  <c r="E197" i="46"/>
  <c r="F197" i="46"/>
  <c r="G197" i="46"/>
  <c r="H197" i="46"/>
  <c r="I197" i="46"/>
  <c r="A198" i="46"/>
  <c r="B198" i="46"/>
  <c r="D198" i="46"/>
  <c r="E198" i="46"/>
  <c r="F198" i="46"/>
  <c r="G198" i="46"/>
  <c r="H198" i="46"/>
  <c r="I198" i="46"/>
  <c r="A199" i="46"/>
  <c r="B199" i="46"/>
  <c r="D199" i="46"/>
  <c r="E199" i="46"/>
  <c r="F199" i="46"/>
  <c r="G199" i="46"/>
  <c r="H199" i="46"/>
  <c r="I199" i="46"/>
  <c r="A200" i="46"/>
  <c r="B200" i="46"/>
  <c r="D200" i="46"/>
  <c r="E200" i="46"/>
  <c r="F200" i="46"/>
  <c r="G200" i="46"/>
  <c r="H200" i="46"/>
  <c r="I200" i="46"/>
  <c r="A201" i="46"/>
  <c r="B201" i="46"/>
  <c r="D201" i="46"/>
  <c r="E201" i="46"/>
  <c r="F201" i="46"/>
  <c r="G201" i="46"/>
  <c r="H201" i="46"/>
  <c r="I201" i="46"/>
  <c r="A202" i="46"/>
  <c r="B202" i="46"/>
  <c r="D202" i="46"/>
  <c r="E202" i="46"/>
  <c r="F202" i="46"/>
  <c r="G202" i="46"/>
  <c r="H202" i="46"/>
  <c r="I202" i="46"/>
  <c r="A203" i="46"/>
  <c r="B203" i="46"/>
  <c r="D203" i="46"/>
  <c r="E203" i="46"/>
  <c r="F203" i="46"/>
  <c r="G203" i="46"/>
  <c r="H203" i="46"/>
  <c r="I203" i="46"/>
  <c r="A204" i="46"/>
  <c r="B204" i="46"/>
  <c r="D204" i="46"/>
  <c r="E204" i="46"/>
  <c r="F204" i="46"/>
  <c r="G204" i="46"/>
  <c r="H204" i="46"/>
  <c r="I204" i="46"/>
  <c r="A205" i="46"/>
  <c r="B205" i="46"/>
  <c r="D205" i="46"/>
  <c r="E205" i="46"/>
  <c r="F205" i="46"/>
  <c r="G205" i="46"/>
  <c r="H205" i="46"/>
  <c r="I205" i="46"/>
  <c r="A206" i="46"/>
  <c r="B206" i="46"/>
  <c r="D206" i="46"/>
  <c r="E206" i="46"/>
  <c r="F206" i="46"/>
  <c r="G206" i="46"/>
  <c r="H206" i="46"/>
  <c r="I206" i="46"/>
  <c r="A207" i="46"/>
  <c r="B207" i="46"/>
  <c r="D207" i="46"/>
  <c r="E207" i="46"/>
  <c r="F207" i="46"/>
  <c r="G207" i="46"/>
  <c r="H207" i="46"/>
  <c r="I207" i="46"/>
  <c r="A208" i="46"/>
  <c r="B208" i="46"/>
  <c r="D208" i="46"/>
  <c r="E208" i="46"/>
  <c r="F208" i="46"/>
  <c r="G208" i="46"/>
  <c r="H208" i="46"/>
  <c r="I208" i="46"/>
  <c r="A209" i="46"/>
  <c r="B209" i="46"/>
  <c r="D209" i="46"/>
  <c r="E209" i="46"/>
  <c r="F209" i="46"/>
  <c r="G209" i="46"/>
  <c r="H209" i="46"/>
  <c r="I209" i="46"/>
  <c r="A210" i="46"/>
  <c r="B210" i="46"/>
  <c r="D210" i="46"/>
  <c r="E210" i="46"/>
  <c r="F210" i="46"/>
  <c r="G210" i="46"/>
  <c r="H210" i="46"/>
  <c r="I210" i="46"/>
  <c r="A211" i="46"/>
  <c r="B211" i="46"/>
  <c r="D211" i="46"/>
  <c r="E211" i="46"/>
  <c r="F211" i="46"/>
  <c r="G211" i="46"/>
  <c r="H211" i="46"/>
  <c r="I211" i="46"/>
  <c r="A212" i="46"/>
  <c r="B212" i="46"/>
  <c r="D212" i="46"/>
  <c r="E212" i="46"/>
  <c r="F212" i="46"/>
  <c r="G212" i="46"/>
  <c r="H212" i="46"/>
  <c r="I212" i="46"/>
  <c r="A213" i="46"/>
  <c r="B213" i="46"/>
  <c r="D213" i="46"/>
  <c r="E213" i="46"/>
  <c r="F213" i="46"/>
  <c r="G213" i="46"/>
  <c r="H213" i="46"/>
  <c r="I213" i="46"/>
  <c r="A214" i="46"/>
  <c r="B214" i="46"/>
  <c r="D214" i="46"/>
  <c r="E214" i="46"/>
  <c r="F214" i="46"/>
  <c r="G214" i="46"/>
  <c r="H214" i="46"/>
  <c r="I214" i="46"/>
  <c r="A215" i="46"/>
  <c r="B215" i="46"/>
  <c r="D215" i="46"/>
  <c r="E215" i="46"/>
  <c r="F215" i="46"/>
  <c r="G215" i="46"/>
  <c r="H215" i="46"/>
  <c r="I215" i="46"/>
  <c r="A216" i="46"/>
  <c r="B216" i="46"/>
  <c r="D216" i="46"/>
  <c r="E216" i="46"/>
  <c r="F216" i="46"/>
  <c r="G216" i="46"/>
  <c r="H216" i="46"/>
  <c r="I216" i="46"/>
  <c r="A217" i="46"/>
  <c r="B217" i="46"/>
  <c r="D217" i="46"/>
  <c r="E217" i="46"/>
  <c r="F217" i="46"/>
  <c r="G217" i="46"/>
  <c r="H217" i="46"/>
  <c r="I217" i="46"/>
  <c r="A218" i="46"/>
  <c r="B218" i="46"/>
  <c r="D218" i="46"/>
  <c r="E218" i="46"/>
  <c r="F218" i="46"/>
  <c r="G218" i="46"/>
  <c r="H218" i="46"/>
  <c r="I218" i="46"/>
  <c r="A219" i="46"/>
  <c r="B219" i="46"/>
  <c r="D219" i="46"/>
  <c r="E219" i="46"/>
  <c r="F219" i="46"/>
  <c r="G219" i="46"/>
  <c r="H219" i="46"/>
  <c r="I219" i="46"/>
  <c r="A220" i="46"/>
  <c r="B220" i="46"/>
  <c r="D220" i="46"/>
  <c r="E220" i="46"/>
  <c r="F220" i="46"/>
  <c r="G220" i="46"/>
  <c r="H220" i="46"/>
  <c r="I220" i="46"/>
  <c r="A221" i="46"/>
  <c r="B221" i="46"/>
  <c r="D221" i="46"/>
  <c r="E221" i="46"/>
  <c r="F221" i="46"/>
  <c r="G221" i="46"/>
  <c r="H221" i="46"/>
  <c r="I221" i="46"/>
  <c r="A222" i="46"/>
  <c r="B222" i="46"/>
  <c r="D222" i="46"/>
  <c r="E222" i="46"/>
  <c r="F222" i="46"/>
  <c r="G222" i="46"/>
  <c r="H222" i="46"/>
  <c r="I222" i="46"/>
  <c r="A223" i="46"/>
  <c r="B223" i="46"/>
  <c r="D223" i="46"/>
  <c r="E223" i="46"/>
  <c r="F223" i="46"/>
  <c r="G223" i="46"/>
  <c r="H223" i="46"/>
  <c r="I223" i="46"/>
  <c r="A224" i="46"/>
  <c r="B224" i="46"/>
  <c r="D224" i="46"/>
  <c r="E224" i="46"/>
  <c r="F224" i="46"/>
  <c r="G224" i="46"/>
  <c r="H224" i="46"/>
  <c r="I224" i="46"/>
  <c r="A225" i="46"/>
  <c r="B225" i="46"/>
  <c r="D225" i="46"/>
  <c r="E225" i="46"/>
  <c r="F225" i="46"/>
  <c r="G225" i="46"/>
  <c r="H225" i="46"/>
  <c r="I225" i="46"/>
  <c r="A226" i="46"/>
  <c r="B226" i="46"/>
  <c r="D226" i="46"/>
  <c r="E226" i="46"/>
  <c r="F226" i="46"/>
  <c r="G226" i="46"/>
  <c r="H226" i="46"/>
  <c r="I226" i="46"/>
  <c r="A227" i="46"/>
  <c r="B227" i="46"/>
  <c r="D227" i="46"/>
  <c r="E227" i="46"/>
  <c r="F227" i="46"/>
  <c r="G227" i="46"/>
  <c r="H227" i="46"/>
  <c r="I227" i="46"/>
  <c r="A228" i="46"/>
  <c r="B228" i="46"/>
  <c r="D228" i="46"/>
  <c r="E228" i="46"/>
  <c r="F228" i="46"/>
  <c r="G228" i="46"/>
  <c r="H228" i="46"/>
  <c r="I228" i="46"/>
  <c r="A229" i="46"/>
  <c r="B229" i="46"/>
  <c r="D229" i="46"/>
  <c r="E229" i="46"/>
  <c r="F229" i="46"/>
  <c r="G229" i="46"/>
  <c r="H229" i="46"/>
  <c r="I229" i="46"/>
  <c r="A230" i="46"/>
  <c r="B230" i="46"/>
  <c r="D230" i="46"/>
  <c r="E230" i="46"/>
  <c r="F230" i="46"/>
  <c r="G230" i="46"/>
  <c r="H230" i="46"/>
  <c r="I230" i="46"/>
  <c r="A231" i="46"/>
  <c r="B231" i="46"/>
  <c r="D231" i="46"/>
  <c r="E231" i="46"/>
  <c r="F231" i="46"/>
  <c r="G231" i="46"/>
  <c r="H231" i="46"/>
  <c r="I231" i="46"/>
  <c r="A232" i="46"/>
  <c r="B232" i="46"/>
  <c r="D232" i="46"/>
  <c r="E232" i="46"/>
  <c r="F232" i="46"/>
  <c r="G232" i="46"/>
  <c r="H232" i="46"/>
  <c r="I232" i="46"/>
  <c r="A233" i="46"/>
  <c r="B233" i="46"/>
  <c r="D233" i="46"/>
  <c r="E233" i="46"/>
  <c r="F233" i="46"/>
  <c r="G233" i="46"/>
  <c r="H233" i="46"/>
  <c r="I233" i="46"/>
  <c r="A234" i="46"/>
  <c r="B234" i="46"/>
  <c r="D234" i="46"/>
  <c r="E234" i="46"/>
  <c r="F234" i="46"/>
  <c r="G234" i="46"/>
  <c r="H234" i="46"/>
  <c r="I234" i="46"/>
  <c r="A235" i="46"/>
  <c r="B235" i="46"/>
  <c r="D235" i="46"/>
  <c r="E235" i="46"/>
  <c r="F235" i="46"/>
  <c r="G235" i="46"/>
  <c r="H235" i="46"/>
  <c r="I235" i="46"/>
  <c r="A236" i="46"/>
  <c r="B236" i="46"/>
  <c r="D236" i="46"/>
  <c r="E236" i="46"/>
  <c r="F236" i="46"/>
  <c r="G236" i="46"/>
  <c r="H236" i="46"/>
  <c r="I236" i="46"/>
  <c r="A237" i="46"/>
  <c r="B237" i="46"/>
  <c r="D237" i="46"/>
  <c r="E237" i="46"/>
  <c r="F237" i="46"/>
  <c r="G237" i="46"/>
  <c r="H237" i="46"/>
  <c r="I237" i="46"/>
  <c r="A238" i="46"/>
  <c r="B238" i="46"/>
  <c r="D238" i="46"/>
  <c r="E238" i="46"/>
  <c r="F238" i="46"/>
  <c r="G238" i="46"/>
  <c r="H238" i="46"/>
  <c r="I238" i="46"/>
  <c r="A239" i="46"/>
  <c r="B239" i="46"/>
  <c r="D239" i="46"/>
  <c r="E239" i="46"/>
  <c r="F239" i="46"/>
  <c r="G239" i="46"/>
  <c r="H239" i="46"/>
  <c r="I239" i="46"/>
  <c r="A240" i="46"/>
  <c r="B240" i="46"/>
  <c r="D240" i="46"/>
  <c r="E240" i="46"/>
  <c r="F240" i="46"/>
  <c r="G240" i="46"/>
  <c r="H240" i="46"/>
  <c r="I240" i="46"/>
  <c r="A241" i="46"/>
  <c r="B241" i="46"/>
  <c r="D241" i="46"/>
  <c r="E241" i="46"/>
  <c r="F241" i="46"/>
  <c r="G241" i="46"/>
  <c r="H241" i="46"/>
  <c r="I241" i="46"/>
  <c r="A242" i="46"/>
  <c r="B242" i="46"/>
  <c r="D242" i="46"/>
  <c r="E242" i="46"/>
  <c r="F242" i="46"/>
  <c r="G242" i="46"/>
  <c r="H242" i="46"/>
  <c r="I242" i="46"/>
  <c r="A243" i="46"/>
  <c r="B243" i="46"/>
  <c r="D243" i="46"/>
  <c r="E243" i="46"/>
  <c r="F243" i="46"/>
  <c r="G243" i="46"/>
  <c r="H243" i="46"/>
  <c r="I243" i="46"/>
  <c r="A244" i="46"/>
  <c r="B244" i="46"/>
  <c r="D244" i="46"/>
  <c r="E244" i="46"/>
  <c r="F244" i="46"/>
  <c r="G244" i="46"/>
  <c r="H244" i="46"/>
  <c r="I244" i="46"/>
  <c r="A245" i="46"/>
  <c r="B245" i="46"/>
  <c r="D245" i="46"/>
  <c r="E245" i="46"/>
  <c r="F245" i="46"/>
  <c r="G245" i="46"/>
  <c r="H245" i="46"/>
  <c r="I245" i="46"/>
  <c r="A246" i="46"/>
  <c r="B246" i="46"/>
  <c r="D246" i="46"/>
  <c r="E246" i="46"/>
  <c r="F246" i="46"/>
  <c r="G246" i="46"/>
  <c r="H246" i="46"/>
  <c r="I246" i="46"/>
  <c r="A247" i="46"/>
  <c r="B247" i="46"/>
  <c r="D247" i="46"/>
  <c r="E247" i="46"/>
  <c r="F247" i="46"/>
  <c r="G247" i="46"/>
  <c r="H247" i="46"/>
  <c r="I247" i="46"/>
  <c r="J247" i="46" s="1"/>
  <c r="A248" i="46"/>
  <c r="B248" i="46"/>
  <c r="D248" i="46"/>
  <c r="E248" i="46"/>
  <c r="F248" i="46"/>
  <c r="G248" i="46"/>
  <c r="H248" i="46"/>
  <c r="I248" i="46"/>
  <c r="A249" i="46"/>
  <c r="B249" i="46"/>
  <c r="D249" i="46"/>
  <c r="E249" i="46"/>
  <c r="F249" i="46"/>
  <c r="G249" i="46"/>
  <c r="H249" i="46"/>
  <c r="I249" i="46"/>
  <c r="A250" i="46"/>
  <c r="B250" i="46"/>
  <c r="D250" i="46"/>
  <c r="E250" i="46"/>
  <c r="F250" i="46"/>
  <c r="G250" i="46"/>
  <c r="H250" i="46"/>
  <c r="I250" i="46"/>
  <c r="A251" i="46"/>
  <c r="B251" i="46"/>
  <c r="D251" i="46"/>
  <c r="E251" i="46"/>
  <c r="F251" i="46"/>
  <c r="G251" i="46"/>
  <c r="H251" i="46"/>
  <c r="I251" i="46"/>
  <c r="A252" i="46"/>
  <c r="B252" i="46"/>
  <c r="D252" i="46"/>
  <c r="E252" i="46"/>
  <c r="F252" i="46"/>
  <c r="G252" i="46"/>
  <c r="H252" i="46"/>
  <c r="I252" i="46"/>
  <c r="A253" i="46"/>
  <c r="B253" i="46"/>
  <c r="D253" i="46"/>
  <c r="E253" i="46"/>
  <c r="F253" i="46"/>
  <c r="G253" i="46"/>
  <c r="H253" i="46"/>
  <c r="I253" i="46"/>
  <c r="A254" i="46"/>
  <c r="B254" i="46"/>
  <c r="D254" i="46"/>
  <c r="E254" i="46"/>
  <c r="F254" i="46"/>
  <c r="G254" i="46"/>
  <c r="H254" i="46"/>
  <c r="I254" i="46"/>
  <c r="A255" i="46"/>
  <c r="B255" i="46"/>
  <c r="D255" i="46"/>
  <c r="E255" i="46"/>
  <c r="F255" i="46"/>
  <c r="G255" i="46"/>
  <c r="H255" i="46"/>
  <c r="I255" i="46"/>
  <c r="J255" i="46" s="1"/>
  <c r="A256" i="46"/>
  <c r="B256" i="46"/>
  <c r="D256" i="46"/>
  <c r="E256" i="46"/>
  <c r="F256" i="46"/>
  <c r="G256" i="46"/>
  <c r="H256" i="46"/>
  <c r="I256" i="46"/>
  <c r="J7" i="46"/>
  <c r="K7" i="46"/>
  <c r="H7" i="46"/>
  <c r="G7" i="46"/>
  <c r="E7" i="46"/>
  <c r="D7" i="46"/>
  <c r="C7" i="46"/>
  <c r="B7" i="46"/>
  <c r="A7" i="46"/>
  <c r="L5" i="46" l="1"/>
  <c r="J5" i="46"/>
  <c r="B6" i="42"/>
  <c r="E6" i="42" s="1"/>
  <c r="C8" i="46" l="1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U4" i="42"/>
  <c r="B3" i="44"/>
  <c r="A3" i="44"/>
  <c r="C3" i="44"/>
  <c r="D3" i="44"/>
  <c r="B4" i="44"/>
  <c r="A4" i="44"/>
  <c r="C4" i="44"/>
  <c r="D4" i="44"/>
  <c r="B5" i="44"/>
  <c r="A5" i="44"/>
  <c r="C5" i="44"/>
  <c r="D5" i="44"/>
  <c r="B6" i="44"/>
  <c r="A6" i="44"/>
  <c r="C6" i="44"/>
  <c r="D6" i="44"/>
  <c r="B7" i="44"/>
  <c r="A7" i="44"/>
  <c r="C7" i="44"/>
  <c r="D7" i="44"/>
  <c r="B8" i="44"/>
  <c r="A8" i="44"/>
  <c r="C8" i="44"/>
  <c r="D8" i="44"/>
  <c r="B9" i="44"/>
  <c r="A9" i="44"/>
  <c r="C9" i="44"/>
  <c r="D9" i="44"/>
  <c r="B10" i="44"/>
  <c r="A10" i="44"/>
  <c r="C10" i="44"/>
  <c r="D10" i="44"/>
  <c r="B11" i="44"/>
  <c r="A11" i="44"/>
  <c r="C11" i="44"/>
  <c r="D11" i="44"/>
  <c r="B12" i="44"/>
  <c r="A12" i="44"/>
  <c r="C12" i="44"/>
  <c r="D12" i="44"/>
  <c r="B13" i="44"/>
  <c r="A13" i="44"/>
  <c r="C13" i="44"/>
  <c r="D13" i="44"/>
  <c r="B14" i="44"/>
  <c r="A14" i="44"/>
  <c r="C14" i="44"/>
  <c r="D14" i="44"/>
  <c r="B15" i="44"/>
  <c r="A15" i="44"/>
  <c r="C15" i="44"/>
  <c r="D15" i="44"/>
  <c r="B16" i="44"/>
  <c r="A16" i="44"/>
  <c r="C16" i="44"/>
  <c r="D16" i="44"/>
  <c r="B17" i="44"/>
  <c r="A17" i="44"/>
  <c r="C17" i="44"/>
  <c r="D17" i="44"/>
  <c r="B18" i="44"/>
  <c r="A18" i="44"/>
  <c r="C18" i="44"/>
  <c r="D18" i="44"/>
  <c r="B19" i="44"/>
  <c r="A19" i="44"/>
  <c r="C19" i="44"/>
  <c r="D19" i="44"/>
  <c r="B20" i="44"/>
  <c r="A20" i="44"/>
  <c r="C20" i="44"/>
  <c r="D20" i="44"/>
  <c r="B21" i="44"/>
  <c r="A21" i="44"/>
  <c r="C21" i="44"/>
  <c r="D21" i="44"/>
  <c r="B22" i="44"/>
  <c r="A22" i="44"/>
  <c r="C22" i="44"/>
  <c r="D22" i="44"/>
  <c r="B23" i="44"/>
  <c r="A23" i="44"/>
  <c r="C23" i="44"/>
  <c r="D23" i="44"/>
  <c r="B24" i="44"/>
  <c r="A24" i="44"/>
  <c r="C24" i="44"/>
  <c r="D24" i="44"/>
  <c r="B25" i="44"/>
  <c r="A25" i="44"/>
  <c r="C25" i="44"/>
  <c r="D25" i="44"/>
  <c r="B26" i="44"/>
  <c r="A26" i="44"/>
  <c r="C26" i="44"/>
  <c r="D26" i="44"/>
  <c r="B27" i="44"/>
  <c r="A27" i="44"/>
  <c r="C27" i="44"/>
  <c r="D27" i="44"/>
  <c r="B28" i="44"/>
  <c r="A28" i="44"/>
  <c r="C28" i="44"/>
  <c r="D28" i="44"/>
  <c r="B29" i="44"/>
  <c r="A29" i="44"/>
  <c r="C29" i="44"/>
  <c r="D29" i="44"/>
  <c r="B30" i="44"/>
  <c r="A30" i="44"/>
  <c r="C30" i="44"/>
  <c r="D30" i="44"/>
  <c r="B31" i="44"/>
  <c r="A31" i="44"/>
  <c r="C31" i="44"/>
  <c r="D31" i="44"/>
  <c r="B32" i="44"/>
  <c r="A32" i="44"/>
  <c r="C32" i="44"/>
  <c r="D32" i="44"/>
  <c r="B33" i="44"/>
  <c r="A33" i="44"/>
  <c r="C33" i="44"/>
  <c r="D33" i="44"/>
  <c r="B34" i="44"/>
  <c r="A34" i="44"/>
  <c r="C34" i="44"/>
  <c r="D34" i="44"/>
  <c r="B35" i="44"/>
  <c r="A35" i="44"/>
  <c r="C35" i="44"/>
  <c r="D35" i="44"/>
  <c r="A2" i="44"/>
  <c r="C2" i="44"/>
  <c r="D2" i="44"/>
  <c r="B2" i="44"/>
  <c r="V4" i="42" l="1"/>
  <c r="N3" i="43"/>
  <c r="O3" i="43"/>
  <c r="N4" i="43"/>
  <c r="O4" i="43"/>
  <c r="N5" i="43"/>
  <c r="O5" i="43"/>
  <c r="N6" i="43"/>
  <c r="O6" i="43"/>
  <c r="N7" i="43"/>
  <c r="O7" i="43"/>
  <c r="N8" i="43"/>
  <c r="O8" i="43"/>
  <c r="N9" i="43"/>
  <c r="O9" i="43"/>
  <c r="N10" i="43"/>
  <c r="O10" i="43"/>
  <c r="N11" i="43"/>
  <c r="O11" i="43"/>
  <c r="N12" i="43"/>
  <c r="O12" i="43"/>
  <c r="N13" i="43"/>
  <c r="O13" i="43"/>
  <c r="N14" i="43"/>
  <c r="O14" i="43"/>
  <c r="N15" i="43"/>
  <c r="O15" i="43"/>
  <c r="N16" i="43"/>
  <c r="O16" i="43"/>
  <c r="N17" i="43"/>
  <c r="O17" i="43"/>
  <c r="N18" i="43"/>
  <c r="O18" i="43"/>
  <c r="N19" i="43"/>
  <c r="O19" i="43"/>
  <c r="N20" i="43"/>
  <c r="O20" i="43"/>
  <c r="N21" i="43"/>
  <c r="O21" i="43"/>
  <c r="N22" i="43"/>
  <c r="O22" i="43"/>
  <c r="N23" i="43"/>
  <c r="O23" i="43"/>
  <c r="N24" i="43"/>
  <c r="O24" i="43"/>
  <c r="N25" i="43"/>
  <c r="O25" i="43"/>
  <c r="N26" i="43"/>
  <c r="O26" i="43"/>
  <c r="N27" i="43"/>
  <c r="O27" i="43"/>
  <c r="N28" i="43"/>
  <c r="O28" i="43"/>
  <c r="N29" i="43"/>
  <c r="O29" i="43"/>
  <c r="N30" i="43"/>
  <c r="O30" i="43"/>
  <c r="N31" i="43"/>
  <c r="O31" i="43"/>
  <c r="N32" i="43"/>
  <c r="O32" i="43"/>
  <c r="N33" i="43"/>
  <c r="O33" i="43"/>
  <c r="N34" i="43"/>
  <c r="O34" i="43"/>
  <c r="N35" i="43"/>
  <c r="O35" i="43"/>
  <c r="N36" i="43"/>
  <c r="O36" i="43"/>
  <c r="N37" i="43"/>
  <c r="O37" i="43"/>
  <c r="N38" i="43"/>
  <c r="O38" i="43"/>
  <c r="N39" i="43"/>
  <c r="O39" i="43"/>
  <c r="N40" i="43"/>
  <c r="O40" i="43"/>
  <c r="N41" i="43"/>
  <c r="O41" i="43"/>
  <c r="N42" i="43"/>
  <c r="O42" i="43"/>
  <c r="N43" i="43"/>
  <c r="O43" i="43"/>
  <c r="N44" i="43"/>
  <c r="O44" i="43"/>
  <c r="N45" i="43"/>
  <c r="O45" i="43"/>
  <c r="N46" i="43"/>
  <c r="O46" i="43"/>
  <c r="N47" i="43"/>
  <c r="O47" i="43"/>
  <c r="N48" i="43"/>
  <c r="O48" i="43"/>
  <c r="N49" i="43"/>
  <c r="O49" i="43"/>
  <c r="N50" i="43"/>
  <c r="O50" i="43"/>
  <c r="N51" i="43"/>
  <c r="O51" i="43"/>
  <c r="N52" i="43"/>
  <c r="O52" i="43"/>
  <c r="N53" i="43"/>
  <c r="O53" i="43"/>
  <c r="N54" i="43"/>
  <c r="O54" i="43"/>
  <c r="N55" i="43"/>
  <c r="O55" i="43"/>
  <c r="N56" i="43"/>
  <c r="O56" i="43"/>
  <c r="N57" i="43"/>
  <c r="O57" i="43"/>
  <c r="N58" i="43"/>
  <c r="O58" i="43"/>
  <c r="N59" i="43"/>
  <c r="O59" i="43"/>
  <c r="N60" i="43"/>
  <c r="O60" i="43"/>
  <c r="N61" i="43"/>
  <c r="O61" i="43"/>
  <c r="N62" i="43"/>
  <c r="O62" i="43"/>
  <c r="N63" i="43"/>
  <c r="O63" i="43"/>
  <c r="N64" i="43"/>
  <c r="O64" i="43"/>
  <c r="N65" i="43"/>
  <c r="O65" i="43"/>
  <c r="N66" i="43"/>
  <c r="O66" i="43"/>
  <c r="N67" i="43"/>
  <c r="O67" i="43"/>
  <c r="N68" i="43"/>
  <c r="O68" i="43"/>
  <c r="N69" i="43"/>
  <c r="O69" i="43"/>
  <c r="N70" i="43"/>
  <c r="O70" i="43"/>
  <c r="N71" i="43"/>
  <c r="O71" i="43"/>
  <c r="N72" i="43"/>
  <c r="O72" i="43"/>
  <c r="N73" i="43"/>
  <c r="O73" i="43"/>
  <c r="N74" i="43"/>
  <c r="O74" i="43"/>
  <c r="N75" i="43"/>
  <c r="O75" i="43"/>
  <c r="N76" i="43"/>
  <c r="O76" i="43"/>
  <c r="N77" i="43"/>
  <c r="O77" i="43"/>
  <c r="N78" i="43"/>
  <c r="O78" i="43"/>
  <c r="N79" i="43"/>
  <c r="O79" i="43"/>
  <c r="N80" i="43"/>
  <c r="O80" i="43"/>
  <c r="N81" i="43"/>
  <c r="O81" i="43"/>
  <c r="O2" i="43"/>
  <c r="N2" i="43"/>
  <c r="M3" i="43" l="1"/>
  <c r="M4" i="43"/>
  <c r="M5" i="43"/>
  <c r="M6" i="43"/>
  <c r="M7" i="43"/>
  <c r="M8" i="43"/>
  <c r="M9" i="43"/>
  <c r="M10" i="43"/>
  <c r="M11" i="43"/>
  <c r="M12" i="43"/>
  <c r="M13" i="43"/>
  <c r="M14" i="43"/>
  <c r="M15" i="43"/>
  <c r="M16" i="43"/>
  <c r="M17" i="43"/>
  <c r="M18" i="43"/>
  <c r="M19" i="43"/>
  <c r="M20" i="43"/>
  <c r="M21" i="43"/>
  <c r="M22" i="43"/>
  <c r="M23" i="43"/>
  <c r="M24" i="43"/>
  <c r="M25" i="43"/>
  <c r="M26" i="43"/>
  <c r="M27" i="43"/>
  <c r="M28" i="43"/>
  <c r="M29" i="43"/>
  <c r="M30" i="43"/>
  <c r="M31" i="43"/>
  <c r="M32" i="43"/>
  <c r="M33" i="43"/>
  <c r="M34" i="43"/>
  <c r="M35" i="43"/>
  <c r="M36" i="43"/>
  <c r="M37" i="43"/>
  <c r="M38" i="43"/>
  <c r="M39" i="43"/>
  <c r="M40" i="43"/>
  <c r="M41" i="43"/>
  <c r="M42" i="43"/>
  <c r="M43" i="43"/>
  <c r="M44" i="43"/>
  <c r="M45" i="43"/>
  <c r="M46" i="43"/>
  <c r="M47" i="43"/>
  <c r="M48" i="43"/>
  <c r="M49" i="43"/>
  <c r="M50" i="43"/>
  <c r="M51" i="43"/>
  <c r="M52" i="43"/>
  <c r="M53" i="43"/>
  <c r="M54" i="43"/>
  <c r="M55" i="43"/>
  <c r="M56" i="43"/>
  <c r="M57" i="43"/>
  <c r="M58" i="43"/>
  <c r="M59" i="43"/>
  <c r="M60" i="43"/>
  <c r="M61" i="43"/>
  <c r="M62" i="43"/>
  <c r="M63" i="43"/>
  <c r="M64" i="43"/>
  <c r="M65" i="43"/>
  <c r="M66" i="43"/>
  <c r="M67" i="43"/>
  <c r="M68" i="43"/>
  <c r="M69" i="43"/>
  <c r="M70" i="43"/>
  <c r="M71" i="43"/>
  <c r="M72" i="43"/>
  <c r="M73" i="43"/>
  <c r="M74" i="43"/>
  <c r="M75" i="43"/>
  <c r="M76" i="43"/>
  <c r="M77" i="43"/>
  <c r="M78" i="43"/>
  <c r="M79" i="43"/>
  <c r="M80" i="43"/>
  <c r="M81" i="43"/>
  <c r="M2" i="43"/>
  <c r="P81" i="43"/>
  <c r="Q81" i="43" s="1"/>
  <c r="P63" i="43"/>
  <c r="Q63" i="43" s="1"/>
  <c r="P64" i="43"/>
  <c r="Q64" i="43" s="1"/>
  <c r="P65" i="43"/>
  <c r="Q65" i="43" s="1"/>
  <c r="P66" i="43"/>
  <c r="Q66" i="43" s="1"/>
  <c r="P67" i="43"/>
  <c r="Q67" i="43" s="1"/>
  <c r="P68" i="43"/>
  <c r="Q68" i="43" s="1"/>
  <c r="P69" i="43"/>
  <c r="Q69" i="43" s="1"/>
  <c r="P70" i="43"/>
  <c r="Q70" i="43" s="1"/>
  <c r="P71" i="43"/>
  <c r="Q71" i="43" s="1"/>
  <c r="P72" i="43"/>
  <c r="Q72" i="43" s="1"/>
  <c r="P73" i="43"/>
  <c r="Q73" i="43" s="1"/>
  <c r="P74" i="43"/>
  <c r="Q74" i="43" s="1"/>
  <c r="P75" i="43"/>
  <c r="Q75" i="43" s="1"/>
  <c r="P76" i="43"/>
  <c r="Q76" i="43" s="1"/>
  <c r="P77" i="43"/>
  <c r="Q77" i="43" s="1"/>
  <c r="P78" i="43"/>
  <c r="Q78" i="43" s="1"/>
  <c r="P79" i="43"/>
  <c r="Q79" i="43" s="1"/>
  <c r="P80" i="43"/>
  <c r="Q80" i="43" s="1"/>
  <c r="P62" i="43"/>
  <c r="P61" i="43"/>
  <c r="P60" i="43"/>
  <c r="P59" i="43"/>
  <c r="P58" i="43"/>
  <c r="P57" i="43"/>
  <c r="P56" i="43"/>
  <c r="P55" i="43"/>
  <c r="P54" i="43"/>
  <c r="P53" i="43"/>
  <c r="P52" i="43"/>
  <c r="Q62" i="43" l="1"/>
  <c r="Q61" i="43"/>
  <c r="Q60" i="43"/>
  <c r="Q59" i="43"/>
  <c r="Q58" i="43"/>
  <c r="Q57" i="43"/>
  <c r="Q56" i="43"/>
  <c r="Q55" i="43"/>
  <c r="Q54" i="43"/>
  <c r="Q53" i="43"/>
  <c r="Q52" i="43"/>
  <c r="B7" i="42"/>
  <c r="E7" i="42" s="1"/>
  <c r="S1" i="43"/>
  <c r="C9" i="46" l="1"/>
  <c r="P51" i="43"/>
  <c r="P50" i="43"/>
  <c r="P49" i="43"/>
  <c r="P48" i="43"/>
  <c r="P47" i="43"/>
  <c r="P46" i="43"/>
  <c r="P45" i="43"/>
  <c r="P44" i="43"/>
  <c r="P43" i="43"/>
  <c r="P42" i="43"/>
  <c r="P41" i="43"/>
  <c r="P40" i="43"/>
  <c r="P39" i="43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P24" i="43"/>
  <c r="P23" i="43"/>
  <c r="P22" i="43"/>
  <c r="P21" i="43"/>
  <c r="P20" i="43"/>
  <c r="P19" i="43"/>
  <c r="P18" i="43"/>
  <c r="P17" i="43"/>
  <c r="P16" i="43"/>
  <c r="P15" i="43"/>
  <c r="P14" i="43"/>
  <c r="P13" i="43"/>
  <c r="P12" i="43"/>
  <c r="P11" i="43"/>
  <c r="P10" i="43"/>
  <c r="P9" i="43"/>
  <c r="P8" i="43"/>
  <c r="P7" i="43"/>
  <c r="P6" i="43"/>
  <c r="P5" i="43"/>
  <c r="P4" i="43"/>
  <c r="P3" i="43"/>
  <c r="P2" i="43"/>
  <c r="B8" i="42" l="1"/>
  <c r="Q51" i="43"/>
  <c r="Q50" i="43"/>
  <c r="Q49" i="43"/>
  <c r="Q48" i="43"/>
  <c r="Q47" i="43"/>
  <c r="Q46" i="43"/>
  <c r="Q45" i="43"/>
  <c r="Q44" i="43"/>
  <c r="Q43" i="43"/>
  <c r="Q42" i="43"/>
  <c r="Q41" i="43"/>
  <c r="Q40" i="43"/>
  <c r="Q39" i="43"/>
  <c r="Q38" i="43"/>
  <c r="Q37" i="43"/>
  <c r="Q36" i="43"/>
  <c r="Q35" i="43"/>
  <c r="Q34" i="43"/>
  <c r="Q33" i="43"/>
  <c r="Q32" i="43"/>
  <c r="Q31" i="43"/>
  <c r="Q30" i="43"/>
  <c r="Q29" i="43"/>
  <c r="Q28" i="43"/>
  <c r="Q27" i="43"/>
  <c r="Q26" i="43"/>
  <c r="Q25" i="43"/>
  <c r="Q24" i="43"/>
  <c r="Q23" i="43"/>
  <c r="Q22" i="43"/>
  <c r="Q21" i="43"/>
  <c r="Q20" i="43"/>
  <c r="Q19" i="43"/>
  <c r="Q18" i="43"/>
  <c r="Q17" i="43"/>
  <c r="Q16" i="43"/>
  <c r="Q15" i="43"/>
  <c r="Q14" i="43"/>
  <c r="Q13" i="43"/>
  <c r="Q12" i="43"/>
  <c r="Q11" i="43"/>
  <c r="Q10" i="43"/>
  <c r="Q9" i="43"/>
  <c r="Q8" i="43"/>
  <c r="Q7" i="43"/>
  <c r="Q6" i="43"/>
  <c r="Q5" i="43"/>
  <c r="Q4" i="43"/>
  <c r="E8" i="42" l="1"/>
  <c r="B9" i="42" s="1"/>
  <c r="Q2" i="43"/>
  <c r="Q3" i="43"/>
  <c r="C10" i="46" l="1"/>
  <c r="E9" i="42"/>
  <c r="B10" i="42" s="1"/>
  <c r="E10" i="42" l="1"/>
  <c r="B11" i="42" s="1"/>
  <c r="C11" i="46"/>
  <c r="E11" i="42" l="1"/>
  <c r="B12" i="42" s="1"/>
  <c r="C12" i="46"/>
  <c r="C13" i="46" l="1"/>
  <c r="E12" i="42"/>
  <c r="B13" i="42" s="1"/>
  <c r="E13" i="42" l="1"/>
  <c r="B14" i="42" s="1"/>
  <c r="C14" i="46"/>
  <c r="E14" i="42" l="1"/>
  <c r="B15" i="42" s="1"/>
  <c r="C15" i="46"/>
  <c r="C16" i="46" l="1"/>
  <c r="E15" i="42"/>
  <c r="B16" i="42" s="1"/>
  <c r="E16" i="42" l="1"/>
  <c r="B17" i="42" s="1"/>
  <c r="C17" i="46"/>
  <c r="C18" i="46" l="1"/>
  <c r="E17" i="42"/>
  <c r="B18" i="42" s="1"/>
  <c r="E18" i="42" s="1"/>
  <c r="B19" i="42" s="1"/>
  <c r="E19" i="42" s="1"/>
  <c r="C20" i="46" l="1"/>
  <c r="C19" i="46"/>
  <c r="B20" i="42"/>
  <c r="E20" i="42" s="1"/>
  <c r="C21" i="46"/>
  <c r="C22" i="46" l="1"/>
  <c r="B21" i="42"/>
  <c r="E21" i="42" s="1"/>
  <c r="C23" i="46" l="1"/>
  <c r="B22" i="42"/>
  <c r="E22" i="42" s="1"/>
  <c r="C24" i="46" l="1"/>
  <c r="B23" i="42"/>
  <c r="E23" i="42" s="1"/>
  <c r="C25" i="46" l="1"/>
  <c r="B24" i="42"/>
  <c r="E24" i="42" s="1"/>
  <c r="C26" i="46" l="1"/>
  <c r="B25" i="42"/>
  <c r="E25" i="42" s="1"/>
  <c r="C27" i="46" l="1"/>
  <c r="B26" i="42"/>
  <c r="E26" i="42" s="1"/>
  <c r="C28" i="46" l="1"/>
  <c r="B27" i="42"/>
  <c r="E27" i="42" s="1"/>
  <c r="C29" i="46" l="1"/>
  <c r="B28" i="42"/>
  <c r="E28" i="42" s="1"/>
  <c r="C30" i="46" l="1"/>
  <c r="B29" i="42"/>
  <c r="E29" i="42" s="1"/>
  <c r="C31" i="46" l="1"/>
  <c r="B30" i="42"/>
  <c r="E30" i="42" s="1"/>
  <c r="C32" i="46" l="1"/>
  <c r="B31" i="42"/>
  <c r="E31" i="42" s="1"/>
  <c r="C33" i="46" l="1"/>
  <c r="B32" i="42"/>
  <c r="E32" i="42" s="1"/>
  <c r="C34" i="46" l="1"/>
  <c r="B33" i="42"/>
  <c r="E33" i="42" s="1"/>
  <c r="C35" i="46" l="1"/>
  <c r="B34" i="42"/>
  <c r="E34" i="42" s="1"/>
  <c r="C36" i="46" l="1"/>
  <c r="B35" i="42"/>
  <c r="E35" i="42" s="1"/>
  <c r="C37" i="46" l="1"/>
  <c r="B36" i="42"/>
  <c r="E36" i="42" s="1"/>
  <c r="C38" i="46" l="1"/>
  <c r="B37" i="42"/>
  <c r="E37" i="42" s="1"/>
  <c r="C39" i="46" l="1"/>
  <c r="B38" i="42"/>
  <c r="E38" i="42" s="1"/>
  <c r="C40" i="46" l="1"/>
  <c r="B39" i="42"/>
  <c r="E39" i="42" s="1"/>
  <c r="C41" i="46" l="1"/>
  <c r="B40" i="42"/>
  <c r="E40" i="42" s="1"/>
  <c r="C42" i="46" l="1"/>
  <c r="B41" i="42"/>
  <c r="E41" i="42" s="1"/>
  <c r="C43" i="46" l="1"/>
  <c r="B42" i="42"/>
  <c r="E42" i="42" s="1"/>
  <c r="C44" i="46" l="1"/>
  <c r="B43" i="42"/>
  <c r="E43" i="42" s="1"/>
  <c r="C45" i="46" l="1"/>
  <c r="B44" i="42"/>
  <c r="E44" i="42" s="1"/>
  <c r="C46" i="46" l="1"/>
  <c r="B45" i="42"/>
  <c r="E45" i="42" s="1"/>
  <c r="C47" i="46" l="1"/>
  <c r="B46" i="42"/>
  <c r="E46" i="42" s="1"/>
  <c r="C48" i="46" l="1"/>
  <c r="B47" i="42"/>
  <c r="E47" i="42" s="1"/>
  <c r="C49" i="46" l="1"/>
  <c r="B48" i="42"/>
  <c r="E48" i="42" s="1"/>
  <c r="C50" i="46" l="1"/>
  <c r="B49" i="42"/>
  <c r="E49" i="42" s="1"/>
  <c r="C51" i="46" l="1"/>
  <c r="B50" i="42"/>
  <c r="E50" i="42" s="1"/>
  <c r="C52" i="46" l="1"/>
  <c r="B51" i="42"/>
  <c r="E51" i="42" s="1"/>
  <c r="C53" i="46" l="1"/>
  <c r="B52" i="42"/>
  <c r="E52" i="42" s="1"/>
  <c r="C54" i="46" l="1"/>
  <c r="B53" i="42"/>
  <c r="E53" i="42" s="1"/>
  <c r="C55" i="46" l="1"/>
  <c r="B54" i="42"/>
  <c r="E54" i="42" s="1"/>
  <c r="C56" i="46" l="1"/>
  <c r="B55" i="42"/>
  <c r="E55" i="42" s="1"/>
  <c r="C57" i="46" l="1"/>
  <c r="B56" i="42"/>
  <c r="E56" i="42" s="1"/>
  <c r="C58" i="46" l="1"/>
  <c r="B57" i="42"/>
  <c r="E57" i="42" s="1"/>
  <c r="C59" i="46" l="1"/>
  <c r="B58" i="42"/>
  <c r="E58" i="42" s="1"/>
  <c r="C60" i="46" l="1"/>
  <c r="B59" i="42"/>
  <c r="E59" i="42" s="1"/>
  <c r="C61" i="46" l="1"/>
  <c r="B60" i="42"/>
  <c r="E60" i="42" s="1"/>
  <c r="C62" i="46" l="1"/>
  <c r="B61" i="42"/>
  <c r="E61" i="42" s="1"/>
  <c r="C63" i="46" l="1"/>
  <c r="B62" i="42"/>
  <c r="E62" i="42" s="1"/>
  <c r="C64" i="46" l="1"/>
  <c r="B63" i="42"/>
  <c r="E63" i="42" s="1"/>
  <c r="C65" i="46" l="1"/>
  <c r="B64" i="42"/>
  <c r="E64" i="42" s="1"/>
  <c r="C66" i="46" l="1"/>
  <c r="B65" i="42"/>
  <c r="E65" i="42" s="1"/>
  <c r="C67" i="46" l="1"/>
  <c r="B66" i="42"/>
  <c r="E66" i="42" s="1"/>
  <c r="C68" i="46" l="1"/>
  <c r="B67" i="42"/>
  <c r="E67" i="42" s="1"/>
  <c r="C69" i="46" l="1"/>
  <c r="B68" i="42"/>
  <c r="E68" i="42" s="1"/>
  <c r="C70" i="46" l="1"/>
  <c r="B69" i="42"/>
  <c r="E69" i="42" s="1"/>
  <c r="C71" i="46" l="1"/>
  <c r="B70" i="42"/>
  <c r="E70" i="42" s="1"/>
  <c r="C72" i="46" l="1"/>
  <c r="B71" i="42"/>
  <c r="E71" i="42" s="1"/>
  <c r="C73" i="46" l="1"/>
  <c r="B72" i="42"/>
  <c r="E72" i="42" s="1"/>
  <c r="C74" i="46" l="1"/>
  <c r="B73" i="42"/>
  <c r="E73" i="42" s="1"/>
  <c r="C75" i="46" l="1"/>
  <c r="B74" i="42"/>
  <c r="E74" i="42" s="1"/>
  <c r="C76" i="46" l="1"/>
  <c r="B75" i="42"/>
  <c r="E75" i="42" s="1"/>
  <c r="C77" i="46" l="1"/>
  <c r="B76" i="42"/>
  <c r="E76" i="42" s="1"/>
  <c r="C78" i="46" l="1"/>
  <c r="B77" i="42"/>
  <c r="E77" i="42" s="1"/>
  <c r="C79" i="46" l="1"/>
  <c r="B78" i="42"/>
  <c r="E78" i="42" s="1"/>
  <c r="C80" i="46" l="1"/>
  <c r="B79" i="42"/>
  <c r="E79" i="42" s="1"/>
  <c r="C81" i="46" l="1"/>
  <c r="B80" i="42"/>
  <c r="E80" i="42" s="1"/>
  <c r="C82" i="46" l="1"/>
  <c r="B81" i="42"/>
  <c r="E81" i="42" s="1"/>
  <c r="C83" i="46" l="1"/>
  <c r="B82" i="42"/>
  <c r="E82" i="42" s="1"/>
  <c r="C84" i="46" l="1"/>
  <c r="B83" i="42"/>
  <c r="E83" i="42" s="1"/>
  <c r="C85" i="46" l="1"/>
  <c r="B84" i="42"/>
  <c r="E84" i="42" s="1"/>
  <c r="B85" i="42" l="1"/>
  <c r="E85" i="42" s="1"/>
  <c r="C86" i="46"/>
  <c r="B86" i="42" l="1"/>
  <c r="E86" i="42" s="1"/>
  <c r="C87" i="46"/>
  <c r="B87" i="42" l="1"/>
  <c r="E87" i="42" s="1"/>
  <c r="C88" i="46"/>
  <c r="B88" i="42" l="1"/>
  <c r="E88" i="42" s="1"/>
  <c r="C89" i="46"/>
  <c r="B89" i="42" l="1"/>
  <c r="E89" i="42" s="1"/>
  <c r="C90" i="46"/>
  <c r="B90" i="42" l="1"/>
  <c r="E90" i="42" s="1"/>
  <c r="C91" i="46"/>
  <c r="B91" i="42" l="1"/>
  <c r="E91" i="42" s="1"/>
  <c r="C92" i="46"/>
  <c r="B92" i="42" l="1"/>
  <c r="E92" i="42" s="1"/>
  <c r="C93" i="46"/>
  <c r="B93" i="42" l="1"/>
  <c r="E93" i="42" s="1"/>
  <c r="C94" i="46"/>
  <c r="B94" i="42" l="1"/>
  <c r="E94" i="42" s="1"/>
  <c r="C95" i="46"/>
  <c r="B95" i="42" l="1"/>
  <c r="E95" i="42" s="1"/>
  <c r="C96" i="46"/>
  <c r="B96" i="42" l="1"/>
  <c r="E96" i="42" s="1"/>
  <c r="C97" i="46"/>
  <c r="B97" i="42" l="1"/>
  <c r="E97" i="42" s="1"/>
  <c r="C98" i="46"/>
  <c r="B98" i="42" l="1"/>
  <c r="E98" i="42" s="1"/>
  <c r="C99" i="46"/>
  <c r="B99" i="42" l="1"/>
  <c r="E99" i="42" s="1"/>
  <c r="C100" i="46"/>
  <c r="B100" i="42" l="1"/>
  <c r="E100" i="42" s="1"/>
  <c r="C101" i="46"/>
  <c r="B101" i="42" l="1"/>
  <c r="E101" i="42" s="1"/>
  <c r="C102" i="46"/>
  <c r="B102" i="42" l="1"/>
  <c r="E102" i="42" s="1"/>
  <c r="C103" i="46"/>
  <c r="B103" i="42" l="1"/>
  <c r="E103" i="42" s="1"/>
  <c r="C104" i="46"/>
  <c r="B104" i="42" l="1"/>
  <c r="E104" i="42" s="1"/>
  <c r="C105" i="46"/>
  <c r="B105" i="42" l="1"/>
  <c r="E105" i="42" s="1"/>
  <c r="C106" i="46"/>
  <c r="B106" i="42" l="1"/>
  <c r="E106" i="42" s="1"/>
  <c r="C107" i="46"/>
  <c r="B107" i="42" l="1"/>
  <c r="E107" i="42" s="1"/>
  <c r="C108" i="46"/>
  <c r="B108" i="42" l="1"/>
  <c r="E108" i="42" s="1"/>
  <c r="C109" i="46"/>
  <c r="B109" i="42" l="1"/>
  <c r="E109" i="42" s="1"/>
  <c r="C110" i="46"/>
  <c r="B110" i="42" l="1"/>
  <c r="E110" i="42" s="1"/>
  <c r="C111" i="46"/>
  <c r="B111" i="42" l="1"/>
  <c r="E111" i="42" s="1"/>
  <c r="C112" i="46"/>
  <c r="B112" i="42" l="1"/>
  <c r="E112" i="42" s="1"/>
  <c r="C113" i="46"/>
  <c r="B113" i="42" l="1"/>
  <c r="E113" i="42" s="1"/>
  <c r="C114" i="46"/>
  <c r="B114" i="42" l="1"/>
  <c r="E114" i="42" s="1"/>
  <c r="C115" i="46"/>
  <c r="B115" i="42" l="1"/>
  <c r="E115" i="42" s="1"/>
  <c r="C116" i="46"/>
  <c r="B116" i="42" l="1"/>
  <c r="E116" i="42" s="1"/>
  <c r="C117" i="46"/>
  <c r="B117" i="42" l="1"/>
  <c r="E117" i="42" s="1"/>
  <c r="C118" i="46"/>
  <c r="B118" i="42" l="1"/>
  <c r="E118" i="42" s="1"/>
  <c r="C119" i="46"/>
  <c r="B119" i="42" l="1"/>
  <c r="E119" i="42" s="1"/>
  <c r="C120" i="46"/>
  <c r="B120" i="42" l="1"/>
  <c r="E120" i="42" s="1"/>
  <c r="C121" i="46"/>
  <c r="B121" i="42" l="1"/>
  <c r="E121" i="42" s="1"/>
  <c r="C122" i="46"/>
  <c r="B122" i="42" l="1"/>
  <c r="E122" i="42" s="1"/>
  <c r="C123" i="46"/>
  <c r="B123" i="42" l="1"/>
  <c r="E123" i="42" s="1"/>
  <c r="C124" i="46"/>
  <c r="B124" i="42" l="1"/>
  <c r="E124" i="42" s="1"/>
  <c r="C125" i="46"/>
  <c r="B125" i="42" l="1"/>
  <c r="E125" i="42" s="1"/>
  <c r="C126" i="46"/>
  <c r="B126" i="42" l="1"/>
  <c r="E126" i="42" s="1"/>
  <c r="C127" i="46"/>
  <c r="B127" i="42" l="1"/>
  <c r="E127" i="42" s="1"/>
  <c r="C128" i="46"/>
  <c r="B128" i="42" l="1"/>
  <c r="E128" i="42" s="1"/>
  <c r="C129" i="46"/>
  <c r="B129" i="42" l="1"/>
  <c r="E129" i="42" s="1"/>
  <c r="C130" i="46"/>
  <c r="B130" i="42" l="1"/>
  <c r="E130" i="42" s="1"/>
  <c r="C131" i="46"/>
  <c r="B131" i="42" l="1"/>
  <c r="E131" i="42" s="1"/>
  <c r="C132" i="46"/>
  <c r="B132" i="42" l="1"/>
  <c r="E132" i="42" s="1"/>
  <c r="C133" i="46"/>
  <c r="B133" i="42" l="1"/>
  <c r="E133" i="42" s="1"/>
  <c r="C134" i="46"/>
  <c r="B134" i="42" l="1"/>
  <c r="E134" i="42" s="1"/>
  <c r="C135" i="46"/>
  <c r="B135" i="42" l="1"/>
  <c r="E135" i="42" s="1"/>
  <c r="C136" i="46"/>
  <c r="B136" i="42" l="1"/>
  <c r="E136" i="42" s="1"/>
  <c r="C137" i="46"/>
  <c r="B137" i="42" l="1"/>
  <c r="E137" i="42" s="1"/>
  <c r="C138" i="46"/>
  <c r="B138" i="42" l="1"/>
  <c r="E138" i="42" s="1"/>
  <c r="C139" i="46"/>
  <c r="B139" i="42" l="1"/>
  <c r="E139" i="42" s="1"/>
  <c r="C140" i="46"/>
  <c r="B140" i="42" l="1"/>
  <c r="E140" i="42" s="1"/>
  <c r="C141" i="46"/>
  <c r="B141" i="42" l="1"/>
  <c r="E141" i="42" s="1"/>
  <c r="C142" i="46"/>
  <c r="B142" i="42" l="1"/>
  <c r="E142" i="42" s="1"/>
  <c r="C143" i="46"/>
  <c r="B143" i="42" l="1"/>
  <c r="E143" i="42" s="1"/>
  <c r="C144" i="46"/>
  <c r="B144" i="42" l="1"/>
  <c r="E144" i="42" s="1"/>
  <c r="C145" i="46"/>
  <c r="B145" i="42" l="1"/>
  <c r="E145" i="42" s="1"/>
  <c r="C146" i="46"/>
  <c r="B146" i="42" l="1"/>
  <c r="E146" i="42" s="1"/>
  <c r="C147" i="46"/>
  <c r="B147" i="42" l="1"/>
  <c r="E147" i="42" s="1"/>
  <c r="C148" i="46"/>
  <c r="B148" i="42" l="1"/>
  <c r="E148" i="42" s="1"/>
  <c r="C149" i="46"/>
  <c r="B149" i="42" l="1"/>
  <c r="E149" i="42" s="1"/>
  <c r="C150" i="46"/>
  <c r="B150" i="42" l="1"/>
  <c r="E150" i="42" s="1"/>
  <c r="C151" i="46"/>
  <c r="B151" i="42" l="1"/>
  <c r="E151" i="42" s="1"/>
  <c r="C152" i="46"/>
  <c r="B152" i="42" l="1"/>
  <c r="E152" i="42" s="1"/>
  <c r="C153" i="46"/>
  <c r="B153" i="42" l="1"/>
  <c r="E153" i="42" s="1"/>
  <c r="C154" i="46"/>
  <c r="B154" i="42" l="1"/>
  <c r="E154" i="42" s="1"/>
  <c r="C155" i="46"/>
  <c r="B155" i="42" l="1"/>
  <c r="E155" i="42" s="1"/>
  <c r="C156" i="46"/>
  <c r="B156" i="42" l="1"/>
  <c r="E156" i="42" s="1"/>
  <c r="C157" i="46"/>
  <c r="B157" i="42" l="1"/>
  <c r="E157" i="42" s="1"/>
  <c r="C158" i="46"/>
  <c r="B158" i="42" l="1"/>
  <c r="E158" i="42" s="1"/>
  <c r="C159" i="46"/>
  <c r="B159" i="42" l="1"/>
  <c r="E159" i="42" s="1"/>
  <c r="C160" i="46"/>
  <c r="B160" i="42" l="1"/>
  <c r="E160" i="42" s="1"/>
  <c r="C161" i="46"/>
  <c r="B161" i="42" l="1"/>
  <c r="E161" i="42" s="1"/>
  <c r="C162" i="46"/>
  <c r="B162" i="42" l="1"/>
  <c r="E162" i="42" s="1"/>
  <c r="C163" i="46"/>
  <c r="B163" i="42" l="1"/>
  <c r="E163" i="42" s="1"/>
  <c r="C164" i="46"/>
  <c r="B164" i="42" l="1"/>
  <c r="E164" i="42" s="1"/>
  <c r="C165" i="46"/>
  <c r="B165" i="42" l="1"/>
  <c r="E165" i="42" s="1"/>
  <c r="C166" i="46"/>
  <c r="B166" i="42" l="1"/>
  <c r="E166" i="42" s="1"/>
  <c r="C167" i="46"/>
  <c r="B167" i="42" l="1"/>
  <c r="E167" i="42" s="1"/>
  <c r="C168" i="46"/>
  <c r="B168" i="42" l="1"/>
  <c r="E168" i="42" s="1"/>
  <c r="C169" i="46"/>
  <c r="B169" i="42" l="1"/>
  <c r="E169" i="42" s="1"/>
  <c r="C170" i="46"/>
  <c r="B170" i="42" l="1"/>
  <c r="E170" i="42" s="1"/>
  <c r="C171" i="46"/>
  <c r="B171" i="42" l="1"/>
  <c r="E171" i="42" s="1"/>
  <c r="C172" i="46"/>
  <c r="B172" i="42" l="1"/>
  <c r="E172" i="42" s="1"/>
  <c r="C173" i="46"/>
  <c r="B173" i="42" l="1"/>
  <c r="E173" i="42" s="1"/>
  <c r="C174" i="46"/>
  <c r="B174" i="42" l="1"/>
  <c r="E174" i="42" s="1"/>
  <c r="C175" i="46"/>
  <c r="B175" i="42" l="1"/>
  <c r="E175" i="42" s="1"/>
  <c r="C176" i="46"/>
  <c r="B176" i="42" l="1"/>
  <c r="E176" i="42" s="1"/>
  <c r="C177" i="46"/>
  <c r="B177" i="42" l="1"/>
  <c r="E177" i="42" s="1"/>
  <c r="C178" i="46"/>
  <c r="B178" i="42" l="1"/>
  <c r="E178" i="42" s="1"/>
  <c r="C179" i="46"/>
  <c r="B179" i="42" l="1"/>
  <c r="E179" i="42" s="1"/>
  <c r="C180" i="46"/>
  <c r="B180" i="42" l="1"/>
  <c r="E180" i="42" s="1"/>
  <c r="C181" i="46"/>
  <c r="B181" i="42" l="1"/>
  <c r="E181" i="42" s="1"/>
  <c r="C182" i="46"/>
  <c r="B182" i="42" l="1"/>
  <c r="E182" i="42" s="1"/>
  <c r="C183" i="46"/>
  <c r="B183" i="42" l="1"/>
  <c r="E183" i="42" s="1"/>
  <c r="C184" i="46"/>
  <c r="B184" i="42" l="1"/>
  <c r="E184" i="42" s="1"/>
  <c r="C185" i="46"/>
  <c r="B185" i="42" l="1"/>
  <c r="E185" i="42" s="1"/>
  <c r="C186" i="46"/>
  <c r="B186" i="42" l="1"/>
  <c r="E186" i="42" s="1"/>
  <c r="C187" i="46"/>
  <c r="B187" i="42" l="1"/>
  <c r="E187" i="42" s="1"/>
  <c r="C188" i="46"/>
  <c r="B188" i="42" l="1"/>
  <c r="E188" i="42" s="1"/>
  <c r="C189" i="46"/>
  <c r="B189" i="42" l="1"/>
  <c r="E189" i="42" s="1"/>
  <c r="C190" i="46"/>
  <c r="B190" i="42" l="1"/>
  <c r="E190" i="42" s="1"/>
  <c r="C191" i="46"/>
  <c r="B191" i="42" l="1"/>
  <c r="E191" i="42" s="1"/>
  <c r="C192" i="46"/>
  <c r="B192" i="42" l="1"/>
  <c r="E192" i="42" s="1"/>
  <c r="C193" i="46"/>
  <c r="B193" i="42" l="1"/>
  <c r="E193" i="42" s="1"/>
  <c r="C194" i="46"/>
  <c r="B194" i="42" l="1"/>
  <c r="E194" i="42" s="1"/>
  <c r="C195" i="46"/>
  <c r="B195" i="42" l="1"/>
  <c r="E195" i="42" s="1"/>
  <c r="C196" i="46"/>
  <c r="B196" i="42" l="1"/>
  <c r="E196" i="42" s="1"/>
  <c r="C197" i="46"/>
  <c r="B197" i="42" l="1"/>
  <c r="E197" i="42" s="1"/>
  <c r="C198" i="46"/>
  <c r="B198" i="42" l="1"/>
  <c r="E198" i="42" s="1"/>
  <c r="C199" i="46"/>
  <c r="B199" i="42" l="1"/>
  <c r="E199" i="42" s="1"/>
  <c r="C200" i="46"/>
  <c r="B200" i="42" l="1"/>
  <c r="E200" i="42" s="1"/>
  <c r="C201" i="46"/>
  <c r="B201" i="42" l="1"/>
  <c r="E201" i="42" s="1"/>
  <c r="C202" i="46"/>
  <c r="B202" i="42" l="1"/>
  <c r="E202" i="42" s="1"/>
  <c r="C203" i="46"/>
  <c r="B203" i="42" l="1"/>
  <c r="E203" i="42" s="1"/>
  <c r="C204" i="46"/>
  <c r="B204" i="42" l="1"/>
  <c r="E204" i="42" s="1"/>
  <c r="C205" i="46"/>
  <c r="B205" i="42" l="1"/>
  <c r="E205" i="42" s="1"/>
  <c r="C206" i="46"/>
  <c r="B206" i="42" l="1"/>
  <c r="E206" i="42" s="1"/>
  <c r="C207" i="46"/>
  <c r="B207" i="42" l="1"/>
  <c r="E207" i="42" s="1"/>
  <c r="C208" i="46"/>
  <c r="B208" i="42" l="1"/>
  <c r="E208" i="42" s="1"/>
  <c r="C209" i="46"/>
  <c r="B209" i="42" l="1"/>
  <c r="E209" i="42" s="1"/>
  <c r="C210" i="46"/>
  <c r="B210" i="42" l="1"/>
  <c r="E210" i="42" s="1"/>
  <c r="C211" i="46"/>
  <c r="B211" i="42" l="1"/>
  <c r="E211" i="42" s="1"/>
  <c r="C212" i="46"/>
  <c r="B212" i="42" l="1"/>
  <c r="E212" i="42" s="1"/>
  <c r="C213" i="46"/>
  <c r="B213" i="42" l="1"/>
  <c r="E213" i="42" s="1"/>
  <c r="C214" i="46"/>
  <c r="B214" i="42" l="1"/>
  <c r="E214" i="42" s="1"/>
  <c r="C215" i="46"/>
  <c r="B215" i="42" l="1"/>
  <c r="E215" i="42" s="1"/>
  <c r="C216" i="46"/>
  <c r="B216" i="42" l="1"/>
  <c r="E216" i="42" s="1"/>
  <c r="C217" i="46"/>
  <c r="B217" i="42" l="1"/>
  <c r="E217" i="42" s="1"/>
  <c r="C218" i="46"/>
  <c r="B218" i="42" l="1"/>
  <c r="E218" i="42" s="1"/>
  <c r="C219" i="46"/>
  <c r="B219" i="42" l="1"/>
  <c r="E219" i="42" s="1"/>
  <c r="C220" i="46"/>
  <c r="B220" i="42" l="1"/>
  <c r="E220" i="42" s="1"/>
  <c r="C221" i="46"/>
  <c r="B221" i="42" l="1"/>
  <c r="E221" i="42" s="1"/>
  <c r="C222" i="46"/>
  <c r="B222" i="42" l="1"/>
  <c r="E222" i="42" s="1"/>
  <c r="C223" i="46"/>
  <c r="B223" i="42" l="1"/>
  <c r="E223" i="42" s="1"/>
  <c r="C224" i="46"/>
  <c r="B224" i="42" l="1"/>
  <c r="E224" i="42" s="1"/>
  <c r="C225" i="46"/>
  <c r="B225" i="42" l="1"/>
  <c r="E225" i="42" s="1"/>
  <c r="C226" i="46"/>
  <c r="B226" i="42" l="1"/>
  <c r="E226" i="42" s="1"/>
  <c r="C227" i="46"/>
  <c r="B227" i="42" l="1"/>
  <c r="E227" i="42" s="1"/>
  <c r="C228" i="46"/>
  <c r="B228" i="42" l="1"/>
  <c r="E228" i="42" s="1"/>
  <c r="C229" i="46"/>
  <c r="B229" i="42" l="1"/>
  <c r="E229" i="42" s="1"/>
  <c r="C230" i="46"/>
  <c r="B230" i="42" l="1"/>
  <c r="E230" i="42" s="1"/>
  <c r="C231" i="46"/>
  <c r="B231" i="42" l="1"/>
  <c r="E231" i="42" s="1"/>
  <c r="C232" i="46"/>
  <c r="B232" i="42" l="1"/>
  <c r="E232" i="42" s="1"/>
  <c r="C233" i="46"/>
  <c r="B233" i="42" l="1"/>
  <c r="E233" i="42" s="1"/>
  <c r="C234" i="46"/>
  <c r="B234" i="42" l="1"/>
  <c r="E234" i="42" s="1"/>
  <c r="C235" i="46"/>
  <c r="B235" i="42" l="1"/>
  <c r="E235" i="42" s="1"/>
  <c r="C236" i="46"/>
  <c r="B236" i="42" l="1"/>
  <c r="E236" i="42" s="1"/>
  <c r="C237" i="46"/>
  <c r="B237" i="42" l="1"/>
  <c r="E237" i="42" s="1"/>
  <c r="C238" i="46"/>
  <c r="B238" i="42" l="1"/>
  <c r="E238" i="42" s="1"/>
  <c r="C239" i="46"/>
  <c r="B239" i="42" l="1"/>
  <c r="E239" i="42" s="1"/>
  <c r="C240" i="46"/>
  <c r="B240" i="42" l="1"/>
  <c r="E240" i="42" s="1"/>
  <c r="C241" i="46"/>
  <c r="B241" i="42" l="1"/>
  <c r="E241" i="42" s="1"/>
  <c r="C242" i="46"/>
  <c r="B242" i="42" l="1"/>
  <c r="E242" i="42" s="1"/>
  <c r="C243" i="46"/>
  <c r="B243" i="42" l="1"/>
  <c r="E243" i="42" s="1"/>
  <c r="C244" i="46"/>
  <c r="B244" i="42" l="1"/>
  <c r="E244" i="42" s="1"/>
  <c r="C245" i="46"/>
  <c r="B245" i="42" l="1"/>
  <c r="E245" i="42" s="1"/>
  <c r="C246" i="46"/>
  <c r="B246" i="42" l="1"/>
  <c r="E246" i="42" s="1"/>
  <c r="C247" i="46"/>
  <c r="B247" i="42" l="1"/>
  <c r="E247" i="42" s="1"/>
  <c r="C248" i="46"/>
  <c r="B248" i="42" l="1"/>
  <c r="E248" i="42" s="1"/>
  <c r="C249" i="46"/>
  <c r="B249" i="42" l="1"/>
  <c r="E249" i="42" s="1"/>
  <c r="C250" i="46"/>
  <c r="B250" i="42" l="1"/>
  <c r="E250" i="42" s="1"/>
  <c r="C251" i="46"/>
  <c r="B251" i="42" l="1"/>
  <c r="E251" i="42" s="1"/>
  <c r="C252" i="46"/>
  <c r="B252" i="42" l="1"/>
  <c r="E252" i="42" s="1"/>
  <c r="C253" i="46"/>
  <c r="B253" i="42" l="1"/>
  <c r="E253" i="42" s="1"/>
  <c r="C254" i="46"/>
  <c r="B254" i="42" l="1"/>
  <c r="C255" i="46"/>
  <c r="E254" i="42" l="1"/>
  <c r="C256" i="46" s="1"/>
</calcChain>
</file>

<file path=xl/comments1.xml><?xml version="1.0" encoding="utf-8"?>
<comments xmlns="http://schemas.openxmlformats.org/spreadsheetml/2006/main">
  <authors>
    <author>Wouter van Broekhoven</author>
  </authors>
  <commentList>
    <comment ref="M1" authorId="0" shapeId="0">
      <text>
        <r>
          <rPr>
            <sz val="9"/>
            <color indexed="81"/>
            <rFont val="Tahoma"/>
            <family val="2"/>
          </rPr>
          <t>Alleen aanlandingen! (geen discards)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AANLANDING: dus zonder discards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 xml:space="preserve">VANGST: aanlanding + </t>
        </r>
        <r>
          <rPr>
            <b/>
            <sz val="9"/>
            <color indexed="81"/>
            <rFont val="Tahoma"/>
            <family val="2"/>
          </rPr>
          <t>markwaardige</t>
        </r>
        <r>
          <rPr>
            <sz val="9"/>
            <color indexed="81"/>
            <rFont val="Tahoma"/>
            <family val="2"/>
          </rPr>
          <t xml:space="preserve"> discards</t>
        </r>
      </text>
    </comment>
  </commentList>
</comments>
</file>

<file path=xl/comments2.xml><?xml version="1.0" encoding="utf-8"?>
<comments xmlns="http://schemas.openxmlformats.org/spreadsheetml/2006/main">
  <authors>
    <author>Wouter van Broekhoven</author>
  </authors>
  <commentList>
    <comment ref="S1" authorId="0" shapeId="0">
      <text>
        <r>
          <rPr>
            <b/>
            <sz val="9"/>
            <color indexed="81"/>
            <rFont val="Tahoma"/>
            <family val="2"/>
          </rPr>
          <t>Wouter van Broekhoven:</t>
        </r>
        <r>
          <rPr>
            <sz val="9"/>
            <color indexed="81"/>
            <rFont val="Tahoma"/>
            <family val="2"/>
          </rPr>
          <t xml:space="preserve">
voor bubble plot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Wouter van Broekhoven:</t>
        </r>
        <r>
          <rPr>
            <sz val="9"/>
            <color indexed="81"/>
            <rFont val="Tahoma"/>
            <family val="2"/>
          </rPr>
          <t xml:space="preserve">
voor HLOOKUP (rij vanaf de eerste rij waarop de data staat)</t>
        </r>
      </text>
    </comment>
  </commentList>
</comments>
</file>

<file path=xl/comments3.xml><?xml version="1.0" encoding="utf-8"?>
<comments xmlns="http://schemas.openxmlformats.org/spreadsheetml/2006/main">
  <authors>
    <author>Wouter van Broekhoven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Alleen aanlandingen! (geen discards)</t>
        </r>
      </text>
    </comment>
    <comment ref="I1" authorId="0" shapeId="0">
      <text>
        <r>
          <rPr>
            <sz val="9"/>
            <color indexed="81"/>
            <rFont val="Tahoma"/>
            <family val="2"/>
          </rPr>
          <t>AANLANDING: dus zonder discards</t>
        </r>
      </text>
    </comment>
  </commentList>
</comments>
</file>

<file path=xl/comments4.xml><?xml version="1.0" encoding="utf-8"?>
<comments xmlns="http://schemas.openxmlformats.org/spreadsheetml/2006/main">
  <authors>
    <author>Martin Pastoors</author>
  </authors>
  <commentList>
    <comment ref="B872" authorId="0" shapeId="0">
      <text>
        <r>
          <rPr>
            <b/>
            <sz val="9"/>
            <color indexed="81"/>
            <rFont val="Tahoma"/>
            <family val="2"/>
          </rPr>
          <t>Martin Pastoors:</t>
        </r>
        <r>
          <rPr>
            <sz val="9"/>
            <color indexed="81"/>
            <rFont val="Tahoma"/>
            <family val="2"/>
          </rPr>
          <t xml:space="preserve">
Check</t>
        </r>
      </text>
    </comment>
  </commentList>
</comments>
</file>

<file path=xl/sharedStrings.xml><?xml version="1.0" encoding="utf-8"?>
<sst xmlns="http://schemas.openxmlformats.org/spreadsheetml/2006/main" count="4126" uniqueCount="1367">
  <si>
    <t>Email</t>
  </si>
  <si>
    <t>Plot_lat</t>
  </si>
  <si>
    <t>Plot_lon</t>
  </si>
  <si>
    <t>Duration (hours)</t>
  </si>
  <si>
    <t>Area</t>
  </si>
  <si>
    <t>Rect</t>
  </si>
  <si>
    <t>VIaN</t>
  </si>
  <si>
    <t>47 E4</t>
  </si>
  <si>
    <t>VIIIa</t>
  </si>
  <si>
    <t>SpeciesCode</t>
  </si>
  <si>
    <t>IIIa</t>
  </si>
  <si>
    <t>IVa</t>
  </si>
  <si>
    <t>IVb</t>
  </si>
  <si>
    <t>IVc</t>
  </si>
  <si>
    <t>Vb2</t>
  </si>
  <si>
    <t>VIb</t>
  </si>
  <si>
    <t>VIIa</t>
  </si>
  <si>
    <t>VIIb</t>
  </si>
  <si>
    <t>VIIc1</t>
  </si>
  <si>
    <t>VIIc2</t>
  </si>
  <si>
    <t>VIId</t>
  </si>
  <si>
    <t>VIIe</t>
  </si>
  <si>
    <t>VIIf</t>
  </si>
  <si>
    <t>VIIg</t>
  </si>
  <si>
    <t>VIIh</t>
  </si>
  <si>
    <t>VIIj1</t>
  </si>
  <si>
    <t>VIIk1</t>
  </si>
  <si>
    <t>VIIk2</t>
  </si>
  <si>
    <t>VIIIb</t>
  </si>
  <si>
    <t>VIIId1</t>
  </si>
  <si>
    <t>VIIId2</t>
  </si>
  <si>
    <t>VIIIe1</t>
  </si>
  <si>
    <t>VIIIe2</t>
  </si>
  <si>
    <t>Xb</t>
  </si>
  <si>
    <t>XIIa1</t>
  </si>
  <si>
    <t>XIIa2</t>
  </si>
  <si>
    <t>XIIa4</t>
  </si>
  <si>
    <t>XIIb</t>
  </si>
  <si>
    <t>XIIc</t>
  </si>
  <si>
    <t>Zeebaars</t>
  </si>
  <si>
    <t>Makreel</t>
  </si>
  <si>
    <t>Schelvis</t>
  </si>
  <si>
    <t>Heek</t>
  </si>
  <si>
    <t>Mul</t>
  </si>
  <si>
    <t>Koolvis</t>
  </si>
  <si>
    <t>Inktvis</t>
  </si>
  <si>
    <t>Wijting</t>
  </si>
  <si>
    <t>Soort (latijn)</t>
  </si>
  <si>
    <t>RectX</t>
  </si>
  <si>
    <t>RectY</t>
  </si>
  <si>
    <t>17 D0</t>
  </si>
  <si>
    <t>D0</t>
  </si>
  <si>
    <t>17</t>
  </si>
  <si>
    <t>17 D1</t>
  </si>
  <si>
    <t>D1</t>
  </si>
  <si>
    <t>17 D2</t>
  </si>
  <si>
    <t>D2</t>
  </si>
  <si>
    <t>17 D3</t>
  </si>
  <si>
    <t>D3</t>
  </si>
  <si>
    <t>17 D4</t>
  </si>
  <si>
    <t>D4</t>
  </si>
  <si>
    <t>17 D5</t>
  </si>
  <si>
    <t>D5</t>
  </si>
  <si>
    <t>17 D6</t>
  </si>
  <si>
    <t>D6</t>
  </si>
  <si>
    <t>17 D7</t>
  </si>
  <si>
    <t>D7</t>
  </si>
  <si>
    <t>17 D8</t>
  </si>
  <si>
    <t>D8</t>
  </si>
  <si>
    <t>17 D9</t>
  </si>
  <si>
    <t>VIIIc</t>
  </si>
  <si>
    <t>D9</t>
  </si>
  <si>
    <t>17 E0</t>
  </si>
  <si>
    <t>E0</t>
  </si>
  <si>
    <t>17 E1</t>
  </si>
  <si>
    <t>E1</t>
  </si>
  <si>
    <t>17 E2</t>
  </si>
  <si>
    <t>E2</t>
  </si>
  <si>
    <t>17 E3</t>
  </si>
  <si>
    <t>E3</t>
  </si>
  <si>
    <t>17 E4</t>
  </si>
  <si>
    <t>E4</t>
  </si>
  <si>
    <t>17 E5</t>
  </si>
  <si>
    <t>E5</t>
  </si>
  <si>
    <t>17 E6</t>
  </si>
  <si>
    <t>E6</t>
  </si>
  <si>
    <t>17 E7</t>
  </si>
  <si>
    <t>E7</t>
  </si>
  <si>
    <t>17 E8</t>
  </si>
  <si>
    <t>E8</t>
  </si>
  <si>
    <t>18 D0</t>
  </si>
  <si>
    <t>18</t>
  </si>
  <si>
    <t>18 D1</t>
  </si>
  <si>
    <t>18 D2</t>
  </si>
  <si>
    <t>18 D3</t>
  </si>
  <si>
    <t>18 D4</t>
  </si>
  <si>
    <t>18 D5</t>
  </si>
  <si>
    <t>18 D6</t>
  </si>
  <si>
    <t>18 D7</t>
  </si>
  <si>
    <t>18 D8</t>
  </si>
  <si>
    <t>18 D9</t>
  </si>
  <si>
    <t>18 E0</t>
  </si>
  <si>
    <t>18 E1</t>
  </si>
  <si>
    <t>18 E2</t>
  </si>
  <si>
    <t>18 E3</t>
  </si>
  <si>
    <t>18 E4</t>
  </si>
  <si>
    <t>18 E5</t>
  </si>
  <si>
    <t>18 E6</t>
  </si>
  <si>
    <t>18 E7</t>
  </si>
  <si>
    <t>18 E8</t>
  </si>
  <si>
    <t>19 D0</t>
  </si>
  <si>
    <t>19</t>
  </si>
  <si>
    <t>19 D1</t>
  </si>
  <si>
    <t>19 D2</t>
  </si>
  <si>
    <t>19 D3</t>
  </si>
  <si>
    <t>19 D4</t>
  </si>
  <si>
    <t>19 D5</t>
  </si>
  <si>
    <t>19 D6</t>
  </si>
  <si>
    <t>19 D7</t>
  </si>
  <si>
    <t>19 D8</t>
  </si>
  <si>
    <t>19 D9</t>
  </si>
  <si>
    <t>19 E0</t>
  </si>
  <si>
    <t>19 E1</t>
  </si>
  <si>
    <t>19 E2</t>
  </si>
  <si>
    <t>19 E3</t>
  </si>
  <si>
    <t>19 E4</t>
  </si>
  <si>
    <t>19 E5</t>
  </si>
  <si>
    <t>19 E6</t>
  </si>
  <si>
    <t>19 E7</t>
  </si>
  <si>
    <t>19 E8</t>
  </si>
  <si>
    <t>20 D0</t>
  </si>
  <si>
    <t>20</t>
  </si>
  <si>
    <t>20 D1</t>
  </si>
  <si>
    <t>20 D2</t>
  </si>
  <si>
    <t>20 D3</t>
  </si>
  <si>
    <t>20 D4</t>
  </si>
  <si>
    <t>20 D5</t>
  </si>
  <si>
    <t>20 D6</t>
  </si>
  <si>
    <t>20 D7</t>
  </si>
  <si>
    <t>20 D8</t>
  </si>
  <si>
    <t>20 D9</t>
  </si>
  <si>
    <t>20 E0</t>
  </si>
  <si>
    <t>20 E1</t>
  </si>
  <si>
    <t>20 E2</t>
  </si>
  <si>
    <t>20 E3</t>
  </si>
  <si>
    <t>20 E4</t>
  </si>
  <si>
    <t>20 E5</t>
  </si>
  <si>
    <t>20 E6</t>
  </si>
  <si>
    <t>20 E7</t>
  </si>
  <si>
    <t>20 E8</t>
  </si>
  <si>
    <t>21 D0</t>
  </si>
  <si>
    <t>21</t>
  </si>
  <si>
    <t>21 D1</t>
  </si>
  <si>
    <t>21 D2</t>
  </si>
  <si>
    <t>21 D3</t>
  </si>
  <si>
    <t>21 D4</t>
  </si>
  <si>
    <t>21 D5</t>
  </si>
  <si>
    <t>21 D6</t>
  </si>
  <si>
    <t>21 D7</t>
  </si>
  <si>
    <t>21 D8</t>
  </si>
  <si>
    <t>21 D9</t>
  </si>
  <si>
    <t>21 E0</t>
  </si>
  <si>
    <t>21 E1</t>
  </si>
  <si>
    <t>21 E2</t>
  </si>
  <si>
    <t>21 E3</t>
  </si>
  <si>
    <t>21 E4</t>
  </si>
  <si>
    <t>21 E5</t>
  </si>
  <si>
    <t>21 E6</t>
  </si>
  <si>
    <t>21 E7</t>
  </si>
  <si>
    <t>21 E8</t>
  </si>
  <si>
    <t>22 D0</t>
  </si>
  <si>
    <t>22</t>
  </si>
  <si>
    <t>22 D1</t>
  </si>
  <si>
    <t>22 D2</t>
  </si>
  <si>
    <t>22 D3</t>
  </si>
  <si>
    <t>22 D4</t>
  </si>
  <si>
    <t>22 D5</t>
  </si>
  <si>
    <t>22 D6</t>
  </si>
  <si>
    <t>22 D7</t>
  </si>
  <si>
    <t>22 D8</t>
  </si>
  <si>
    <t>22 D9</t>
  </si>
  <si>
    <t>22 E0</t>
  </si>
  <si>
    <t>22 E1</t>
  </si>
  <si>
    <t>22 E2</t>
  </si>
  <si>
    <t>22 E3</t>
  </si>
  <si>
    <t>22 E4</t>
  </si>
  <si>
    <t>22 E5</t>
  </si>
  <si>
    <t>22 E6</t>
  </si>
  <si>
    <t>22 E7</t>
  </si>
  <si>
    <t>23 D0</t>
  </si>
  <si>
    <t>23</t>
  </si>
  <si>
    <t>23 D1</t>
  </si>
  <si>
    <t>23 D2</t>
  </si>
  <si>
    <t>23 D3</t>
  </si>
  <si>
    <t>23 D4</t>
  </si>
  <si>
    <t>23 D5</t>
  </si>
  <si>
    <t>23 D6</t>
  </si>
  <si>
    <t>23 D7</t>
  </si>
  <si>
    <t>23 D8</t>
  </si>
  <si>
    <t>23 D9</t>
  </si>
  <si>
    <t>23 E0</t>
  </si>
  <si>
    <t>23 E1</t>
  </si>
  <si>
    <t>23 E2</t>
  </si>
  <si>
    <t>23 E3</t>
  </si>
  <si>
    <t>23 E4</t>
  </si>
  <si>
    <t>23 E5</t>
  </si>
  <si>
    <t>23 E6</t>
  </si>
  <si>
    <t>23 E7</t>
  </si>
  <si>
    <t>24 D0</t>
  </si>
  <si>
    <t>24</t>
  </si>
  <si>
    <t>24 D1</t>
  </si>
  <si>
    <t>24 D2</t>
  </si>
  <si>
    <t>24 D3</t>
  </si>
  <si>
    <t>24 D4</t>
  </si>
  <si>
    <t>24 D5</t>
  </si>
  <si>
    <t>24 D6</t>
  </si>
  <si>
    <t>24 D7</t>
  </si>
  <si>
    <t>24 D8</t>
  </si>
  <si>
    <t>24 D9</t>
  </si>
  <si>
    <t>24 E0</t>
  </si>
  <si>
    <t>24 E1</t>
  </si>
  <si>
    <t>24 E2</t>
  </si>
  <si>
    <t>24 E3</t>
  </si>
  <si>
    <t>24 E4</t>
  </si>
  <si>
    <t>24 E5</t>
  </si>
  <si>
    <t>25 D0</t>
  </si>
  <si>
    <t>25</t>
  </si>
  <si>
    <t>25 D1</t>
  </si>
  <si>
    <t>25 D2</t>
  </si>
  <si>
    <t>25 D3</t>
  </si>
  <si>
    <t>25 D4</t>
  </si>
  <si>
    <t>25 D5</t>
  </si>
  <si>
    <t>25 D6</t>
  </si>
  <si>
    <t>25 D7</t>
  </si>
  <si>
    <t>25 D8</t>
  </si>
  <si>
    <t>25 D9</t>
  </si>
  <si>
    <t>VIIJ2</t>
  </si>
  <si>
    <t>25 E0</t>
  </si>
  <si>
    <t>25 E1</t>
  </si>
  <si>
    <t>25 E2</t>
  </si>
  <si>
    <t>25 E3</t>
  </si>
  <si>
    <t>25 E4</t>
  </si>
  <si>
    <t>26 D0</t>
  </si>
  <si>
    <t>26</t>
  </si>
  <si>
    <t>26 D1</t>
  </si>
  <si>
    <t>26 D2</t>
  </si>
  <si>
    <t>26 D3</t>
  </si>
  <si>
    <t>26 D4</t>
  </si>
  <si>
    <t>26 D5</t>
  </si>
  <si>
    <t>26 D6</t>
  </si>
  <si>
    <t>26 D7</t>
  </si>
  <si>
    <t>VIIK2</t>
  </si>
  <si>
    <t>26 D8</t>
  </si>
  <si>
    <t>26 D9</t>
  </si>
  <si>
    <t>26 E0</t>
  </si>
  <si>
    <t>26 E1</t>
  </si>
  <si>
    <t>26 E2</t>
  </si>
  <si>
    <t>26 E3</t>
  </si>
  <si>
    <t>26 E4</t>
  </si>
  <si>
    <t>26 E5</t>
  </si>
  <si>
    <t>26 E6</t>
  </si>
  <si>
    <t>26 E7</t>
  </si>
  <si>
    <t>27 D0</t>
  </si>
  <si>
    <t>27</t>
  </si>
  <si>
    <t>27 D1</t>
  </si>
  <si>
    <t>27 D2</t>
  </si>
  <si>
    <t>27 D3</t>
  </si>
  <si>
    <t>27 D4</t>
  </si>
  <si>
    <t>27 D5</t>
  </si>
  <si>
    <t>27 D6</t>
  </si>
  <si>
    <t>27 D7</t>
  </si>
  <si>
    <t>27 D8</t>
  </si>
  <si>
    <t>27 D9</t>
  </si>
  <si>
    <t>27 E0</t>
  </si>
  <si>
    <t>27 E1</t>
  </si>
  <si>
    <t>27 E2</t>
  </si>
  <si>
    <t>27 E3</t>
  </si>
  <si>
    <t>27 E4</t>
  </si>
  <si>
    <t>27 E5</t>
  </si>
  <si>
    <t>27 E6</t>
  </si>
  <si>
    <t>27 E7</t>
  </si>
  <si>
    <t>28 D0</t>
  </si>
  <si>
    <t>28</t>
  </si>
  <si>
    <t>28 D1</t>
  </si>
  <si>
    <t>28 D2</t>
  </si>
  <si>
    <t>28 D3</t>
  </si>
  <si>
    <t>28 D4</t>
  </si>
  <si>
    <t>28 D5</t>
  </si>
  <si>
    <t>28 D6</t>
  </si>
  <si>
    <t>28 D7</t>
  </si>
  <si>
    <t>28 D8</t>
  </si>
  <si>
    <t>28 D9</t>
  </si>
  <si>
    <t>28 E0</t>
  </si>
  <si>
    <t>28 E1</t>
  </si>
  <si>
    <t>28 E2</t>
  </si>
  <si>
    <t>28 E3</t>
  </si>
  <si>
    <t>28 E4</t>
  </si>
  <si>
    <t>28 E5</t>
  </si>
  <si>
    <t>28 E6</t>
  </si>
  <si>
    <t>28 E7</t>
  </si>
  <si>
    <t>28 E8</t>
  </si>
  <si>
    <t>28 E9</t>
  </si>
  <si>
    <t>E9</t>
  </si>
  <si>
    <t>28 F0</t>
  </si>
  <si>
    <t>F0</t>
  </si>
  <si>
    <t>29 D0</t>
  </si>
  <si>
    <t>29</t>
  </si>
  <si>
    <t>29 D1</t>
  </si>
  <si>
    <t>29 D2</t>
  </si>
  <si>
    <t>29 D3</t>
  </si>
  <si>
    <t>29 D4</t>
  </si>
  <si>
    <t>29 D5</t>
  </si>
  <si>
    <t>29 D6</t>
  </si>
  <si>
    <t>29 D7</t>
  </si>
  <si>
    <t>29 D8</t>
  </si>
  <si>
    <t>29 D9</t>
  </si>
  <si>
    <t>29 E0</t>
  </si>
  <si>
    <t>29 E1</t>
  </si>
  <si>
    <t>29 E2</t>
  </si>
  <si>
    <t>29 E3</t>
  </si>
  <si>
    <t>29 E4</t>
  </si>
  <si>
    <t>29 E6</t>
  </si>
  <si>
    <t>29 E7</t>
  </si>
  <si>
    <t>29 E8</t>
  </si>
  <si>
    <t>29 E9</t>
  </si>
  <si>
    <t>29 F0</t>
  </si>
  <si>
    <t>29 F1</t>
  </si>
  <si>
    <t>F1</t>
  </si>
  <si>
    <t>30 D0</t>
  </si>
  <si>
    <t>30</t>
  </si>
  <si>
    <t>30 D1</t>
  </si>
  <si>
    <t>30 D2</t>
  </si>
  <si>
    <t>30 D3</t>
  </si>
  <si>
    <t>30 D4</t>
  </si>
  <si>
    <t>30 D5</t>
  </si>
  <si>
    <t>30 D6</t>
  </si>
  <si>
    <t>30 D7</t>
  </si>
  <si>
    <t>30 D8</t>
  </si>
  <si>
    <t>30 D9</t>
  </si>
  <si>
    <t>30 E0</t>
  </si>
  <si>
    <t>30 E1</t>
  </si>
  <si>
    <t>30 E2</t>
  </si>
  <si>
    <t>30 E3</t>
  </si>
  <si>
    <t>30 E4</t>
  </si>
  <si>
    <t>30 E6</t>
  </si>
  <si>
    <t>30 E8</t>
  </si>
  <si>
    <t>30 E9</t>
  </si>
  <si>
    <t>30 F0</t>
  </si>
  <si>
    <t>30 F1</t>
  </si>
  <si>
    <t>31 D0</t>
  </si>
  <si>
    <t>31</t>
  </si>
  <si>
    <t>31 D1</t>
  </si>
  <si>
    <t>31 D2</t>
  </si>
  <si>
    <t>31 D3</t>
  </si>
  <si>
    <t>31 D4</t>
  </si>
  <si>
    <t>31 D5</t>
  </si>
  <si>
    <t>31 D6</t>
  </si>
  <si>
    <t>31 D7</t>
  </si>
  <si>
    <t>31 D8</t>
  </si>
  <si>
    <t>31 D9</t>
  </si>
  <si>
    <t>31 E0</t>
  </si>
  <si>
    <t>31 E1</t>
  </si>
  <si>
    <t>31 E2</t>
  </si>
  <si>
    <t>31 E3</t>
  </si>
  <si>
    <t>31 E4</t>
  </si>
  <si>
    <t>31 E5</t>
  </si>
  <si>
    <t>31 E6</t>
  </si>
  <si>
    <t>31 F1</t>
  </si>
  <si>
    <t>31 F2</t>
  </si>
  <si>
    <t>F2</t>
  </si>
  <si>
    <t>32 D0</t>
  </si>
  <si>
    <t>32</t>
  </si>
  <si>
    <t>32 D1</t>
  </si>
  <si>
    <t>32 D2</t>
  </si>
  <si>
    <t>32 D3</t>
  </si>
  <si>
    <t>32 D4</t>
  </si>
  <si>
    <t>32 D5</t>
  </si>
  <si>
    <t>32 D6</t>
  </si>
  <si>
    <t>32 D7</t>
  </si>
  <si>
    <t>32 D8</t>
  </si>
  <si>
    <t>32 D9</t>
  </si>
  <si>
    <t>32 E1</t>
  </si>
  <si>
    <t>32 E2</t>
  </si>
  <si>
    <t>32 E3</t>
  </si>
  <si>
    <t>32 E4</t>
  </si>
  <si>
    <t>32 E5</t>
  </si>
  <si>
    <t>32 F1</t>
  </si>
  <si>
    <t>32 F2</t>
  </si>
  <si>
    <t>32 F3</t>
  </si>
  <si>
    <t>F3</t>
  </si>
  <si>
    <t>33 D0</t>
  </si>
  <si>
    <t>33</t>
  </si>
  <si>
    <t>33 D1</t>
  </si>
  <si>
    <t>33 D2</t>
  </si>
  <si>
    <t>33 D3</t>
  </si>
  <si>
    <t>33 D4</t>
  </si>
  <si>
    <t>33 D5</t>
  </si>
  <si>
    <t>33 D6</t>
  </si>
  <si>
    <t>33 D7</t>
  </si>
  <si>
    <t>33 D8</t>
  </si>
  <si>
    <t>33 D9</t>
  </si>
  <si>
    <t>33 E3</t>
  </si>
  <si>
    <t>33 E4</t>
  </si>
  <si>
    <t>33 E5</t>
  </si>
  <si>
    <t>33 F2</t>
  </si>
  <si>
    <t>33 F3</t>
  </si>
  <si>
    <t>33 F4</t>
  </si>
  <si>
    <t>F4</t>
  </si>
  <si>
    <t>34 D0</t>
  </si>
  <si>
    <t>34</t>
  </si>
  <si>
    <t>34 D1</t>
  </si>
  <si>
    <t>34 D2</t>
  </si>
  <si>
    <t>34 D3</t>
  </si>
  <si>
    <t>34 D4</t>
  </si>
  <si>
    <t>34 D5</t>
  </si>
  <si>
    <t>34 D6</t>
  </si>
  <si>
    <t>34 D7</t>
  </si>
  <si>
    <t>34 D8</t>
  </si>
  <si>
    <t>34 D9</t>
  </si>
  <si>
    <t>34 E0</t>
  </si>
  <si>
    <t>34 E4</t>
  </si>
  <si>
    <t>34 E5</t>
  </si>
  <si>
    <t>34 F2</t>
  </si>
  <si>
    <t>34 F3</t>
  </si>
  <si>
    <t>35 D0</t>
  </si>
  <si>
    <t>35</t>
  </si>
  <si>
    <t>35 D1</t>
  </si>
  <si>
    <t>35 D2</t>
  </si>
  <si>
    <t>35 D3</t>
  </si>
  <si>
    <t>35 D4</t>
  </si>
  <si>
    <t>35 D5</t>
  </si>
  <si>
    <t>35 D6</t>
  </si>
  <si>
    <t>35 D7</t>
  </si>
  <si>
    <t>35 D8</t>
  </si>
  <si>
    <t>35 D9</t>
  </si>
  <si>
    <t>35 E0</t>
  </si>
  <si>
    <t>35 E4</t>
  </si>
  <si>
    <t>35 F0</t>
  </si>
  <si>
    <t>35 F1</t>
  </si>
  <si>
    <t>35 F2</t>
  </si>
  <si>
    <t>IVbc</t>
  </si>
  <si>
    <t>35 F3</t>
  </si>
  <si>
    <t>36  F7</t>
  </si>
  <si>
    <t>F7</t>
  </si>
  <si>
    <t>36</t>
  </si>
  <si>
    <t>36  F8</t>
  </si>
  <si>
    <t>F8</t>
  </si>
  <si>
    <t>36 D1</t>
  </si>
  <si>
    <t>36 D2</t>
  </si>
  <si>
    <t>36 D3</t>
  </si>
  <si>
    <t>36 D4</t>
  </si>
  <si>
    <t>36 D5</t>
  </si>
  <si>
    <t>36 D6</t>
  </si>
  <si>
    <t>36 D7</t>
  </si>
  <si>
    <t>36 D8</t>
  </si>
  <si>
    <t>36 D9</t>
  </si>
  <si>
    <t>36 DO</t>
  </si>
  <si>
    <t>DO</t>
  </si>
  <si>
    <t>36 E4</t>
  </si>
  <si>
    <t>36 E5</t>
  </si>
  <si>
    <t>36 E6</t>
  </si>
  <si>
    <t>36 F0</t>
  </si>
  <si>
    <t>36 F1</t>
  </si>
  <si>
    <t>36 F2</t>
  </si>
  <si>
    <t>36 F3</t>
  </si>
  <si>
    <t>36 F4</t>
  </si>
  <si>
    <t>36 F5</t>
  </si>
  <si>
    <t>F5</t>
  </si>
  <si>
    <t>36 F6</t>
  </si>
  <si>
    <t>F6</t>
  </si>
  <si>
    <t>37 D0</t>
  </si>
  <si>
    <t>37</t>
  </si>
  <si>
    <t>37 D1</t>
  </si>
  <si>
    <t>37 D2</t>
  </si>
  <si>
    <t>37 D3</t>
  </si>
  <si>
    <t>37 D4</t>
  </si>
  <si>
    <t>37 D5</t>
  </si>
  <si>
    <t>37 D6</t>
  </si>
  <si>
    <t>37 D7</t>
  </si>
  <si>
    <t>37 D8</t>
  </si>
  <si>
    <t>37 D9</t>
  </si>
  <si>
    <t>37 E0</t>
  </si>
  <si>
    <t>37 E1</t>
  </si>
  <si>
    <t>37 E4</t>
  </si>
  <si>
    <t>37 E5</t>
  </si>
  <si>
    <t>37 F0</t>
  </si>
  <si>
    <t>37 F1</t>
  </si>
  <si>
    <t>37 F2</t>
  </si>
  <si>
    <t>37 F3</t>
  </si>
  <si>
    <t>37 F4</t>
  </si>
  <si>
    <t>37 F5</t>
  </si>
  <si>
    <t>37 F6</t>
  </si>
  <si>
    <t>37 F7</t>
  </si>
  <si>
    <t>37 F8</t>
  </si>
  <si>
    <t>38  F7</t>
  </si>
  <si>
    <t>38</t>
  </si>
  <si>
    <t>38 D0</t>
  </si>
  <si>
    <t>38 D1</t>
  </si>
  <si>
    <t>38 D2</t>
  </si>
  <si>
    <t>VIb1</t>
  </si>
  <si>
    <t>38 D3</t>
  </si>
  <si>
    <t>38 D4</t>
  </si>
  <si>
    <t>VIb2</t>
  </si>
  <si>
    <t>38 D5</t>
  </si>
  <si>
    <t>38 D6</t>
  </si>
  <si>
    <t>38 D7</t>
  </si>
  <si>
    <t>38 D8</t>
  </si>
  <si>
    <t>VIaS</t>
  </si>
  <si>
    <t>38 D9</t>
  </si>
  <si>
    <t>38 E0</t>
  </si>
  <si>
    <t>38 E4</t>
  </si>
  <si>
    <t>38 E5</t>
  </si>
  <si>
    <t>38 E8</t>
  </si>
  <si>
    <t>38 E9</t>
  </si>
  <si>
    <t>38 F0</t>
  </si>
  <si>
    <t>38 F1</t>
  </si>
  <si>
    <t>38 F2</t>
  </si>
  <si>
    <t>38 F3</t>
  </si>
  <si>
    <t>38 F4</t>
  </si>
  <si>
    <t>38 F5</t>
  </si>
  <si>
    <t>38 F6</t>
  </si>
  <si>
    <t>39 D1</t>
  </si>
  <si>
    <t>39</t>
  </si>
  <si>
    <t>39 D2</t>
  </si>
  <si>
    <t>39 D3</t>
  </si>
  <si>
    <t>39 D4</t>
  </si>
  <si>
    <t>39 D5</t>
  </si>
  <si>
    <t>39 D6</t>
  </si>
  <si>
    <t>39 D7</t>
  </si>
  <si>
    <t>39 D8</t>
  </si>
  <si>
    <t>39 D9</t>
  </si>
  <si>
    <t>39 DO</t>
  </si>
  <si>
    <t>39 E0</t>
  </si>
  <si>
    <t>39 E1</t>
  </si>
  <si>
    <t>39 E2</t>
  </si>
  <si>
    <t>39 E3</t>
  </si>
  <si>
    <t>39 E4</t>
  </si>
  <si>
    <t>39 E8</t>
  </si>
  <si>
    <t>39 E9</t>
  </si>
  <si>
    <t>39 F0</t>
  </si>
  <si>
    <t>39 F1</t>
  </si>
  <si>
    <t>39 F2</t>
  </si>
  <si>
    <t>39 F3</t>
  </si>
  <si>
    <t>39 F4</t>
  </si>
  <si>
    <t>39 F5</t>
  </si>
  <si>
    <t>39 F6</t>
  </si>
  <si>
    <t>39 F7</t>
  </si>
  <si>
    <t>40  F7</t>
  </si>
  <si>
    <t>40</t>
  </si>
  <si>
    <t>40 D1</t>
  </si>
  <si>
    <t>40 D2</t>
  </si>
  <si>
    <t>40 D3</t>
  </si>
  <si>
    <t>40 D4</t>
  </si>
  <si>
    <t>40 D5</t>
  </si>
  <si>
    <t>40 D6</t>
  </si>
  <si>
    <t>40 D7</t>
  </si>
  <si>
    <t>40 D8</t>
  </si>
  <si>
    <t>40 D9</t>
  </si>
  <si>
    <t>40 DO</t>
  </si>
  <si>
    <t>40 E0</t>
  </si>
  <si>
    <t>40 E1</t>
  </si>
  <si>
    <t>40 E2</t>
  </si>
  <si>
    <t>40 E3</t>
  </si>
  <si>
    <t>40 E4</t>
  </si>
  <si>
    <t>40 E8</t>
  </si>
  <si>
    <t>40 E9</t>
  </si>
  <si>
    <t>40 F0</t>
  </si>
  <si>
    <t>40 F1</t>
  </si>
  <si>
    <t>40 F2</t>
  </si>
  <si>
    <t>40 F3</t>
  </si>
  <si>
    <t>40 F4</t>
  </si>
  <si>
    <t>40 F5</t>
  </si>
  <si>
    <t>40 F6</t>
  </si>
  <si>
    <t>41 D1</t>
  </si>
  <si>
    <t>41</t>
  </si>
  <si>
    <t>41 D2</t>
  </si>
  <si>
    <t>41 D3</t>
  </si>
  <si>
    <t>41 D4</t>
  </si>
  <si>
    <t>41 D5</t>
  </si>
  <si>
    <t>41 D6</t>
  </si>
  <si>
    <t>41 D7</t>
  </si>
  <si>
    <t>41 D8</t>
  </si>
  <si>
    <t>41 D9</t>
  </si>
  <si>
    <t>41 DO</t>
  </si>
  <si>
    <t>41 E0</t>
  </si>
  <si>
    <t>41 E1</t>
  </si>
  <si>
    <t>41 E2</t>
  </si>
  <si>
    <t>41 E3</t>
  </si>
  <si>
    <t>41 E7</t>
  </si>
  <si>
    <t>41 E8</t>
  </si>
  <si>
    <t>41 E9</t>
  </si>
  <si>
    <t>41 F0</t>
  </si>
  <si>
    <t>41 F1</t>
  </si>
  <si>
    <t>41 F2</t>
  </si>
  <si>
    <t>41 F3</t>
  </si>
  <si>
    <t>41 F4</t>
  </si>
  <si>
    <t>41 F5</t>
  </si>
  <si>
    <t>41 F6</t>
  </si>
  <si>
    <t>41 F7</t>
  </si>
  <si>
    <t>42 D0</t>
  </si>
  <si>
    <t>42</t>
  </si>
  <si>
    <t>42 D1</t>
  </si>
  <si>
    <t>42 D2</t>
  </si>
  <si>
    <t>42 D3</t>
  </si>
  <si>
    <t>42 D4</t>
  </si>
  <si>
    <t>42 D5</t>
  </si>
  <si>
    <t>42 D6</t>
  </si>
  <si>
    <t>42 D7</t>
  </si>
  <si>
    <t>42 D8</t>
  </si>
  <si>
    <t>42 D9</t>
  </si>
  <si>
    <t>42 E0</t>
  </si>
  <si>
    <t>42 E1</t>
  </si>
  <si>
    <t>42 E2</t>
  </si>
  <si>
    <t>42 E3</t>
  </si>
  <si>
    <t>42 E7</t>
  </si>
  <si>
    <t>42 E8</t>
  </si>
  <si>
    <t>42 E9</t>
  </si>
  <si>
    <t>42 F0</t>
  </si>
  <si>
    <t>42 F1</t>
  </si>
  <si>
    <t>42 F2</t>
  </si>
  <si>
    <t>42 F3</t>
  </si>
  <si>
    <t>42 F4</t>
  </si>
  <si>
    <t>42 F5</t>
  </si>
  <si>
    <t>42 F6</t>
  </si>
  <si>
    <t>42 F7</t>
  </si>
  <si>
    <t>43  F7</t>
  </si>
  <si>
    <t>43</t>
  </si>
  <si>
    <t>43 D0</t>
  </si>
  <si>
    <t>43 D1</t>
  </si>
  <si>
    <t>43 D2</t>
  </si>
  <si>
    <t>43 D3</t>
  </si>
  <si>
    <t>43 D4</t>
  </si>
  <si>
    <t>43 D5</t>
  </si>
  <si>
    <t>43 D6</t>
  </si>
  <si>
    <t>43 D7</t>
  </si>
  <si>
    <t>43 D8</t>
  </si>
  <si>
    <t>43 D9</t>
  </si>
  <si>
    <t>43 E0</t>
  </si>
  <si>
    <t>43 E1</t>
  </si>
  <si>
    <t>43 E3</t>
  </si>
  <si>
    <t>43 E8</t>
  </si>
  <si>
    <t>43 E9</t>
  </si>
  <si>
    <t>43 F0</t>
  </si>
  <si>
    <t>43 F1</t>
  </si>
  <si>
    <t>43 F2</t>
  </si>
  <si>
    <t>43 F3</t>
  </si>
  <si>
    <t>43 F4</t>
  </si>
  <si>
    <t>43 F5</t>
  </si>
  <si>
    <t>43 F6</t>
  </si>
  <si>
    <t>43 F8</t>
  </si>
  <si>
    <t>43 F9</t>
  </si>
  <si>
    <t>F9</t>
  </si>
  <si>
    <t>44 D1</t>
  </si>
  <si>
    <t>44</t>
  </si>
  <si>
    <t>44 D2</t>
  </si>
  <si>
    <t>44 D3</t>
  </si>
  <si>
    <t>44 D4</t>
  </si>
  <si>
    <t>44 D5</t>
  </si>
  <si>
    <t>44 D6</t>
  </si>
  <si>
    <t>44 D7</t>
  </si>
  <si>
    <t>44 D8</t>
  </si>
  <si>
    <t>44 D9</t>
  </si>
  <si>
    <t>44 DO</t>
  </si>
  <si>
    <t>44 E0</t>
  </si>
  <si>
    <t>44 E1</t>
  </si>
  <si>
    <t>44 E3</t>
  </si>
  <si>
    <t>44 E6</t>
  </si>
  <si>
    <t>44 E7</t>
  </si>
  <si>
    <t>44 E8</t>
  </si>
  <si>
    <t>44 E9</t>
  </si>
  <si>
    <t>44 F0</t>
  </si>
  <si>
    <t>44 F1</t>
  </si>
  <si>
    <t>44 F2</t>
  </si>
  <si>
    <t>44 F3</t>
  </si>
  <si>
    <t>44 F4</t>
  </si>
  <si>
    <t>44 F5</t>
  </si>
  <si>
    <t>44 F6</t>
  </si>
  <si>
    <t>44 F7</t>
  </si>
  <si>
    <t>44 F8</t>
  </si>
  <si>
    <t>44 F9</t>
  </si>
  <si>
    <t>45 D1</t>
  </si>
  <si>
    <t>45</t>
  </si>
  <si>
    <t>45 D2</t>
  </si>
  <si>
    <t>45 D3</t>
  </si>
  <si>
    <t>45 D4</t>
  </si>
  <si>
    <t>45 D5</t>
  </si>
  <si>
    <t>45 D6</t>
  </si>
  <si>
    <t>45 D7</t>
  </si>
  <si>
    <t>45 D8</t>
  </si>
  <si>
    <t>45 D9</t>
  </si>
  <si>
    <t>45 DO</t>
  </si>
  <si>
    <t>45 E0</t>
  </si>
  <si>
    <t>45 E1</t>
  </si>
  <si>
    <t>45 E2</t>
  </si>
  <si>
    <t>45 E4</t>
  </si>
  <si>
    <t>45 E6</t>
  </si>
  <si>
    <t>45 E7</t>
  </si>
  <si>
    <t>45 E8</t>
  </si>
  <si>
    <t>45 E9</t>
  </si>
  <si>
    <t>45 F0</t>
  </si>
  <si>
    <t>45 F1</t>
  </si>
  <si>
    <t>45 F2</t>
  </si>
  <si>
    <t>45 F3</t>
  </si>
  <si>
    <t>45 F4</t>
  </si>
  <si>
    <t>45 F5</t>
  </si>
  <si>
    <t>45 F6</t>
  </si>
  <si>
    <t>45 F8</t>
  </si>
  <si>
    <t>45 F9</t>
  </si>
  <si>
    <t>46 D0</t>
  </si>
  <si>
    <t>46</t>
  </si>
  <si>
    <t>46 D1</t>
  </si>
  <si>
    <t>46 D2</t>
  </si>
  <si>
    <t>46 D3</t>
  </si>
  <si>
    <t>46 D4</t>
  </si>
  <si>
    <t>46 D5</t>
  </si>
  <si>
    <t>46 D6</t>
  </si>
  <si>
    <t>46 D7</t>
  </si>
  <si>
    <t>46 D8</t>
  </si>
  <si>
    <t>46 D9</t>
  </si>
  <si>
    <t>46 E0</t>
  </si>
  <si>
    <t>46 E1</t>
  </si>
  <si>
    <t>46 E2</t>
  </si>
  <si>
    <t>46 E3</t>
  </si>
  <si>
    <t>46 E4</t>
  </si>
  <si>
    <t>46 E5</t>
  </si>
  <si>
    <t>46 E6</t>
  </si>
  <si>
    <t>46 E7</t>
  </si>
  <si>
    <t>46 E8</t>
  </si>
  <si>
    <t>46 E9</t>
  </si>
  <si>
    <t>46 F0</t>
  </si>
  <si>
    <t>46 F1</t>
  </si>
  <si>
    <t>46 F2</t>
  </si>
  <si>
    <t>46 F3</t>
  </si>
  <si>
    <t>46 F4</t>
  </si>
  <si>
    <t>46 F5</t>
  </si>
  <si>
    <t>46 F9</t>
  </si>
  <si>
    <t>47 D0</t>
  </si>
  <si>
    <t>47</t>
  </si>
  <si>
    <t>47 D1</t>
  </si>
  <si>
    <t>47 D2</t>
  </si>
  <si>
    <t>47 D3</t>
  </si>
  <si>
    <t>47 D4</t>
  </si>
  <si>
    <t>47 D5</t>
  </si>
  <si>
    <t>47 D6</t>
  </si>
  <si>
    <t>47 D7</t>
  </si>
  <si>
    <t>47 D8</t>
  </si>
  <si>
    <t>47 D9</t>
  </si>
  <si>
    <t>47 E0</t>
  </si>
  <si>
    <t>47 E1</t>
  </si>
  <si>
    <t>47 E2</t>
  </si>
  <si>
    <t>47 E3</t>
  </si>
  <si>
    <t>47 E5</t>
  </si>
  <si>
    <t>47 E6</t>
  </si>
  <si>
    <t>47 E7</t>
  </si>
  <si>
    <t>47 E8</t>
  </si>
  <si>
    <t>47 E9</t>
  </si>
  <si>
    <t>47 F0</t>
  </si>
  <si>
    <t>47 F1</t>
  </si>
  <si>
    <t>47 F2</t>
  </si>
  <si>
    <t>47 F3</t>
  </si>
  <si>
    <t>47 F4</t>
  </si>
  <si>
    <t>48 D0</t>
  </si>
  <si>
    <t>48</t>
  </si>
  <si>
    <t>48 D1</t>
  </si>
  <si>
    <t>48 D2</t>
  </si>
  <si>
    <t>48 D3</t>
  </si>
  <si>
    <t>48 D4</t>
  </si>
  <si>
    <t>48 D5</t>
  </si>
  <si>
    <t>48 D6</t>
  </si>
  <si>
    <t>48 D7</t>
  </si>
  <si>
    <t>48 D8</t>
  </si>
  <si>
    <t>48 D9</t>
  </si>
  <si>
    <t>48 E0</t>
  </si>
  <si>
    <t>48 E1</t>
  </si>
  <si>
    <t>48 E2</t>
  </si>
  <si>
    <t>48 E3</t>
  </si>
  <si>
    <t>48 E4</t>
  </si>
  <si>
    <t>48 E5</t>
  </si>
  <si>
    <t>48 E6</t>
  </si>
  <si>
    <t>48 E7</t>
  </si>
  <si>
    <t>48 E9</t>
  </si>
  <si>
    <t>48 F0</t>
  </si>
  <si>
    <t>48 F1</t>
  </si>
  <si>
    <t>48 F2</t>
  </si>
  <si>
    <t>48 F3</t>
  </si>
  <si>
    <t>48 F4</t>
  </si>
  <si>
    <t>49 D0</t>
  </si>
  <si>
    <t>49</t>
  </si>
  <si>
    <t>49 D1</t>
  </si>
  <si>
    <t>49 D2</t>
  </si>
  <si>
    <t>49 D3</t>
  </si>
  <si>
    <t>49 D4</t>
  </si>
  <si>
    <t>Vb1a</t>
  </si>
  <si>
    <t>49 D5</t>
  </si>
  <si>
    <t>Vb1b</t>
  </si>
  <si>
    <t>49 D6</t>
  </si>
  <si>
    <t>49 D7</t>
  </si>
  <si>
    <t>49 D8</t>
  </si>
  <si>
    <t>49 D9</t>
  </si>
  <si>
    <t>49 E0</t>
  </si>
  <si>
    <t>49 E1</t>
  </si>
  <si>
    <t>49 E2</t>
  </si>
  <si>
    <t>49 E3</t>
  </si>
  <si>
    <t>49 E4</t>
  </si>
  <si>
    <t>49 E5</t>
  </si>
  <si>
    <t>49 E6</t>
  </si>
  <si>
    <t>49 E7</t>
  </si>
  <si>
    <t>49 E8</t>
  </si>
  <si>
    <t>49 E9</t>
  </si>
  <si>
    <t>49 F0</t>
  </si>
  <si>
    <t>49 F1</t>
  </si>
  <si>
    <t>49 F2</t>
  </si>
  <si>
    <t>49 F3</t>
  </si>
  <si>
    <t>49 F4</t>
  </si>
  <si>
    <t>50 D0</t>
  </si>
  <si>
    <t>50</t>
  </si>
  <si>
    <t>50 D1</t>
  </si>
  <si>
    <t>50 D2</t>
  </si>
  <si>
    <t>50 D3</t>
  </si>
  <si>
    <t>50 D4</t>
  </si>
  <si>
    <t>50 D5</t>
  </si>
  <si>
    <t>50 D6</t>
  </si>
  <si>
    <t>50 D7</t>
  </si>
  <si>
    <t>50 D8</t>
  </si>
  <si>
    <t>50 D9</t>
  </si>
  <si>
    <t>50 E0</t>
  </si>
  <si>
    <t>50 E1</t>
  </si>
  <si>
    <t>50 E2</t>
  </si>
  <si>
    <t>50 E3</t>
  </si>
  <si>
    <t>50 E4</t>
  </si>
  <si>
    <t>50 E5</t>
  </si>
  <si>
    <t>50 E6</t>
  </si>
  <si>
    <t>50 E7</t>
  </si>
  <si>
    <t>50 E8</t>
  </si>
  <si>
    <t>50 E9</t>
  </si>
  <si>
    <t>50 F0</t>
  </si>
  <si>
    <t>50 F1</t>
  </si>
  <si>
    <t>50 F2</t>
  </si>
  <si>
    <t>50 F3</t>
  </si>
  <si>
    <t>50 F4</t>
  </si>
  <si>
    <t>51 D0</t>
  </si>
  <si>
    <t>51</t>
  </si>
  <si>
    <t>51 D1</t>
  </si>
  <si>
    <t>51 D2</t>
  </si>
  <si>
    <t>51 D3</t>
  </si>
  <si>
    <t>51 D4</t>
  </si>
  <si>
    <t>51 D5</t>
  </si>
  <si>
    <t>51 D6</t>
  </si>
  <si>
    <t>51 D7</t>
  </si>
  <si>
    <t>51 D8</t>
  </si>
  <si>
    <t>51 D9</t>
  </si>
  <si>
    <t>51 E0</t>
  </si>
  <si>
    <t>51 E1</t>
  </si>
  <si>
    <t>51 E2</t>
  </si>
  <si>
    <t>51 E3</t>
  </si>
  <si>
    <t>51 E4</t>
  </si>
  <si>
    <t>51 E5</t>
  </si>
  <si>
    <t>51 E6</t>
  </si>
  <si>
    <t>51 E7</t>
  </si>
  <si>
    <t>51 E8</t>
  </si>
  <si>
    <t>51 E9</t>
  </si>
  <si>
    <t>51 F0</t>
  </si>
  <si>
    <t>51 F1</t>
  </si>
  <si>
    <t>51 F2</t>
  </si>
  <si>
    <t>51 F3</t>
  </si>
  <si>
    <t>51 F4</t>
  </si>
  <si>
    <t>52 D0</t>
  </si>
  <si>
    <t>52</t>
  </si>
  <si>
    <t>52 D1</t>
  </si>
  <si>
    <t>52 D2</t>
  </si>
  <si>
    <t>52 D3</t>
  </si>
  <si>
    <t>52 D4</t>
  </si>
  <si>
    <t>52 D5</t>
  </si>
  <si>
    <t>52 D6</t>
  </si>
  <si>
    <t>52 D7</t>
  </si>
  <si>
    <t>52 D8</t>
  </si>
  <si>
    <t>52 D9</t>
  </si>
  <si>
    <t>52 E0</t>
  </si>
  <si>
    <t>52 E1</t>
  </si>
  <si>
    <t>52 E2</t>
  </si>
  <si>
    <t>52 E4</t>
  </si>
  <si>
    <t>52 E5</t>
  </si>
  <si>
    <t>52 E6</t>
  </si>
  <si>
    <t>52 E7</t>
  </si>
  <si>
    <t>52 E8</t>
  </si>
  <si>
    <t>52 E9</t>
  </si>
  <si>
    <t>52 F0</t>
  </si>
  <si>
    <t>52 F1</t>
  </si>
  <si>
    <t>52 F2</t>
  </si>
  <si>
    <t>52 F3</t>
  </si>
  <si>
    <t>52 F4</t>
  </si>
  <si>
    <t xml:space="preserve"> 5</t>
  </si>
  <si>
    <t>53 D0</t>
  </si>
  <si>
    <t>Va</t>
  </si>
  <si>
    <t>53</t>
  </si>
  <si>
    <t>53 D1</t>
  </si>
  <si>
    <t>53 D2</t>
  </si>
  <si>
    <t>53 D3</t>
  </si>
  <si>
    <t>53 D4</t>
  </si>
  <si>
    <t>53 D5</t>
  </si>
  <si>
    <t>53 D6</t>
  </si>
  <si>
    <t>53 D7</t>
  </si>
  <si>
    <t>53 D8</t>
  </si>
  <si>
    <t>53 D9</t>
  </si>
  <si>
    <t>53 E0</t>
  </si>
  <si>
    <t>53 E1</t>
  </si>
  <si>
    <t>53 E4</t>
  </si>
  <si>
    <t>53 E5</t>
  </si>
  <si>
    <t>53 E6</t>
  </si>
  <si>
    <t>IIa</t>
  </si>
  <si>
    <t>53 E7</t>
  </si>
  <si>
    <t>53 E8</t>
  </si>
  <si>
    <t>53 E9</t>
  </si>
  <si>
    <t>53 F0</t>
  </si>
  <si>
    <t>53 F1</t>
  </si>
  <si>
    <t>53 F2</t>
  </si>
  <si>
    <t>53 F3</t>
  </si>
  <si>
    <t>53 F4</t>
  </si>
  <si>
    <t>53 F5</t>
  </si>
  <si>
    <t>54 D0</t>
  </si>
  <si>
    <t>54</t>
  </si>
  <si>
    <t>54 D1</t>
  </si>
  <si>
    <t>54 D2</t>
  </si>
  <si>
    <t>54 D3</t>
  </si>
  <si>
    <t>54 D4</t>
  </si>
  <si>
    <t>54 D5</t>
  </si>
  <si>
    <t>54 D6</t>
  </si>
  <si>
    <t>54 D7</t>
  </si>
  <si>
    <t>54 D8</t>
  </si>
  <si>
    <t>54 D9</t>
  </si>
  <si>
    <t>54 E0</t>
  </si>
  <si>
    <t>54 E1</t>
  </si>
  <si>
    <t>54 E2</t>
  </si>
  <si>
    <t>54 E3</t>
  </si>
  <si>
    <t>54 E4</t>
  </si>
  <si>
    <t>54 E5</t>
  </si>
  <si>
    <t>54 E6</t>
  </si>
  <si>
    <t>54 E7</t>
  </si>
  <si>
    <t>54 E8</t>
  </si>
  <si>
    <t>54 E9</t>
  </si>
  <si>
    <t>54 F0</t>
  </si>
  <si>
    <t>54 F1</t>
  </si>
  <si>
    <t>54 F2</t>
  </si>
  <si>
    <t>54 F3</t>
  </si>
  <si>
    <t>54 F4</t>
  </si>
  <si>
    <t>54 F5</t>
  </si>
  <si>
    <t>55 D0</t>
  </si>
  <si>
    <t>55</t>
  </si>
  <si>
    <t>55 D1</t>
  </si>
  <si>
    <t>55 D2</t>
  </si>
  <si>
    <t>55 D3</t>
  </si>
  <si>
    <t>55 D4</t>
  </si>
  <si>
    <t>55 D5</t>
  </si>
  <si>
    <t>55 D6</t>
  </si>
  <si>
    <t>55 D7</t>
  </si>
  <si>
    <t>55 D8</t>
  </si>
  <si>
    <t>55 D9</t>
  </si>
  <si>
    <t>55 E0</t>
  </si>
  <si>
    <t>55 E1</t>
  </si>
  <si>
    <t>55 E2</t>
  </si>
  <si>
    <t>55 E3</t>
  </si>
  <si>
    <t>55 E4</t>
  </si>
  <si>
    <t>55 E5</t>
  </si>
  <si>
    <t>55 E6</t>
  </si>
  <si>
    <t>55 E7</t>
  </si>
  <si>
    <t>55 E8</t>
  </si>
  <si>
    <t>55 E9</t>
  </si>
  <si>
    <t>55 F0</t>
  </si>
  <si>
    <t>55 F1</t>
  </si>
  <si>
    <t>55 F2</t>
  </si>
  <si>
    <t>55 F3</t>
  </si>
  <si>
    <t>55 F4</t>
  </si>
  <si>
    <t>55 F5</t>
  </si>
  <si>
    <t>55 F6</t>
  </si>
  <si>
    <t>55 F7</t>
  </si>
  <si>
    <t>56 D4</t>
  </si>
  <si>
    <t>56</t>
  </si>
  <si>
    <t>56 D5</t>
  </si>
  <si>
    <t>56 D6</t>
  </si>
  <si>
    <t>56 D7</t>
  </si>
  <si>
    <t>56 D8</t>
  </si>
  <si>
    <t>56 D9</t>
  </si>
  <si>
    <t>56 E0</t>
  </si>
  <si>
    <t>56 E1</t>
  </si>
  <si>
    <t>56 E2</t>
  </si>
  <si>
    <t>56 E3</t>
  </si>
  <si>
    <t>56 E4</t>
  </si>
  <si>
    <t>56 E5</t>
  </si>
  <si>
    <t>56 E6</t>
  </si>
  <si>
    <t>56 E7</t>
  </si>
  <si>
    <t>56 E8</t>
  </si>
  <si>
    <t>56 E9</t>
  </si>
  <si>
    <t>56 F0</t>
  </si>
  <si>
    <t>56 F1</t>
  </si>
  <si>
    <t>56 F2</t>
  </si>
  <si>
    <t>56 F3</t>
  </si>
  <si>
    <t>56 F4</t>
  </si>
  <si>
    <t>56 F5</t>
  </si>
  <si>
    <t>56 F6</t>
  </si>
  <si>
    <t>56 F7</t>
  </si>
  <si>
    <t>56 F8</t>
  </si>
  <si>
    <t>57 D4</t>
  </si>
  <si>
    <t>57</t>
  </si>
  <si>
    <t>57 D5</t>
  </si>
  <si>
    <t>57 D6</t>
  </si>
  <si>
    <t>57 D7</t>
  </si>
  <si>
    <t>57 D8</t>
  </si>
  <si>
    <t>57 D9</t>
  </si>
  <si>
    <t>57 E0</t>
  </si>
  <si>
    <t>57 E1</t>
  </si>
  <si>
    <t>57 E2</t>
  </si>
  <si>
    <t>57 E3</t>
  </si>
  <si>
    <t>57 E4</t>
  </si>
  <si>
    <t>57 E5</t>
  </si>
  <si>
    <t>57 E6</t>
  </si>
  <si>
    <t>57 E7</t>
  </si>
  <si>
    <t>57 E8</t>
  </si>
  <si>
    <t>57 E9</t>
  </si>
  <si>
    <t>57 F0</t>
  </si>
  <si>
    <t>57 F1</t>
  </si>
  <si>
    <t>57 F2</t>
  </si>
  <si>
    <t>57 F3</t>
  </si>
  <si>
    <t>57 F4</t>
  </si>
  <si>
    <t>57 F5</t>
  </si>
  <si>
    <t>57 F6</t>
  </si>
  <si>
    <t>57 F7</t>
  </si>
  <si>
    <t>57 F8</t>
  </si>
  <si>
    <t>58 D4</t>
  </si>
  <si>
    <t>58</t>
  </si>
  <si>
    <t>58 D5</t>
  </si>
  <si>
    <t>58 D6</t>
  </si>
  <si>
    <t>58 D7</t>
  </si>
  <si>
    <t>58 D8</t>
  </si>
  <si>
    <t>58 D9</t>
  </si>
  <si>
    <t>58 E0</t>
  </si>
  <si>
    <t>58 E1</t>
  </si>
  <si>
    <t>58 E2</t>
  </si>
  <si>
    <t>58 E3</t>
  </si>
  <si>
    <t>58 E4</t>
  </si>
  <si>
    <t>58 E5</t>
  </si>
  <si>
    <t>58 E6</t>
  </si>
  <si>
    <t>58 E7</t>
  </si>
  <si>
    <t>58 E8</t>
  </si>
  <si>
    <t>58 E9</t>
  </si>
  <si>
    <t>58 F0</t>
  </si>
  <si>
    <t>58 F1</t>
  </si>
  <si>
    <t>58 F2</t>
  </si>
  <si>
    <t>58 F3</t>
  </si>
  <si>
    <t>58 F4</t>
  </si>
  <si>
    <t>58 F5</t>
  </si>
  <si>
    <t>58 F6</t>
  </si>
  <si>
    <t>58 F7</t>
  </si>
  <si>
    <t>58 F8</t>
  </si>
  <si>
    <t>Soort (Nederlands)</t>
  </si>
  <si>
    <t>Soort (Engels)</t>
  </si>
  <si>
    <t>trek</t>
  </si>
  <si>
    <t>Long</t>
  </si>
  <si>
    <t>Lat</t>
  </si>
  <si>
    <t>long</t>
  </si>
  <si>
    <t>lat</t>
  </si>
  <si>
    <t>Vb1</t>
  </si>
  <si>
    <t>VIa North</t>
  </si>
  <si>
    <t>VIa South</t>
  </si>
  <si>
    <t>VIIc</t>
  </si>
  <si>
    <t>VIIk</t>
  </si>
  <si>
    <t>VIIj</t>
  </si>
  <si>
    <t>SOL</t>
  </si>
  <si>
    <t>Tong</t>
  </si>
  <si>
    <t>PLE</t>
  </si>
  <si>
    <t>Versie</t>
  </si>
  <si>
    <t>Datum</t>
  </si>
  <si>
    <t>Contact</t>
  </si>
  <si>
    <t>Wouter van Broekhoven</t>
  </si>
  <si>
    <t>wvanbroekhoven@visned.nl</t>
  </si>
  <si>
    <t>+31646756702</t>
  </si>
  <si>
    <t>datum</t>
  </si>
  <si>
    <t>tijd zetten</t>
  </si>
  <si>
    <t>tijd halen</t>
  </si>
  <si>
    <t>locatie zetten</t>
  </si>
  <si>
    <t>snelheid (knopen)</t>
  </si>
  <si>
    <t>wind</t>
  </si>
  <si>
    <t>opmerkingen</t>
  </si>
  <si>
    <t>richting</t>
  </si>
  <si>
    <t>kracht (Bft)</t>
  </si>
  <si>
    <t>COD</t>
  </si>
  <si>
    <t>rog</t>
  </si>
  <si>
    <t>TUR</t>
  </si>
  <si>
    <t>BLL</t>
  </si>
  <si>
    <t>FLE</t>
  </si>
  <si>
    <t>Bot</t>
  </si>
  <si>
    <t>Platichthys flesus</t>
  </si>
  <si>
    <t>European flounder</t>
  </si>
  <si>
    <t>GUR</t>
  </si>
  <si>
    <t>Aspitrigla cuculus</t>
  </si>
  <si>
    <t>Red gurnard</t>
  </si>
  <si>
    <t>Griet</t>
  </si>
  <si>
    <t>Heilbot</t>
  </si>
  <si>
    <t>Kabeljauw</t>
  </si>
  <si>
    <t>Krab</t>
  </si>
  <si>
    <t>Kreeft</t>
  </si>
  <si>
    <t>Langoestine</t>
  </si>
  <si>
    <t>Leng</t>
  </si>
  <si>
    <t>Pieterman</t>
  </si>
  <si>
    <t>Blonde rog</t>
  </si>
  <si>
    <t>Schar</t>
  </si>
  <si>
    <t>Schartong</t>
  </si>
  <si>
    <t>Schol</t>
  </si>
  <si>
    <t>Snotdolf</t>
  </si>
  <si>
    <t>Sint Jacobsschelp</t>
  </si>
  <si>
    <t>Tarbot</t>
  </si>
  <si>
    <t>Tongschar</t>
  </si>
  <si>
    <t>Wulk</t>
  </si>
  <si>
    <t>Zeekat</t>
  </si>
  <si>
    <t>Zeewolf</t>
  </si>
  <si>
    <t>Zonnevis</t>
  </si>
  <si>
    <t>index</t>
  </si>
  <si>
    <t>Kaart geeft locatie van elke trek weer, verbonden door lijnen.</t>
  </si>
  <si>
    <t>Per trek wordt de gekozen soort geplot. Oppervlak van bubbel geeft RELATIEVE vangsthoeveelheid weer.</t>
  </si>
  <si>
    <t>De maximale bubbelgrootte ligt vast.</t>
  </si>
  <si>
    <t>Vul soort in:</t>
  </si>
  <si>
    <t>Dataverzamelingssheet pulsvisserij</t>
  </si>
  <si>
    <t>Vaste soorten (kg) vul deze soorten altijd in</t>
  </si>
  <si>
    <t>schol</t>
  </si>
  <si>
    <t>tong</t>
  </si>
  <si>
    <t>kabeljauw</t>
  </si>
  <si>
    <t>tarbot</t>
  </si>
  <si>
    <t>griet</t>
  </si>
  <si>
    <t>deze kolom</t>
  </si>
  <si>
    <t>intact houden</t>
  </si>
  <si>
    <t>GROOTTE VAN</t>
  </si>
  <si>
    <t>BOLLETJES TOONT</t>
  </si>
  <si>
    <t>RELATIEVE VANGST</t>
  </si>
  <si>
    <t>aanlanding TOTAAL (kg) dus ALLE soorten</t>
  </si>
  <si>
    <t>DAB</t>
  </si>
  <si>
    <t>Kolom</t>
  </si>
  <si>
    <t>Inhoud</t>
  </si>
  <si>
    <t>Hoe invoeren?</t>
  </si>
  <si>
    <t>Tijd zetten</t>
  </si>
  <si>
    <t>Tijdstip zetten net</t>
  </si>
  <si>
    <t>Datum zetten net</t>
  </si>
  <si>
    <t>kan op verschillende manieren, bijvoorbeeld toets "2 nov 16", of toets "02/11/2016".</t>
  </si>
  <si>
    <t>Locatie zetten</t>
  </si>
  <si>
    <t>Lat en long zetten</t>
  </si>
  <si>
    <t>Ingeven als graden en minuten. Toets alleen cijfers in; symbolen worden automatisch toegevoegd. Bijvoorbeeld voor 53°54', toets: "5354".</t>
  </si>
  <si>
    <t>Snelheid (knopen)</t>
  </si>
  <si>
    <t>Snelheid tijdens vissen</t>
  </si>
  <si>
    <t>Afronden op halve knopen, bijv. “5”, of “5.5”</t>
  </si>
  <si>
    <t>Windrichting</t>
  </si>
  <si>
    <t>Kompasrichting</t>
  </si>
  <si>
    <t>Windkracht</t>
  </si>
  <si>
    <t>In Beaufort</t>
  </si>
  <si>
    <t>Eén cijfer</t>
  </si>
  <si>
    <t>Tijd halen</t>
  </si>
  <si>
    <t>Tijdstip ophalen net</t>
  </si>
  <si>
    <t>Bijvoorbeeld als zich problemen voordoen of als er iets opvallends gebeurt.</t>
  </si>
  <si>
    <t>Vrij in te vullen</t>
  </si>
  <si>
    <t>Aanlanding TOTAAL (kg)</t>
  </si>
  <si>
    <t>AANLANDING</t>
  </si>
  <si>
    <t>Vul hier in kg de totale aanlanding van ALLE soorten</t>
  </si>
  <si>
    <t>(= alles wat het ruim in gaat)</t>
  </si>
  <si>
    <t>Vul voor deze soorten in kg de aanlanding in.</t>
  </si>
  <si>
    <t>Dat is dus ZONDER discards.</t>
  </si>
  <si>
    <t>VANGST</t>
  </si>
  <si>
    <t>Vul voor deze soorten in kg de VANGST marktwaardige vis in. Dat is INCLUSIEF marktwaardige discards.</t>
  </si>
  <si>
    <t>Alles onder de op dat moment geldende kleinste marktcategorie telt u NIET mee.</t>
  </si>
  <si>
    <t>Rog</t>
  </si>
  <si>
    <t>Week-besomming</t>
  </si>
  <si>
    <t>Bedrag weekbesomming</t>
  </si>
  <si>
    <t>Tongprijs</t>
  </si>
  <si>
    <t>Bedrag per kg</t>
  </si>
  <si>
    <t>Scholprijs</t>
  </si>
  <si>
    <t>HANDLEIDING</t>
  </si>
  <si>
    <t>Tel.</t>
  </si>
  <si>
    <t>kg marktwaardige VANGST</t>
  </si>
  <si>
    <t>kg AANLANDING</t>
  </si>
  <si>
    <r>
      <t xml:space="preserve">    Vrije soorten (vul soort zelf in, zie sheet Soortenlijst)                                                                         </t>
    </r>
    <r>
      <rPr>
        <b/>
        <sz val="11"/>
        <color rgb="FFFF0000"/>
        <rFont val="Calibri"/>
        <family val="2"/>
        <scheme val="minor"/>
      </rPr>
      <t>Indien extra velden nodig, neem contact op, zie sheet Info</t>
    </r>
  </si>
  <si>
    <t>Weekbesomming</t>
  </si>
  <si>
    <t>tongprijs per kg</t>
  </si>
  <si>
    <t>scholprijs per kg</t>
  </si>
  <si>
    <t>VOOR UW EIGEN ADMINISTRATIE</t>
  </si>
  <si>
    <t>Zeeduivel</t>
  </si>
  <si>
    <t>Monk fish</t>
  </si>
  <si>
    <t>Lophius piscatorius</t>
  </si>
  <si>
    <t>MON</t>
  </si>
  <si>
    <t>Hake</t>
  </si>
  <si>
    <t>Merluccius merluccius</t>
  </si>
  <si>
    <t>HKE</t>
  </si>
  <si>
    <t>Halibut</t>
  </si>
  <si>
    <t>Hippoglossus hippoglossus</t>
  </si>
  <si>
    <t>HAL</t>
  </si>
  <si>
    <t>Squid</t>
  </si>
  <si>
    <t>Saithe</t>
  </si>
  <si>
    <t>Pollachius virens</t>
  </si>
  <si>
    <t>POK</t>
  </si>
  <si>
    <t>Cancer pagurus</t>
  </si>
  <si>
    <t>Edible crab</t>
  </si>
  <si>
    <t>CRE</t>
  </si>
  <si>
    <t>Krabbenpoten</t>
  </si>
  <si>
    <t>Limanda limanda</t>
  </si>
  <si>
    <t>Dab</t>
  </si>
  <si>
    <t>Lobster</t>
  </si>
  <si>
    <t>Nephrops norvegicus</t>
  </si>
  <si>
    <t>NEP</t>
  </si>
  <si>
    <t>Norway lobster</t>
  </si>
  <si>
    <t>Molva molva</t>
  </si>
  <si>
    <t>LIN</t>
  </si>
  <si>
    <t>Ling</t>
  </si>
  <si>
    <t>Atlantic Mackerel</t>
  </si>
  <si>
    <t>Scomber scombrus</t>
  </si>
  <si>
    <t>MAC</t>
  </si>
  <si>
    <t>Red mullet</t>
  </si>
  <si>
    <t>Mulus barbatus</t>
  </si>
  <si>
    <t>MUT</t>
  </si>
  <si>
    <t>Trachinus draco</t>
  </si>
  <si>
    <t>Greater Weever</t>
  </si>
  <si>
    <t>WEG</t>
  </si>
  <si>
    <t>Mustelus californicus</t>
  </si>
  <si>
    <t>Common smooth-hound</t>
  </si>
  <si>
    <t>SMD</t>
  </si>
  <si>
    <t>Plashaai/gladde haai</t>
  </si>
  <si>
    <t>Rode poon</t>
  </si>
  <si>
    <t>Eutrigla gurnardus</t>
  </si>
  <si>
    <t>Grey gurnard</t>
  </si>
  <si>
    <t>GUG</t>
  </si>
  <si>
    <t>Raja brachyura</t>
  </si>
  <si>
    <t>RJH</t>
  </si>
  <si>
    <t>Blonde ray</t>
  </si>
  <si>
    <t>Raja montagui</t>
  </si>
  <si>
    <t>Spotted ray</t>
  </si>
  <si>
    <t>RJM</t>
  </si>
  <si>
    <t>Gladde/gevlekte rog</t>
  </si>
  <si>
    <t>Thornback ray</t>
  </si>
  <si>
    <t>Raja clavata</t>
  </si>
  <si>
    <t>RJC</t>
  </si>
  <si>
    <t>Microstomus kitt</t>
  </si>
  <si>
    <t>Lemon sole</t>
  </si>
  <si>
    <t>LEM</t>
  </si>
  <si>
    <t>Melanogrammus aeglefinus</t>
  </si>
  <si>
    <t>Haddock</t>
  </si>
  <si>
    <t>HAD</t>
  </si>
  <si>
    <t>Lumpfish</t>
  </si>
  <si>
    <t>Cyclopterus lumpus</t>
  </si>
  <si>
    <t>LUM</t>
  </si>
  <si>
    <t>Pecten maximus</t>
  </si>
  <si>
    <t>Great Atlantic scallop</t>
  </si>
  <si>
    <t>SCE</t>
  </si>
  <si>
    <t>Steenbolk /steenwijting</t>
  </si>
  <si>
    <t>Trisopterus luscus</t>
  </si>
  <si>
    <t>Pouting</t>
  </si>
  <si>
    <t>BIB</t>
  </si>
  <si>
    <t>Lepidorhombus whiffiagonis</t>
  </si>
  <si>
    <t>Megrim</t>
  </si>
  <si>
    <t>MEG</t>
  </si>
  <si>
    <t>Whiting</t>
  </si>
  <si>
    <t>Merlangius merlangus</t>
  </si>
  <si>
    <t>WGH</t>
  </si>
  <si>
    <t>Buccinum undatum</t>
  </si>
  <si>
    <t>Whelk</t>
  </si>
  <si>
    <t>WHE</t>
  </si>
  <si>
    <t>Dicentrarchus labrax</t>
  </si>
  <si>
    <t>Sea bass</t>
  </si>
  <si>
    <t>BSS</t>
  </si>
  <si>
    <t>Sepia officinalis</t>
  </si>
  <si>
    <t>Cuttlefish</t>
  </si>
  <si>
    <t>CTC</t>
  </si>
  <si>
    <t>Anarhichas lupus</t>
  </si>
  <si>
    <t>Wolffish</t>
  </si>
  <si>
    <t>CAA</t>
  </si>
  <si>
    <t>Zeus faber</t>
  </si>
  <si>
    <t>John dory</t>
  </si>
  <si>
    <t>JOD</t>
  </si>
  <si>
    <t>Homarus gammarus</t>
  </si>
  <si>
    <t>LBE</t>
  </si>
  <si>
    <t>Loligo vulgaris</t>
  </si>
  <si>
    <t>SQR</t>
  </si>
  <si>
    <t>anders</t>
  </si>
  <si>
    <t>other</t>
  </si>
  <si>
    <t>-</t>
  </si>
  <si>
    <t xml:space="preserve">CRE </t>
  </si>
  <si>
    <t>Ruwe/stekelrog</t>
  </si>
  <si>
    <t>Grauwe poon</t>
  </si>
  <si>
    <t>Solea solea</t>
  </si>
  <si>
    <t>Dover sole</t>
  </si>
  <si>
    <t>Pleuronectes platessa</t>
  </si>
  <si>
    <t>Plaice</t>
  </si>
  <si>
    <t>Gadus morhua</t>
  </si>
  <si>
    <t>Cod</t>
  </si>
  <si>
    <t>Psetta maxima / Scopthalmus maximus</t>
  </si>
  <si>
    <t>Turbot</t>
  </si>
  <si>
    <t>Brill</t>
  </si>
  <si>
    <t>ray</t>
  </si>
  <si>
    <t>Scopthalmus rhombus</t>
  </si>
  <si>
    <t>Om de sheet geheel leeg te maken om met een nieuwe week te beginnen, klik deze button.</t>
  </si>
  <si>
    <t>Zorg dat uw invoer van de vorige week eerst veilig in een apart bestand is opgeslagen.</t>
  </si>
  <si>
    <t>WAARSCHUWING: zorg dat u de gegevens van de vorige reis eerst ergens anders veilig heeft opgeslagen!</t>
  </si>
  <si>
    <t>Begin uw registratie van een nieuwe reis met een lege sheet; u maakt de sheet leeg in de "Sheet leegmaken".</t>
  </si>
  <si>
    <t>AANVULLINGEN MOETEN IN DE VERBORGEN TABEL, NIET IN DE ZICHTBARE.</t>
  </si>
  <si>
    <t>NEEM CONTACT OP VOOR AANVULLINGEN, ZIE SHEET INFO.</t>
  </si>
  <si>
    <t>DIT IS DE VRIJE-SOORTEN-TABEL; VERWIJST NAAR VERBORGEN TABEL.</t>
  </si>
  <si>
    <t xml:space="preserve">WAARSCHUWING: leegmaken kan niet </t>
  </si>
  <si>
    <t>ongedaan worden gemaakt!</t>
  </si>
  <si>
    <t>ETP soorten. Aantallen invullen i.p.v. gewichten</t>
  </si>
  <si>
    <t>Roggen (gevangen AANTALLEN)</t>
  </si>
  <si>
    <t>Haaien (gevangen AANTALLEN)</t>
  </si>
  <si>
    <t>Vissen (AANTALLEN)</t>
  </si>
  <si>
    <t>Zoogdieren (AANTALLEN)</t>
  </si>
  <si>
    <t>golfrog</t>
  </si>
  <si>
    <t>witte rog</t>
  </si>
  <si>
    <t>noorse rog</t>
  </si>
  <si>
    <t>vleet</t>
  </si>
  <si>
    <t>sterrog</t>
  </si>
  <si>
    <t>Doornhaai</t>
  </si>
  <si>
    <t>Ruwe haai</t>
  </si>
  <si>
    <t>Hondshaai</t>
  </si>
  <si>
    <t>Gevlekte gladde haai</t>
  </si>
  <si>
    <t>Reuzenhaai</t>
  </si>
  <si>
    <t>Haringhaai</t>
  </si>
  <si>
    <t>Zee-engel</t>
  </si>
  <si>
    <t>Voshaai</t>
  </si>
  <si>
    <t>Steur</t>
  </si>
  <si>
    <t>Elft</t>
  </si>
  <si>
    <t>Bruinvis</t>
  </si>
  <si>
    <t>Gewone zeehond</t>
  </si>
  <si>
    <t>Grijze zeehond</t>
  </si>
  <si>
    <t>stekelrog</t>
  </si>
  <si>
    <t>blonde rog</t>
  </si>
  <si>
    <t>gevlekte rog</t>
  </si>
  <si>
    <t>koekoeksrog/grootoogrog</t>
  </si>
  <si>
    <t>(facultatief) schatting box (kg)</t>
  </si>
  <si>
    <t>(facultatief) wachtsman</t>
  </si>
  <si>
    <t>kg</t>
  </si>
  <si>
    <t>€</t>
  </si>
  <si>
    <t>kg prijs:</t>
  </si>
  <si>
    <t>U kunt zelf de prijs per kg invullen in de groene vakken</t>
  </si>
  <si>
    <t>TONG</t>
  </si>
  <si>
    <t>SCHOL</t>
  </si>
  <si>
    <t>totaal kg</t>
  </si>
  <si>
    <t>Om te printen: kies zelf nog het juiste aantal pagina's in het afdrukscherm</t>
  </si>
  <si>
    <t>Wachtsman</t>
  </si>
  <si>
    <t>Naam wachtsman</t>
  </si>
  <si>
    <t>Invoer kan alleen zijn (kleine letters): n,nno,no,ono,o,ozo,zo,zzo,z,zzw,zw,wzw,w,wnw,nw,nnw of variabel. Het is ook mogelijk uit de drop-down lijst te kiezen.</t>
  </si>
  <si>
    <t>Schatting Box</t>
  </si>
  <si>
    <t>Opmerkingen</t>
  </si>
  <si>
    <r>
      <t xml:space="preserve">Optioneel: </t>
    </r>
    <r>
      <rPr>
        <sz val="11"/>
        <color rgb="FF000000"/>
        <rFont val="Calibri"/>
        <family val="2"/>
      </rPr>
      <t>als u deze sheet ook voor uw eigen administratie wilt gebruiken kunt u voor u zelf de weekbesomming invullen.</t>
    </r>
  </si>
  <si>
    <r>
      <t xml:space="preserve">Optioneel: </t>
    </r>
    <r>
      <rPr>
        <sz val="11"/>
        <color rgb="FF000000"/>
        <rFont val="Calibri"/>
        <family val="2"/>
      </rPr>
      <t>als u deze sheet ook voor uw eigen administratie wilt gebruiken kunt u voor u zelf de scholprijs invullen.</t>
    </r>
  </si>
  <si>
    <t>Vul uren en minuten in (00:00 t/m 23:59). Toets alleen cijfers in; symbolen worden automatisch toegevoegd. Bijvoorbeeld voor 10:12, toets: "1012".</t>
  </si>
  <si>
    <r>
      <t xml:space="preserve">totaal </t>
    </r>
    <r>
      <rPr>
        <b/>
        <sz val="11"/>
        <color theme="1"/>
        <rFont val="Calibri"/>
        <family val="2"/>
      </rPr>
      <t>€</t>
    </r>
  </si>
  <si>
    <t>CHECK AUB LOCA-</t>
  </si>
  <si>
    <t>TIE VAN BOLLEN</t>
  </si>
  <si>
    <t>EN LIJNEN</t>
  </si>
  <si>
    <t>OP TYPFOUTEN</t>
  </si>
  <si>
    <t>Maar zie ook de sheet:</t>
  </si>
  <si>
    <t>"Printpagina &amp; prijzen"</t>
  </si>
  <si>
    <t>Daar is meer detail in te vullen.</t>
  </si>
  <si>
    <t>Software</t>
  </si>
  <si>
    <t>Microsoft Excel</t>
  </si>
  <si>
    <t>Gebruik</t>
  </si>
  <si>
    <t>alle schepen</t>
  </si>
  <si>
    <t>wnw</t>
  </si>
  <si>
    <t>w</t>
  </si>
  <si>
    <t>zw</t>
  </si>
  <si>
    <t>zzo</t>
  </si>
  <si>
    <t>zo</t>
  </si>
  <si>
    <t>nw</t>
  </si>
  <si>
    <t>bot</t>
  </si>
  <si>
    <t>schar</t>
  </si>
  <si>
    <t>zzw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</si>
</sst>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0\°00\'"/>
    <numFmt numFmtId="166" formatCode="_-[$€-2]\ * #,##0.00_-;\-[$€-2]\ * #,##0.00_-;_-[$€-2]\ * &quot;-&quot;??_-;_-@_-"/>
    <numFmt numFmtId="167" formatCode="00&quot;:&quot;00"/>
    <numFmt numFmtId="168" formatCode="[$€-413]\ #,##0.00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Arial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 tint="-0.34998626667073579"/>
      <name val="Arial"/>
      <family val="2"/>
    </font>
    <font>
      <b/>
      <sz val="9"/>
      <color theme="0" tint="-0.34998626667073579"/>
      <name val="Arial"/>
      <family val="2"/>
    </font>
    <font>
      <sz val="11"/>
      <color theme="1"/>
      <name val="Calibri"/>
      <family val="2"/>
      <scheme val="minor"/>
    </font>
    <font>
      <sz val="10"/>
      <color theme="0" tint="-0.499984740745262"/>
      <name val="Arial"/>
      <family val="2"/>
    </font>
    <font>
      <b/>
      <sz val="9"/>
      <color theme="0" tint="-0.499984740745262"/>
      <name val="Arial"/>
      <family val="2"/>
    </font>
    <font>
      <b/>
      <sz val="11"/>
      <color rgb="FFFF0000"/>
      <name val="Calibri"/>
      <family val="2"/>
      <scheme val="minor"/>
    </font>
    <font>
      <sz val="14"/>
      <name val="Arial"/>
      <family val="2"/>
    </font>
    <font>
      <b/>
      <sz val="14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sz val="6"/>
      <color theme="0" tint="-0.34998626667073579"/>
      <name val="Calibri"/>
      <family val="2"/>
      <scheme val="minor"/>
    </font>
    <font>
      <sz val="6"/>
      <color theme="0" tint="-0.34998626667073579"/>
      <name val="Arial"/>
      <family val="2"/>
    </font>
    <font>
      <sz val="6"/>
      <color theme="0" tint="-0.34998626667073579"/>
      <name val="Calibri"/>
      <family val="2"/>
      <scheme val="minor"/>
    </font>
    <font>
      <sz val="10"/>
      <color theme="0"/>
      <name val="Arial"/>
      <family val="2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20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sz val="1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1"/>
      <color theme="1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0EB8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461B"/>
        <bgColor indexed="64"/>
      </patternFill>
    </fill>
    <fill>
      <patternFill patternType="solid">
        <fgColor rgb="FFA7FFA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7CAAC"/>
        <bgColor indexed="64"/>
      </patternFill>
    </fill>
    <fill>
      <patternFill patternType="solid">
        <fgColor rgb="FFFBE4D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DEEAF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E7CFD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/>
      <right/>
      <top style="medium">
        <color theme="3" tint="-0.24994659260841701"/>
      </top>
      <bottom style="thin">
        <color indexed="64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indexed="64"/>
      </bottom>
      <diagonal/>
    </border>
    <border>
      <left style="thin">
        <color indexed="64"/>
      </left>
      <right style="medium">
        <color theme="3" tint="-0.24994659260841701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medium">
        <color theme="3" tint="-0.24994659260841701"/>
      </right>
      <top style="thin">
        <color indexed="64"/>
      </top>
      <bottom style="thin">
        <color indexed="64"/>
      </bottom>
      <diagonal/>
    </border>
    <border>
      <left style="medium">
        <color rgb="FF00461B"/>
      </left>
      <right/>
      <top style="medium">
        <color rgb="FF00461B"/>
      </top>
      <bottom style="thin">
        <color indexed="64"/>
      </bottom>
      <diagonal/>
    </border>
    <border>
      <left/>
      <right/>
      <top style="medium">
        <color rgb="FF00461B"/>
      </top>
      <bottom style="thin">
        <color indexed="64"/>
      </bottom>
      <diagonal/>
    </border>
    <border>
      <left/>
      <right style="medium">
        <color rgb="FF00461B"/>
      </right>
      <top style="medium">
        <color rgb="FF00461B"/>
      </top>
      <bottom style="thin">
        <color indexed="64"/>
      </bottom>
      <diagonal/>
    </border>
    <border>
      <left style="medium">
        <color rgb="FF00461B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medium">
        <color rgb="FF00461B"/>
      </right>
      <top style="thin">
        <color indexed="64"/>
      </top>
      <bottom style="thin">
        <color theme="0" tint="-0.34998626667073579"/>
      </bottom>
      <diagonal/>
    </border>
    <border>
      <left style="medium">
        <color rgb="FF00461B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461B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3" tint="-0.24994659260841701"/>
      </left>
      <right/>
      <top style="thin">
        <color indexed="64"/>
      </top>
      <bottom style="thin">
        <color indexed="64"/>
      </bottom>
      <diagonal/>
    </border>
    <border>
      <left style="medium">
        <color theme="3" tint="-0.24994659260841701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9" fillId="0" borderId="0"/>
  </cellStyleXfs>
  <cellXfs count="260">
    <xf numFmtId="0" fontId="0" fillId="0" borderId="0" xfId="0"/>
    <xf numFmtId="0" fontId="1" fillId="0" borderId="0" xfId="0" applyFont="1"/>
    <xf numFmtId="0" fontId="2" fillId="0" borderId="0" xfId="0" applyFont="1" applyBorder="1"/>
    <xf numFmtId="0" fontId="3" fillId="0" borderId="0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5" borderId="0" xfId="0" applyFill="1"/>
    <xf numFmtId="0" fontId="0" fillId="3" borderId="0" xfId="0" applyFill="1"/>
    <xf numFmtId="164" fontId="8" fillId="2" borderId="7" xfId="0" applyNumberFormat="1" applyFont="1" applyFill="1" applyBorder="1" applyAlignment="1">
      <alignment horizontal="center" vertical="top" wrapText="1"/>
    </xf>
    <xf numFmtId="0" fontId="8" fillId="2" borderId="7" xfId="0" applyFont="1" applyFill="1" applyBorder="1" applyAlignment="1">
      <alignment horizontal="center" vertical="top" wrapText="1"/>
    </xf>
    <xf numFmtId="2" fontId="8" fillId="2" borderId="7" xfId="0" applyNumberFormat="1" applyFont="1" applyFill="1" applyBorder="1" applyAlignment="1">
      <alignment horizontal="center" vertical="top" wrapText="1"/>
    </xf>
    <xf numFmtId="1" fontId="3" fillId="0" borderId="0" xfId="0" applyNumberFormat="1" applyFont="1" applyBorder="1" applyAlignment="1">
      <alignment horizontal="center" vertical="top" wrapText="1"/>
    </xf>
    <xf numFmtId="0" fontId="9" fillId="0" borderId="0" xfId="2"/>
    <xf numFmtId="0" fontId="2" fillId="0" borderId="0" xfId="0" applyFont="1"/>
    <xf numFmtId="0" fontId="2" fillId="0" borderId="4" xfId="0" applyFont="1" applyBorder="1"/>
    <xf numFmtId="0" fontId="0" fillId="0" borderId="10" xfId="0" applyBorder="1"/>
    <xf numFmtId="0" fontId="0" fillId="0" borderId="11" xfId="0" applyBorder="1"/>
    <xf numFmtId="0" fontId="2" fillId="0" borderId="5" xfId="0" applyFont="1" applyBorder="1"/>
    <xf numFmtId="0" fontId="0" fillId="0" borderId="0" xfId="0" applyBorder="1"/>
    <xf numFmtId="0" fontId="0" fillId="0" borderId="12" xfId="0" applyBorder="1"/>
    <xf numFmtId="0" fontId="2" fillId="0" borderId="6" xfId="0" applyFont="1" applyBorder="1"/>
    <xf numFmtId="0" fontId="0" fillId="0" borderId="8" xfId="0" applyBorder="1"/>
    <xf numFmtId="0" fontId="0" fillId="0" borderId="13" xfId="0" applyBorder="1"/>
    <xf numFmtId="0" fontId="0" fillId="0" borderId="0" xfId="0" applyFill="1" applyBorder="1"/>
    <xf numFmtId="0" fontId="0" fillId="0" borderId="8" xfId="0" applyFill="1" applyBorder="1"/>
    <xf numFmtId="0" fontId="0" fillId="0" borderId="12" xfId="0" applyFill="1" applyBorder="1"/>
    <xf numFmtId="0" fontId="0" fillId="0" borderId="5" xfId="0" applyBorder="1"/>
    <xf numFmtId="0" fontId="0" fillId="0" borderId="6" xfId="0" applyBorder="1"/>
    <xf numFmtId="0" fontId="0" fillId="0" borderId="4" xfId="0" applyBorder="1"/>
    <xf numFmtId="0" fontId="0" fillId="0" borderId="13" xfId="0" applyFill="1" applyBorder="1"/>
    <xf numFmtId="1" fontId="11" fillId="0" borderId="0" xfId="0" applyNumberFormat="1" applyFont="1" applyBorder="1" applyAlignment="1">
      <alignment horizontal="center" vertical="top" wrapText="1"/>
    </xf>
    <xf numFmtId="0" fontId="2" fillId="0" borderId="0" xfId="0" applyFont="1" applyBorder="1" applyAlignment="1">
      <alignment vertical="center"/>
    </xf>
    <xf numFmtId="2" fontId="7" fillId="0" borderId="7" xfId="0" applyNumberFormat="1" applyFont="1" applyBorder="1" applyAlignment="1">
      <alignment horizontal="center" vertical="center"/>
    </xf>
    <xf numFmtId="0" fontId="7" fillId="0" borderId="7" xfId="0" applyNumberFormat="1" applyFont="1" applyBorder="1" applyAlignment="1" applyProtection="1">
      <alignment horizontal="center" vertical="center"/>
      <protection locked="0"/>
    </xf>
    <xf numFmtId="2" fontId="7" fillId="0" borderId="9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1" fontId="11" fillId="0" borderId="0" xfId="0" applyNumberFormat="1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7" fillId="0" borderId="0" xfId="0" applyNumberFormat="1" applyFont="1" applyBorder="1" applyAlignment="1" applyProtection="1">
      <alignment horizontal="center" vertical="center"/>
      <protection locked="0"/>
    </xf>
    <xf numFmtId="0" fontId="13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14" fillId="9" borderId="14" xfId="0" applyFont="1" applyFill="1" applyBorder="1" applyAlignment="1">
      <alignment horizontal="center" vertical="center"/>
    </xf>
    <xf numFmtId="0" fontId="1" fillId="11" borderId="0" xfId="0" applyFont="1" applyFill="1" applyAlignment="1">
      <alignment vertical="top" wrapText="1"/>
    </xf>
    <xf numFmtId="0" fontId="0" fillId="0" borderId="0" xfId="0" applyFill="1"/>
    <xf numFmtId="0" fontId="1" fillId="0" borderId="0" xfId="0" applyFont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30" xfId="0" applyFont="1" applyFill="1" applyBorder="1" applyAlignment="1">
      <alignment horizontal="center" vertical="center" wrapText="1"/>
    </xf>
    <xf numFmtId="0" fontId="16" fillId="2" borderId="30" xfId="0" applyFont="1" applyFill="1" applyBorder="1" applyAlignment="1">
      <alignment horizontal="center" vertical="center" wrapText="1"/>
    </xf>
    <xf numFmtId="0" fontId="16" fillId="2" borderId="19" xfId="0" applyFont="1" applyFill="1" applyBorder="1" applyAlignment="1">
      <alignment horizontal="center" vertical="center" wrapText="1"/>
    </xf>
    <xf numFmtId="0" fontId="16" fillId="2" borderId="31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5" xfId="0" applyFont="1" applyFill="1" applyBorder="1" applyAlignment="1">
      <alignment horizontal="center" vertical="center" wrapText="1"/>
    </xf>
    <xf numFmtId="0" fontId="17" fillId="2" borderId="3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2" fillId="0" borderId="0" xfId="0" applyFont="1" applyFill="1" applyBorder="1" applyAlignment="1">
      <alignment horizontal="center"/>
    </xf>
    <xf numFmtId="14" fontId="21" fillId="0" borderId="34" xfId="0" applyNumberFormat="1" applyFont="1" applyFill="1" applyBorder="1" applyAlignment="1" applyProtection="1">
      <alignment horizontal="center" vertical="center"/>
      <protection locked="0"/>
    </xf>
    <xf numFmtId="0" fontId="20" fillId="0" borderId="34" xfId="0" applyFont="1" applyFill="1" applyBorder="1" applyAlignment="1">
      <alignment horizontal="center" vertical="center" wrapText="1"/>
    </xf>
    <xf numFmtId="14" fontId="21" fillId="0" borderId="34" xfId="0" applyNumberFormat="1" applyFont="1" applyFill="1" applyBorder="1" applyAlignment="1" applyProtection="1">
      <alignment horizontal="center" vertical="center"/>
    </xf>
    <xf numFmtId="0" fontId="23" fillId="16" borderId="0" xfId="0" applyFont="1" applyFill="1" applyBorder="1" applyAlignment="1">
      <alignment horizontal="center" vertical="center"/>
    </xf>
    <xf numFmtId="0" fontId="24" fillId="2" borderId="0" xfId="0" applyFont="1" applyFill="1"/>
    <xf numFmtId="0" fontId="0" fillId="2" borderId="0" xfId="0" applyFill="1"/>
    <xf numFmtId="0" fontId="1" fillId="2" borderId="0" xfId="0" applyFont="1" applyFill="1"/>
    <xf numFmtId="164" fontId="0" fillId="2" borderId="0" xfId="0" applyNumberFormat="1" applyFill="1" applyAlignment="1">
      <alignment horizontal="left"/>
    </xf>
    <xf numFmtId="14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0" fontId="4" fillId="2" borderId="0" xfId="1" applyFill="1"/>
    <xf numFmtId="49" fontId="0" fillId="2" borderId="0" xfId="0" quotePrefix="1" applyNumberFormat="1" applyFill="1"/>
    <xf numFmtId="0" fontId="25" fillId="25" borderId="44" xfId="0" applyFont="1" applyFill="1" applyBorder="1" applyAlignment="1">
      <alignment horizontal="left" vertical="center"/>
    </xf>
    <xf numFmtId="166" fontId="1" fillId="25" borderId="45" xfId="0" applyNumberFormat="1" applyFont="1" applyFill="1" applyBorder="1" applyAlignment="1">
      <alignment horizontal="center" vertical="center" wrapText="1"/>
    </xf>
    <xf numFmtId="0" fontId="1" fillId="25" borderId="44" xfId="0" applyFont="1" applyFill="1" applyBorder="1" applyAlignment="1">
      <alignment horizontal="center" vertical="center" wrapText="1"/>
    </xf>
    <xf numFmtId="0" fontId="1" fillId="25" borderId="46" xfId="0" applyFont="1" applyFill="1" applyBorder="1" applyAlignment="1">
      <alignment horizontal="center" vertical="center" wrapText="1"/>
    </xf>
    <xf numFmtId="166" fontId="1" fillId="25" borderId="47" xfId="0" applyNumberFormat="1" applyFont="1" applyFill="1" applyBorder="1" applyAlignment="1">
      <alignment horizontal="center" vertical="center" wrapText="1"/>
    </xf>
    <xf numFmtId="0" fontId="26" fillId="0" borderId="0" xfId="0" applyFont="1" applyFill="1"/>
    <xf numFmtId="0" fontId="26" fillId="2" borderId="0" xfId="0" applyFont="1" applyFill="1"/>
    <xf numFmtId="0" fontId="16" fillId="26" borderId="0" xfId="0" applyFont="1" applyFill="1" applyAlignment="1">
      <alignment vertical="top" wrapText="1"/>
    </xf>
    <xf numFmtId="0" fontId="0" fillId="0" borderId="0" xfId="0" applyAlignment="1">
      <alignment horizontal="left"/>
    </xf>
    <xf numFmtId="0" fontId="27" fillId="2" borderId="12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7" borderId="0" xfId="0" applyFill="1"/>
    <xf numFmtId="0" fontId="15" fillId="27" borderId="0" xfId="0" applyFont="1" applyFill="1"/>
    <xf numFmtId="0" fontId="29" fillId="27" borderId="0" xfId="0" applyFont="1" applyFill="1"/>
    <xf numFmtId="0" fontId="16" fillId="2" borderId="0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48" xfId="0" applyFont="1" applyFill="1" applyBorder="1" applyAlignment="1">
      <alignment horizontal="center" vertical="center"/>
    </xf>
    <xf numFmtId="0" fontId="1" fillId="15" borderId="48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29" borderId="48" xfId="0" applyFont="1" applyFill="1" applyBorder="1" applyAlignment="1">
      <alignment horizontal="center" vertical="center"/>
    </xf>
    <xf numFmtId="0" fontId="1" fillId="29" borderId="1" xfId="0" applyFont="1" applyFill="1" applyBorder="1" applyAlignment="1">
      <alignment horizontal="center" vertical="center"/>
    </xf>
    <xf numFmtId="0" fontId="1" fillId="26" borderId="48" xfId="0" applyFont="1" applyFill="1" applyBorder="1" applyAlignment="1">
      <alignment horizontal="center" vertical="center"/>
    </xf>
    <xf numFmtId="0" fontId="1" fillId="26" borderId="1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 wrapText="1"/>
    </xf>
    <xf numFmtId="0" fontId="16" fillId="2" borderId="17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15" borderId="48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30" borderId="1" xfId="0" applyFill="1" applyBorder="1" applyAlignment="1">
      <alignment horizontal="center" vertical="center"/>
    </xf>
    <xf numFmtId="0" fontId="0" fillId="26" borderId="48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6" xfId="0" applyFill="1" applyBorder="1" applyAlignment="1">
      <alignment horizontal="center" vertical="center"/>
    </xf>
    <xf numFmtId="0" fontId="0" fillId="30" borderId="10" xfId="0" applyFill="1" applyBorder="1" applyAlignment="1">
      <alignment horizontal="center" vertical="center"/>
    </xf>
    <xf numFmtId="0" fontId="0" fillId="30" borderId="16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6" xfId="0" applyFill="1" applyBorder="1" applyAlignment="1">
      <alignment horizontal="center" vertical="center"/>
    </xf>
    <xf numFmtId="0" fontId="1" fillId="31" borderId="1" xfId="0" applyFont="1" applyFill="1" applyBorder="1" applyAlignment="1">
      <alignment vertical="center"/>
    </xf>
    <xf numFmtId="0" fontId="1" fillId="31" borderId="48" xfId="0" applyFont="1" applyFill="1" applyBorder="1" applyAlignment="1">
      <alignment vertical="center"/>
    </xf>
    <xf numFmtId="0" fontId="16" fillId="31" borderId="0" xfId="0" applyFont="1" applyFill="1" applyBorder="1" applyAlignment="1">
      <alignment horizontal="center" vertical="center" wrapText="1"/>
    </xf>
    <xf numFmtId="0" fontId="0" fillId="31" borderId="48" xfId="0" applyFill="1" applyBorder="1" applyAlignment="1">
      <alignment horizontal="center" vertical="center"/>
    </xf>
    <xf numFmtId="0" fontId="0" fillId="31" borderId="10" xfId="0" applyFill="1" applyBorder="1" applyAlignment="1">
      <alignment horizontal="center" vertical="center"/>
    </xf>
    <xf numFmtId="167" fontId="31" fillId="6" borderId="15" xfId="0" applyNumberFormat="1" applyFont="1" applyFill="1" applyBorder="1" applyAlignment="1" applyProtection="1">
      <alignment horizontal="center" vertical="center"/>
      <protection locked="0"/>
    </xf>
    <xf numFmtId="14" fontId="31" fillId="15" borderId="1" xfId="0" applyNumberFormat="1" applyFont="1" applyFill="1" applyBorder="1" applyAlignment="1" applyProtection="1">
      <alignment horizontal="center" vertical="center"/>
      <protection locked="0"/>
    </xf>
    <xf numFmtId="165" fontId="31" fillId="15" borderId="1" xfId="0" applyNumberFormat="1" applyFont="1" applyFill="1" applyBorder="1" applyAlignment="1" applyProtection="1">
      <alignment horizontal="center" vertical="center"/>
      <protection locked="0"/>
    </xf>
    <xf numFmtId="164" fontId="0" fillId="15" borderId="1" xfId="0" applyNumberFormat="1" applyFont="1" applyFill="1" applyBorder="1" applyAlignment="1">
      <alignment horizontal="center" vertical="center"/>
    </xf>
    <xf numFmtId="49" fontId="0" fillId="15" borderId="1" xfId="0" applyNumberFormat="1" applyFont="1" applyFill="1" applyBorder="1" applyAlignment="1">
      <alignment horizontal="center" vertical="center"/>
    </xf>
    <xf numFmtId="1" fontId="0" fillId="15" borderId="1" xfId="0" applyNumberFormat="1" applyFont="1" applyFill="1" applyBorder="1" applyAlignment="1">
      <alignment horizontal="center" vertical="center"/>
    </xf>
    <xf numFmtId="0" fontId="0" fillId="10" borderId="3" xfId="0" applyFont="1" applyFill="1" applyBorder="1" applyAlignment="1">
      <alignment horizontal="center" vertical="center"/>
    </xf>
    <xf numFmtId="0" fontId="0" fillId="14" borderId="32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14" borderId="33" xfId="0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0" fillId="7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32" fillId="0" borderId="1" xfId="0" applyFont="1" applyBorder="1" applyAlignment="1">
      <alignment horizontal="center" vertical="center"/>
    </xf>
    <xf numFmtId="0" fontId="32" fillId="0" borderId="0" xfId="0" applyFont="1" applyAlignment="1">
      <alignment horizontal="center"/>
    </xf>
    <xf numFmtId="14" fontId="0" fillId="0" borderId="0" xfId="0" applyNumberFormat="1"/>
    <xf numFmtId="167" fontId="0" fillId="0" borderId="0" xfId="0" applyNumberFormat="1"/>
    <xf numFmtId="165" fontId="0" fillId="0" borderId="0" xfId="0" applyNumberFormat="1"/>
    <xf numFmtId="168" fontId="0" fillId="0" borderId="0" xfId="0" applyNumberFormat="1"/>
    <xf numFmtId="1" fontId="0" fillId="0" borderId="0" xfId="0" applyNumberFormat="1"/>
    <xf numFmtId="0" fontId="0" fillId="0" borderId="0" xfId="0" applyNumberFormat="1"/>
    <xf numFmtId="0" fontId="0" fillId="0" borderId="1" xfId="0" applyBorder="1"/>
    <xf numFmtId="167" fontId="0" fillId="0" borderId="1" xfId="0" applyNumberFormat="1" applyBorder="1"/>
    <xf numFmtId="14" fontId="0" fillId="0" borderId="1" xfId="0" applyNumberFormat="1" applyBorder="1"/>
    <xf numFmtId="165" fontId="0" fillId="0" borderId="1" xfId="0" applyNumberFormat="1" applyBorder="1"/>
    <xf numFmtId="1" fontId="0" fillId="0" borderId="1" xfId="0" applyNumberFormat="1" applyBorder="1"/>
    <xf numFmtId="0" fontId="0" fillId="0" borderId="0" xfId="0" applyFont="1" applyBorder="1" applyAlignment="1">
      <alignment horizontal="left" vertical="center"/>
    </xf>
    <xf numFmtId="0" fontId="34" fillId="0" borderId="35" xfId="0" applyFont="1" applyBorder="1" applyAlignment="1">
      <alignment horizontal="center" vertical="center" wrapText="1"/>
    </xf>
    <xf numFmtId="0" fontId="34" fillId="0" borderId="36" xfId="0" applyFont="1" applyBorder="1" applyAlignment="1">
      <alignment horizontal="center" vertical="center" wrapText="1"/>
    </xf>
    <xf numFmtId="0" fontId="34" fillId="20" borderId="38" xfId="0" applyFont="1" applyFill="1" applyBorder="1" applyAlignment="1">
      <alignment horizontal="center" vertical="center" wrapText="1"/>
    </xf>
    <xf numFmtId="0" fontId="35" fillId="20" borderId="40" xfId="0" applyFont="1" applyFill="1" applyBorder="1" applyAlignment="1">
      <alignment horizontal="center" vertical="center" wrapText="1"/>
    </xf>
    <xf numFmtId="0" fontId="35" fillId="20" borderId="39" xfId="0" applyFont="1" applyFill="1" applyBorder="1" applyAlignment="1">
      <alignment vertical="center" wrapText="1"/>
    </xf>
    <xf numFmtId="0" fontId="34" fillId="18" borderId="35" xfId="0" applyFont="1" applyFill="1" applyBorder="1" applyAlignment="1">
      <alignment horizontal="center" vertical="center" wrapText="1"/>
    </xf>
    <xf numFmtId="0" fontId="35" fillId="18" borderId="36" xfId="0" applyFont="1" applyFill="1" applyBorder="1" applyAlignment="1">
      <alignment horizontal="center" vertical="center" wrapText="1"/>
    </xf>
    <xf numFmtId="0" fontId="35" fillId="18" borderId="39" xfId="0" applyFont="1" applyFill="1" applyBorder="1" applyAlignment="1">
      <alignment vertical="center" wrapText="1"/>
    </xf>
    <xf numFmtId="0" fontId="34" fillId="19" borderId="37" xfId="0" applyFont="1" applyFill="1" applyBorder="1" applyAlignment="1">
      <alignment horizontal="center" vertical="center" wrapText="1"/>
    </xf>
    <xf numFmtId="0" fontId="35" fillId="19" borderId="39" xfId="0" applyFont="1" applyFill="1" applyBorder="1" applyAlignment="1">
      <alignment horizontal="center" vertical="center" wrapText="1"/>
    </xf>
    <xf numFmtId="0" fontId="35" fillId="19" borderId="39" xfId="0" applyFont="1" applyFill="1" applyBorder="1" applyAlignment="1">
      <alignment vertical="center" wrapText="1"/>
    </xf>
    <xf numFmtId="0" fontId="34" fillId="18" borderId="37" xfId="0" applyFont="1" applyFill="1" applyBorder="1" applyAlignment="1">
      <alignment horizontal="center" vertical="center" wrapText="1"/>
    </xf>
    <xf numFmtId="0" fontId="35" fillId="18" borderId="39" xfId="0" applyFont="1" applyFill="1" applyBorder="1" applyAlignment="1">
      <alignment horizontal="center" vertical="center" wrapText="1"/>
    </xf>
    <xf numFmtId="0" fontId="35" fillId="21" borderId="40" xfId="0" applyFont="1" applyFill="1" applyBorder="1" applyAlignment="1">
      <alignment vertical="center" wrapText="1"/>
    </xf>
    <xf numFmtId="0" fontId="35" fillId="21" borderId="39" xfId="0" applyFont="1" applyFill="1" applyBorder="1" applyAlignment="1">
      <alignment vertical="center" wrapText="1"/>
    </xf>
    <xf numFmtId="0" fontId="34" fillId="22" borderId="37" xfId="0" applyFont="1" applyFill="1" applyBorder="1" applyAlignment="1">
      <alignment horizontal="center" vertical="center" wrapText="1"/>
    </xf>
    <xf numFmtId="0" fontId="35" fillId="22" borderId="40" xfId="0" applyFont="1" applyFill="1" applyBorder="1" applyAlignment="1">
      <alignment vertical="center" wrapText="1"/>
    </xf>
    <xf numFmtId="0" fontId="35" fillId="22" borderId="39" xfId="0" applyFont="1" applyFill="1" applyBorder="1" applyAlignment="1">
      <alignment vertical="center" wrapText="1"/>
    </xf>
    <xf numFmtId="0" fontId="34" fillId="23" borderId="37" xfId="0" applyFont="1" applyFill="1" applyBorder="1" applyAlignment="1">
      <alignment horizontal="center" vertical="center" wrapText="1"/>
    </xf>
    <xf numFmtId="0" fontId="35" fillId="23" borderId="40" xfId="0" applyFont="1" applyFill="1" applyBorder="1" applyAlignment="1">
      <alignment vertical="center" wrapText="1"/>
    </xf>
    <xf numFmtId="0" fontId="35" fillId="23" borderId="39" xfId="0" applyFont="1" applyFill="1" applyBorder="1" applyAlignment="1">
      <alignment vertical="center" wrapText="1"/>
    </xf>
    <xf numFmtId="0" fontId="34" fillId="20" borderId="37" xfId="0" applyFont="1" applyFill="1" applyBorder="1" applyAlignment="1">
      <alignment horizontal="center" vertical="center" wrapText="1"/>
    </xf>
    <xf numFmtId="0" fontId="34" fillId="24" borderId="37" xfId="0" applyFont="1" applyFill="1" applyBorder="1" applyAlignment="1">
      <alignment horizontal="center" vertical="center" wrapText="1"/>
    </xf>
    <xf numFmtId="0" fontId="35" fillId="24" borderId="39" xfId="0" applyFont="1" applyFill="1" applyBorder="1" applyAlignment="1">
      <alignment horizontal="center" vertical="center" wrapText="1"/>
    </xf>
    <xf numFmtId="0" fontId="36" fillId="24" borderId="39" xfId="0" applyFont="1" applyFill="1" applyBorder="1" applyAlignment="1">
      <alignment vertical="center" wrapText="1"/>
    </xf>
    <xf numFmtId="0" fontId="1" fillId="2" borderId="42" xfId="0" applyFont="1" applyFill="1" applyBorder="1" applyAlignment="1">
      <alignment horizontal="right" vertical="center" wrapText="1"/>
    </xf>
    <xf numFmtId="168" fontId="1" fillId="32" borderId="43" xfId="0" applyNumberFormat="1" applyFont="1" applyFill="1" applyBorder="1" applyAlignment="1">
      <alignment horizontal="left" vertical="center" wrapText="1"/>
    </xf>
    <xf numFmtId="0" fontId="1" fillId="2" borderId="44" xfId="0" applyFont="1" applyFill="1" applyBorder="1" applyAlignment="1">
      <alignment horizontal="right" vertical="center" wrapText="1"/>
    </xf>
    <xf numFmtId="0" fontId="25" fillId="2" borderId="45" xfId="0" applyFont="1" applyFill="1" applyBorder="1" applyAlignment="1">
      <alignment horizontal="center" vertical="center" wrapText="1"/>
    </xf>
    <xf numFmtId="0" fontId="1" fillId="2" borderId="46" xfId="0" applyFont="1" applyFill="1" applyBorder="1" applyAlignment="1">
      <alignment horizontal="right" vertical="center" wrapText="1"/>
    </xf>
    <xf numFmtId="168" fontId="25" fillId="2" borderId="47" xfId="0" applyNumberFormat="1" applyFont="1" applyFill="1" applyBorder="1" applyAlignment="1">
      <alignment horizontal="center" vertical="center" wrapText="1"/>
    </xf>
    <xf numFmtId="1" fontId="0" fillId="0" borderId="3" xfId="0" applyNumberFormat="1" applyBorder="1"/>
    <xf numFmtId="0" fontId="25" fillId="2" borderId="42" xfId="0" applyFont="1" applyFill="1" applyBorder="1" applyAlignment="1">
      <alignment horizontal="center" vertical="center" wrapText="1"/>
    </xf>
    <xf numFmtId="0" fontId="33" fillId="2" borderId="43" xfId="0" applyFont="1" applyFill="1" applyBorder="1" applyAlignment="1">
      <alignment horizontal="center" vertical="center" wrapText="1"/>
    </xf>
    <xf numFmtId="1" fontId="0" fillId="0" borderId="44" xfId="0" applyNumberFormat="1" applyBorder="1"/>
    <xf numFmtId="168" fontId="0" fillId="0" borderId="45" xfId="0" applyNumberFormat="1" applyBorder="1"/>
    <xf numFmtId="1" fontId="0" fillId="0" borderId="46" xfId="0" applyNumberFormat="1" applyBorder="1"/>
    <xf numFmtId="168" fontId="0" fillId="0" borderId="47" xfId="0" applyNumberFormat="1" applyBorder="1"/>
    <xf numFmtId="0" fontId="0" fillId="0" borderId="2" xfId="0" applyNumberFormat="1" applyBorder="1"/>
    <xf numFmtId="0" fontId="25" fillId="2" borderId="54" xfId="0" applyFont="1" applyFill="1" applyBorder="1" applyAlignment="1">
      <alignment horizontal="center" vertical="center" wrapText="1"/>
    </xf>
    <xf numFmtId="0" fontId="33" fillId="2" borderId="55" xfId="0" applyFont="1" applyFill="1" applyBorder="1" applyAlignment="1">
      <alignment horizontal="center" vertical="center" wrapText="1"/>
    </xf>
    <xf numFmtId="0" fontId="23" fillId="8" borderId="0" xfId="0" applyFont="1" applyFill="1" applyBorder="1" applyAlignment="1">
      <alignment vertical="center"/>
    </xf>
    <xf numFmtId="0" fontId="23" fillId="8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34" fillId="21" borderId="41" xfId="0" applyFont="1" applyFill="1" applyBorder="1" applyAlignment="1">
      <alignment horizontal="center" vertical="center" wrapText="1"/>
    </xf>
    <xf numFmtId="0" fontId="34" fillId="21" borderId="51" xfId="0" applyFont="1" applyFill="1" applyBorder="1" applyAlignment="1">
      <alignment horizontal="center" vertical="center" wrapText="1"/>
    </xf>
    <xf numFmtId="0" fontId="35" fillId="21" borderId="41" xfId="0" applyFont="1" applyFill="1" applyBorder="1" applyAlignment="1">
      <alignment horizontal="center" vertical="center" wrapText="1"/>
    </xf>
    <xf numFmtId="0" fontId="35" fillId="21" borderId="51" xfId="0" applyFont="1" applyFill="1" applyBorder="1" applyAlignment="1">
      <alignment horizontal="center" vertical="center" wrapText="1"/>
    </xf>
    <xf numFmtId="0" fontId="35" fillId="22" borderId="52" xfId="0" applyFont="1" applyFill="1" applyBorder="1" applyAlignment="1">
      <alignment horizontal="center" vertical="center" wrapText="1"/>
    </xf>
    <xf numFmtId="0" fontId="35" fillId="22" borderId="38" xfId="0" applyFont="1" applyFill="1" applyBorder="1" applyAlignment="1">
      <alignment horizontal="center" vertical="center" wrapText="1"/>
    </xf>
    <xf numFmtId="0" fontId="35" fillId="22" borderId="51" xfId="0" applyFont="1" applyFill="1" applyBorder="1" applyAlignment="1">
      <alignment horizontal="center" vertical="center" wrapText="1"/>
    </xf>
    <xf numFmtId="0" fontId="35" fillId="23" borderId="52" xfId="0" applyFont="1" applyFill="1" applyBorder="1" applyAlignment="1">
      <alignment horizontal="center" vertical="center" wrapText="1"/>
    </xf>
    <xf numFmtId="0" fontId="35" fillId="23" borderId="38" xfId="0" applyFont="1" applyFill="1" applyBorder="1" applyAlignment="1">
      <alignment horizontal="center" vertical="center" wrapText="1"/>
    </xf>
    <xf numFmtId="0" fontId="35" fillId="23" borderId="51" xfId="0" applyFont="1" applyFill="1" applyBorder="1" applyAlignment="1">
      <alignment horizontal="center" vertical="center" wrapText="1"/>
    </xf>
    <xf numFmtId="0" fontId="1" fillId="25" borderId="59" xfId="0" applyFont="1" applyFill="1" applyBorder="1" applyAlignment="1">
      <alignment horizontal="center" vertical="center"/>
    </xf>
    <xf numFmtId="0" fontId="1" fillId="25" borderId="60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left" vertical="center"/>
    </xf>
    <xf numFmtId="0" fontId="1" fillId="2" borderId="20" xfId="0" applyFont="1" applyFill="1" applyBorder="1" applyAlignment="1">
      <alignment horizontal="left" vertical="center"/>
    </xf>
    <xf numFmtId="0" fontId="15" fillId="12" borderId="23" xfId="0" applyFont="1" applyFill="1" applyBorder="1" applyAlignment="1">
      <alignment horizontal="center" vertical="center" wrapText="1"/>
    </xf>
    <xf numFmtId="0" fontId="15" fillId="12" borderId="24" xfId="0" applyFont="1" applyFill="1" applyBorder="1" applyAlignment="1">
      <alignment horizontal="center" vertical="center" wrapText="1"/>
    </xf>
    <xf numFmtId="0" fontId="15" fillId="13" borderId="27" xfId="0" applyFont="1" applyFill="1" applyBorder="1" applyAlignment="1">
      <alignment horizontal="center" vertical="center" wrapText="1"/>
    </xf>
    <xf numFmtId="0" fontId="15" fillId="13" borderId="28" xfId="0" applyFont="1" applyFill="1" applyBorder="1" applyAlignment="1">
      <alignment horizontal="center" vertical="center" wrapText="1"/>
    </xf>
    <xf numFmtId="0" fontId="15" fillId="13" borderId="29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/>
    </xf>
    <xf numFmtId="0" fontId="1" fillId="15" borderId="48" xfId="0" applyFont="1" applyFill="1" applyBorder="1" applyAlignment="1">
      <alignment horizontal="center"/>
    </xf>
    <xf numFmtId="0" fontId="1" fillId="15" borderId="2" xfId="0" applyFont="1" applyFill="1" applyBorder="1" applyAlignment="1">
      <alignment horizontal="center"/>
    </xf>
    <xf numFmtId="0" fontId="1" fillId="29" borderId="3" xfId="0" applyFont="1" applyFill="1" applyBorder="1" applyAlignment="1">
      <alignment horizontal="center"/>
    </xf>
    <xf numFmtId="0" fontId="1" fillId="29" borderId="2" xfId="0" applyFont="1" applyFill="1" applyBorder="1" applyAlignment="1">
      <alignment horizontal="center"/>
    </xf>
    <xf numFmtId="0" fontId="1" fillId="26" borderId="3" xfId="0" applyFont="1" applyFill="1" applyBorder="1" applyAlignment="1">
      <alignment horizontal="center"/>
    </xf>
    <xf numFmtId="0" fontId="1" fillId="26" borderId="48" xfId="0" applyFont="1" applyFill="1" applyBorder="1" applyAlignment="1">
      <alignment horizontal="center"/>
    </xf>
    <xf numFmtId="0" fontId="1" fillId="26" borderId="2" xfId="0" applyFont="1" applyFill="1" applyBorder="1" applyAlignment="1">
      <alignment horizontal="center"/>
    </xf>
    <xf numFmtId="0" fontId="1" fillId="4" borderId="49" xfId="0" applyFont="1" applyFill="1" applyBorder="1" applyAlignment="1">
      <alignment horizontal="center" vertical="center"/>
    </xf>
    <xf numFmtId="0" fontId="1" fillId="4" borderId="48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25" fillId="28" borderId="50" xfId="0" applyFont="1" applyFill="1" applyBorder="1" applyAlignment="1">
      <alignment horizontal="left" vertical="center"/>
    </xf>
    <xf numFmtId="0" fontId="25" fillId="28" borderId="8" xfId="0" applyFont="1" applyFill="1" applyBorder="1" applyAlignment="1">
      <alignment horizontal="left" vertical="center"/>
    </xf>
    <xf numFmtId="0" fontId="25" fillId="28" borderId="13" xfId="0" applyFont="1" applyFill="1" applyBorder="1" applyAlignment="1">
      <alignment horizontal="left" vertical="center"/>
    </xf>
    <xf numFmtId="0" fontId="1" fillId="2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33" borderId="16" xfId="0" applyFont="1" applyFill="1" applyBorder="1" applyAlignment="1">
      <alignment horizontal="center" vertical="center" wrapText="1"/>
    </xf>
    <xf numFmtId="0" fontId="1" fillId="33" borderId="17" xfId="0" applyFont="1" applyFill="1" applyBorder="1" applyAlignment="1">
      <alignment horizontal="center" vertical="center" wrapText="1"/>
    </xf>
    <xf numFmtId="0" fontId="1" fillId="33" borderId="18" xfId="0" applyFont="1" applyFill="1" applyBorder="1" applyAlignment="1">
      <alignment horizontal="center" vertical="center" wrapText="1"/>
    </xf>
    <xf numFmtId="0" fontId="1" fillId="33" borderId="1" xfId="0" applyFont="1" applyFill="1" applyBorder="1" applyAlignment="1">
      <alignment horizontal="center" vertical="center" wrapText="1"/>
    </xf>
    <xf numFmtId="0" fontId="1" fillId="33" borderId="3" xfId="0" applyFont="1" applyFill="1" applyBorder="1" applyAlignment="1">
      <alignment horizontal="center" vertical="center" wrapText="1"/>
    </xf>
    <xf numFmtId="0" fontId="1" fillId="33" borderId="2" xfId="0" applyFont="1" applyFill="1" applyBorder="1" applyAlignment="1">
      <alignment horizontal="center" vertical="center" wrapText="1"/>
    </xf>
    <xf numFmtId="0" fontId="30" fillId="2" borderId="16" xfId="0" applyFont="1" applyFill="1" applyBorder="1" applyAlignment="1">
      <alignment horizontal="center" vertical="center" wrapText="1"/>
    </xf>
    <xf numFmtId="0" fontId="30" fillId="2" borderId="17" xfId="0" applyFont="1" applyFill="1" applyBorder="1" applyAlignment="1">
      <alignment horizontal="center" vertical="center" wrapText="1"/>
    </xf>
    <xf numFmtId="0" fontId="30" fillId="2" borderId="18" xfId="0" applyFont="1" applyFill="1" applyBorder="1" applyAlignment="1">
      <alignment horizontal="center" vertical="center" wrapText="1"/>
    </xf>
    <xf numFmtId="0" fontId="1" fillId="17" borderId="16" xfId="0" applyFont="1" applyFill="1" applyBorder="1" applyAlignment="1">
      <alignment horizontal="center" vertical="center" wrapText="1"/>
    </xf>
    <xf numFmtId="0" fontId="1" fillId="17" borderId="5" xfId="0" applyFont="1" applyFill="1" applyBorder="1" applyAlignment="1">
      <alignment horizontal="center" vertical="center" wrapText="1"/>
    </xf>
    <xf numFmtId="0" fontId="1" fillId="17" borderId="6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5" fillId="2" borderId="53" xfId="0" applyFont="1" applyFill="1" applyBorder="1" applyAlignment="1">
      <alignment horizontal="center" vertical="center" wrapText="1"/>
    </xf>
    <xf numFmtId="0" fontId="25" fillId="2" borderId="36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5" fillId="2" borderId="56" xfId="0" applyFont="1" applyFill="1" applyBorder="1" applyAlignment="1">
      <alignment horizontal="center" vertical="center" wrapText="1"/>
    </xf>
    <xf numFmtId="0" fontId="25" fillId="2" borderId="57" xfId="0" applyFont="1" applyFill="1" applyBorder="1" applyAlignment="1">
      <alignment horizontal="center" vertical="center" wrapText="1"/>
    </xf>
    <xf numFmtId="0" fontId="25" fillId="2" borderId="58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30" fillId="2" borderId="1" xfId="0" applyFont="1" applyFill="1" applyBorder="1" applyAlignment="1">
      <alignment horizontal="center" vertical="center" wrapText="1"/>
    </xf>
  </cellXfs>
  <cellStyles count="3">
    <cellStyle name="Hyperlink" xfId="1" builtinId="8"/>
    <cellStyle name="Normal 3" xfId="2"/>
    <cellStyle name="Standaard" xfId="0" builtinId="0"/>
  </cellStyles>
  <dxfs count="23">
    <dxf>
      <font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6600"/>
        </patternFill>
      </fill>
    </dxf>
    <dxf>
      <fill>
        <patternFill>
          <bgColor rgb="FFF47710"/>
        </patternFill>
      </fill>
    </dxf>
    <dxf>
      <fill>
        <patternFill>
          <bgColor rgb="FFFF33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47710"/>
      <color rgb="FFFF6600"/>
      <color rgb="FF66FFFF"/>
      <color rgb="FFFF33CC"/>
      <color rgb="FF5BD4FF"/>
      <color rgb="FFA7FFA7"/>
      <color rgb="FFF0EB82"/>
      <color rgb="FF0046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984941520467833E-2"/>
          <c:y val="8.8074494949494948E-3"/>
          <c:w val="0.88624605263157896"/>
          <c:h val="0.94223813131313128"/>
        </c:manualLayout>
      </c:layout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Kaart!$N$2:$N$80</c:f>
              <c:numCache>
                <c:formatCode>0.00</c:formatCode>
                <c:ptCount val="79"/>
                <c:pt idx="0">
                  <c:v>3.5333333333333332</c:v>
                </c:pt>
                <c:pt idx="1">
                  <c:v>3.2333333333333334</c:v>
                </c:pt>
                <c:pt idx="2">
                  <c:v>3.05</c:v>
                </c:pt>
                <c:pt idx="3">
                  <c:v>2.8666666666666667</c:v>
                </c:pt>
                <c:pt idx="4">
                  <c:v>2.7666666666666666</c:v>
                </c:pt>
                <c:pt idx="5">
                  <c:v>2.6666666666666665</c:v>
                </c:pt>
                <c:pt idx="6">
                  <c:v>2.6</c:v>
                </c:pt>
                <c:pt idx="7">
                  <c:v>2.5333333333333332</c:v>
                </c:pt>
                <c:pt idx="8">
                  <c:v>2.5499999999999998</c:v>
                </c:pt>
                <c:pt idx="9">
                  <c:v>2.5166666666666666</c:v>
                </c:pt>
                <c:pt idx="10">
                  <c:v>2.4500000000000002</c:v>
                </c:pt>
                <c:pt idx="11">
                  <c:v>2.4666666666666668</c:v>
                </c:pt>
                <c:pt idx="12">
                  <c:v>2.4666666666666668</c:v>
                </c:pt>
                <c:pt idx="13">
                  <c:v>2.4666666666666668</c:v>
                </c:pt>
                <c:pt idx="14">
                  <c:v>2.4333333333333336</c:v>
                </c:pt>
                <c:pt idx="15">
                  <c:v>2.4666666666666668</c:v>
                </c:pt>
                <c:pt idx="16">
                  <c:v>2.4500000000000002</c:v>
                </c:pt>
                <c:pt idx="17">
                  <c:v>2.4166666666666665</c:v>
                </c:pt>
                <c:pt idx="18">
                  <c:v>2.4333333333333336</c:v>
                </c:pt>
                <c:pt idx="19">
                  <c:v>2.4666666666666668</c:v>
                </c:pt>
                <c:pt idx="20">
                  <c:v>2.4333333333333336</c:v>
                </c:pt>
                <c:pt idx="21">
                  <c:v>2.4166666666666665</c:v>
                </c:pt>
                <c:pt idx="22">
                  <c:v>2.4666666666666668</c:v>
                </c:pt>
                <c:pt idx="23">
                  <c:v>2.4333333333333336</c:v>
                </c:pt>
                <c:pt idx="24">
                  <c:v>2.3833333333333333</c:v>
                </c:pt>
                <c:pt idx="25">
                  <c:v>2.4166666666666665</c:v>
                </c:pt>
                <c:pt idx="26">
                  <c:v>2.3333333333333335</c:v>
                </c:pt>
                <c:pt idx="27">
                  <c:v>2.4</c:v>
                </c:pt>
                <c:pt idx="28">
                  <c:v>2.3833333333333333</c:v>
                </c:pt>
                <c:pt idx="29">
                  <c:v>2.4500000000000002</c:v>
                </c:pt>
                <c:pt idx="30">
                  <c:v>2.4500000000000002</c:v>
                </c:pt>
                <c:pt idx="31">
                  <c:v>2.4333333333333336</c:v>
                </c:pt>
                <c:pt idx="32">
                  <c:v>2.4333333333333336</c:v>
                </c:pt>
                <c:pt idx="33">
                  <c:v>2.4333333333333336</c:v>
                </c:pt>
                <c:pt idx="34">
                  <c:v>2.4333333333333336</c:v>
                </c:pt>
                <c:pt idx="35">
                  <c:v>2.4500000000000002</c:v>
                </c:pt>
                <c:pt idx="36">
                  <c:v>2.4666666666666668</c:v>
                </c:pt>
                <c:pt idx="37">
                  <c:v>2.4333333333333336</c:v>
                </c:pt>
                <c:pt idx="38">
                  <c:v>2.4666666666666668</c:v>
                </c:pt>
                <c:pt idx="39">
                  <c:v>2.3833333333333333</c:v>
                </c:pt>
                <c:pt idx="40">
                  <c:v>2.4166666666666665</c:v>
                </c:pt>
                <c:pt idx="41">
                  <c:v>2.4</c:v>
                </c:pt>
                <c:pt idx="42">
                  <c:v>2.4</c:v>
                </c:pt>
                <c:pt idx="43">
                  <c:v>2.3666666666666667</c:v>
                </c:pt>
                <c:pt idx="44">
                  <c:v>2.4166666666666665</c:v>
                </c:pt>
                <c:pt idx="45">
                  <c:v>2.4833333333333334</c:v>
                </c:pt>
                <c:pt idx="46">
                  <c:v>2.4666666666666668</c:v>
                </c:pt>
                <c:pt idx="47">
                  <c:v>2.4833333333333334</c:v>
                </c:pt>
                <c:pt idx="48">
                  <c:v>2.4333333333333336</c:v>
                </c:pt>
                <c:pt idx="49">
                  <c:v>2.3666666666666667</c:v>
                </c:pt>
                <c:pt idx="50">
                  <c:v>2.5</c:v>
                </c:pt>
                <c:pt idx="51">
                  <c:v>2.5</c:v>
                </c:pt>
                <c:pt idx="52">
                  <c:v>2.5</c:v>
                </c:pt>
                <c:pt idx="53">
                  <c:v>2.5</c:v>
                </c:pt>
                <c:pt idx="54">
                  <c:v>2.6666666666666665</c:v>
                </c:pt>
                <c:pt idx="55">
                  <c:v>2.7833333333333332</c:v>
                </c:pt>
                <c:pt idx="56">
                  <c:v>2.9666666666666668</c:v>
                </c:pt>
                <c:pt idx="57">
                  <c:v>3.0833333333333335</c:v>
                </c:pt>
                <c:pt idx="58">
                  <c:v>3</c:v>
                </c:pt>
                <c:pt idx="59">
                  <c:v>2.9333333333333336</c:v>
                </c:pt>
                <c:pt idx="60">
                  <c:v>2.9333333333333336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</c:numCache>
            </c:numRef>
          </c:xVal>
          <c:yVal>
            <c:numRef>
              <c:f>Kaart!$O$2:$O$80</c:f>
              <c:numCache>
                <c:formatCode>0.00</c:formatCode>
                <c:ptCount val="79"/>
                <c:pt idx="0">
                  <c:v>51.68333333333333</c:v>
                </c:pt>
                <c:pt idx="1">
                  <c:v>51.616666666666667</c:v>
                </c:pt>
                <c:pt idx="2">
                  <c:v>51.5</c:v>
                </c:pt>
                <c:pt idx="3">
                  <c:v>51.4</c:v>
                </c:pt>
                <c:pt idx="4">
                  <c:v>51.4</c:v>
                </c:pt>
                <c:pt idx="5">
                  <c:v>51.35</c:v>
                </c:pt>
                <c:pt idx="6">
                  <c:v>51.266666666666666</c:v>
                </c:pt>
                <c:pt idx="7">
                  <c:v>51.216666666666669</c:v>
                </c:pt>
                <c:pt idx="8">
                  <c:v>51.233333333333334</c:v>
                </c:pt>
                <c:pt idx="9">
                  <c:v>51.216666666666669</c:v>
                </c:pt>
                <c:pt idx="10">
                  <c:v>51.283333333333331</c:v>
                </c:pt>
                <c:pt idx="11">
                  <c:v>51.31666666666667</c:v>
                </c:pt>
                <c:pt idx="12">
                  <c:v>51.283333333333331</c:v>
                </c:pt>
                <c:pt idx="13">
                  <c:v>51.3</c:v>
                </c:pt>
                <c:pt idx="14">
                  <c:v>51.31666666666667</c:v>
                </c:pt>
                <c:pt idx="15">
                  <c:v>51.333333333333336</c:v>
                </c:pt>
                <c:pt idx="16">
                  <c:v>51.31666666666667</c:v>
                </c:pt>
                <c:pt idx="17">
                  <c:v>51.3</c:v>
                </c:pt>
                <c:pt idx="18">
                  <c:v>51.3</c:v>
                </c:pt>
                <c:pt idx="19">
                  <c:v>51.333333333333336</c:v>
                </c:pt>
                <c:pt idx="20">
                  <c:v>51.31666666666667</c:v>
                </c:pt>
                <c:pt idx="21">
                  <c:v>51.3</c:v>
                </c:pt>
                <c:pt idx="22">
                  <c:v>51.333333333333336</c:v>
                </c:pt>
                <c:pt idx="23">
                  <c:v>51.3</c:v>
                </c:pt>
                <c:pt idx="24">
                  <c:v>51.31666666666667</c:v>
                </c:pt>
                <c:pt idx="25">
                  <c:v>51.31666666666667</c:v>
                </c:pt>
                <c:pt idx="26">
                  <c:v>51.283333333333331</c:v>
                </c:pt>
                <c:pt idx="27">
                  <c:v>51.31666666666667</c:v>
                </c:pt>
                <c:pt idx="28">
                  <c:v>51.31666666666667</c:v>
                </c:pt>
                <c:pt idx="29">
                  <c:v>51.31666666666667</c:v>
                </c:pt>
                <c:pt idx="30">
                  <c:v>51.31666666666667</c:v>
                </c:pt>
                <c:pt idx="31">
                  <c:v>51.3</c:v>
                </c:pt>
                <c:pt idx="32">
                  <c:v>51.3</c:v>
                </c:pt>
                <c:pt idx="33">
                  <c:v>51.3</c:v>
                </c:pt>
                <c:pt idx="34">
                  <c:v>51.3</c:v>
                </c:pt>
                <c:pt idx="35">
                  <c:v>51.31666666666667</c:v>
                </c:pt>
                <c:pt idx="36">
                  <c:v>51.333333333333336</c:v>
                </c:pt>
                <c:pt idx="37">
                  <c:v>51.283333333333331</c:v>
                </c:pt>
                <c:pt idx="38">
                  <c:v>51.31666666666667</c:v>
                </c:pt>
                <c:pt idx="39">
                  <c:v>51.25</c:v>
                </c:pt>
                <c:pt idx="40">
                  <c:v>51.266666666666666</c:v>
                </c:pt>
                <c:pt idx="41">
                  <c:v>51.266666666666666</c:v>
                </c:pt>
                <c:pt idx="42">
                  <c:v>51.283333333333331</c:v>
                </c:pt>
                <c:pt idx="43">
                  <c:v>51.233333333333334</c:v>
                </c:pt>
                <c:pt idx="44">
                  <c:v>51.283333333333331</c:v>
                </c:pt>
                <c:pt idx="45">
                  <c:v>51.31666666666667</c:v>
                </c:pt>
                <c:pt idx="46">
                  <c:v>51.3</c:v>
                </c:pt>
                <c:pt idx="47">
                  <c:v>51.31666666666667</c:v>
                </c:pt>
                <c:pt idx="48">
                  <c:v>51.283333333333331</c:v>
                </c:pt>
                <c:pt idx="49">
                  <c:v>51.31666666666667</c:v>
                </c:pt>
                <c:pt idx="50">
                  <c:v>51.3</c:v>
                </c:pt>
                <c:pt idx="51">
                  <c:v>51.283333333333331</c:v>
                </c:pt>
                <c:pt idx="52">
                  <c:v>51.283333333333331</c:v>
                </c:pt>
                <c:pt idx="53">
                  <c:v>51.283333333333331</c:v>
                </c:pt>
                <c:pt idx="54">
                  <c:v>51.333333333333336</c:v>
                </c:pt>
                <c:pt idx="55">
                  <c:v>51.4</c:v>
                </c:pt>
                <c:pt idx="56">
                  <c:v>51.466666666666669</c:v>
                </c:pt>
                <c:pt idx="57">
                  <c:v>51.516666666666666</c:v>
                </c:pt>
                <c:pt idx="58">
                  <c:v>51.483333333333334</c:v>
                </c:pt>
                <c:pt idx="59">
                  <c:v>51.45</c:v>
                </c:pt>
                <c:pt idx="60">
                  <c:v>51.466666666666669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4-48F8-AAB9-5763DB16373D}"/>
            </c:ext>
          </c:extLst>
        </c:ser>
        <c:ser>
          <c:idx val="1"/>
          <c:order val="1"/>
          <c:spPr>
            <a:ln w="6350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Rect!$F$2:$F$5762</c:f>
              <c:numCache>
                <c:formatCode>General</c:formatCode>
                <c:ptCount val="5761"/>
                <c:pt idx="0">
                  <c:v>-1.9986109999999999</c:v>
                </c:pt>
                <c:pt idx="1">
                  <c:v>-2.0452780000000002</c:v>
                </c:pt>
                <c:pt idx="2">
                  <c:v>-2.11</c:v>
                </c:pt>
                <c:pt idx="3">
                  <c:v>-2.1958329999999999</c:v>
                </c:pt>
                <c:pt idx="4">
                  <c:v>-2.2225000000000001</c:v>
                </c:pt>
                <c:pt idx="5">
                  <c:v>-2.1594440000000001</c:v>
                </c:pt>
                <c:pt idx="6">
                  <c:v>-2.170833</c:v>
                </c:pt>
                <c:pt idx="7">
                  <c:v>-2.1477780000000002</c:v>
                </c:pt>
                <c:pt idx="8">
                  <c:v>-2.0636109999999999</c:v>
                </c:pt>
                <c:pt idx="9">
                  <c:v>-2.0027780000000002</c:v>
                </c:pt>
                <c:pt idx="10">
                  <c:v>-1.936944</c:v>
                </c:pt>
                <c:pt idx="11">
                  <c:v>-1.915556</c:v>
                </c:pt>
                <c:pt idx="12">
                  <c:v>-1.868611</c:v>
                </c:pt>
                <c:pt idx="13">
                  <c:v>-1.806389</c:v>
                </c:pt>
                <c:pt idx="14">
                  <c:v>-1.733889</c:v>
                </c:pt>
                <c:pt idx="15">
                  <c:v>-1.8094440000000001</c:v>
                </c:pt>
                <c:pt idx="16">
                  <c:v>-1.855</c:v>
                </c:pt>
                <c:pt idx="17">
                  <c:v>-1.9175</c:v>
                </c:pt>
                <c:pt idx="18">
                  <c:v>-1.9824999999999999</c:v>
                </c:pt>
                <c:pt idx="19">
                  <c:v>-2.0577779999999999</c:v>
                </c:pt>
                <c:pt idx="20">
                  <c:v>-2.1441669999999999</c:v>
                </c:pt>
                <c:pt idx="21">
                  <c:v>-2.1902780000000002</c:v>
                </c:pt>
                <c:pt idx="22">
                  <c:v>-2.2544439999999999</c:v>
                </c:pt>
                <c:pt idx="23">
                  <c:v>-2.3177780000000001</c:v>
                </c:pt>
                <c:pt idx="24">
                  <c:v>-2.3758330000000001</c:v>
                </c:pt>
                <c:pt idx="25">
                  <c:v>-2.433611</c:v>
                </c:pt>
                <c:pt idx="26">
                  <c:v>-2.4980560000000001</c:v>
                </c:pt>
                <c:pt idx="27">
                  <c:v>-2.5211109999999999</c:v>
                </c:pt>
                <c:pt idx="28">
                  <c:v>-2.4513889999999998</c:v>
                </c:pt>
                <c:pt idx="29">
                  <c:v>-2.4591669999999999</c:v>
                </c:pt>
                <c:pt idx="30">
                  <c:v>-2.4944440000000001</c:v>
                </c:pt>
                <c:pt idx="31">
                  <c:v>-2.5169440000000001</c:v>
                </c:pt>
                <c:pt idx="32">
                  <c:v>-2.5227780000000002</c:v>
                </c:pt>
                <c:pt idx="33">
                  <c:v>-2.4666670000000002</c:v>
                </c:pt>
                <c:pt idx="34">
                  <c:v>-2.4280560000000002</c:v>
                </c:pt>
                <c:pt idx="35">
                  <c:v>-2.4063889999999999</c:v>
                </c:pt>
                <c:pt idx="36">
                  <c:v>-2.4455559999999998</c:v>
                </c:pt>
                <c:pt idx="37">
                  <c:v>-2.4827780000000002</c:v>
                </c:pt>
                <c:pt idx="38">
                  <c:v>-2.4494440000000002</c:v>
                </c:pt>
                <c:pt idx="39">
                  <c:v>-2.3747220000000002</c:v>
                </c:pt>
                <c:pt idx="40">
                  <c:v>-2.4172220000000002</c:v>
                </c:pt>
                <c:pt idx="41">
                  <c:v>-2.4938889999999998</c:v>
                </c:pt>
                <c:pt idx="42">
                  <c:v>-2.5655559999999999</c:v>
                </c:pt>
                <c:pt idx="43">
                  <c:v>-2.6197219999999999</c:v>
                </c:pt>
                <c:pt idx="44">
                  <c:v>-2.5775000000000001</c:v>
                </c:pt>
                <c:pt idx="45">
                  <c:v>-2.625</c:v>
                </c:pt>
                <c:pt idx="46">
                  <c:v>-2.6633330000000002</c:v>
                </c:pt>
                <c:pt idx="47">
                  <c:v>-2.7208329999999998</c:v>
                </c:pt>
                <c:pt idx="48">
                  <c:v>-2.793056</c:v>
                </c:pt>
                <c:pt idx="49">
                  <c:v>-2.8472219999999999</c:v>
                </c:pt>
                <c:pt idx="50">
                  <c:v>-2.8977780000000002</c:v>
                </c:pt>
                <c:pt idx="51">
                  <c:v>-2.8688889999999998</c:v>
                </c:pt>
                <c:pt idx="52">
                  <c:v>-2.816389</c:v>
                </c:pt>
                <c:pt idx="53">
                  <c:v>-2.7788889999999999</c:v>
                </c:pt>
                <c:pt idx="54">
                  <c:v>-2.7225000000000001</c:v>
                </c:pt>
                <c:pt idx="55">
                  <c:v>-2.6916669999999998</c:v>
                </c:pt>
                <c:pt idx="56">
                  <c:v>-2.704167</c:v>
                </c:pt>
                <c:pt idx="57">
                  <c:v>-2.7061109999999999</c:v>
                </c:pt>
                <c:pt idx="58">
                  <c:v>-2.7438889999999998</c:v>
                </c:pt>
                <c:pt idx="59">
                  <c:v>-2.737222</c:v>
                </c:pt>
                <c:pt idx="60">
                  <c:v>-2.78</c:v>
                </c:pt>
                <c:pt idx="61">
                  <c:v>-2.8197220000000001</c:v>
                </c:pt>
                <c:pt idx="62">
                  <c:v>-2.869167</c:v>
                </c:pt>
                <c:pt idx="63">
                  <c:v>-2.9186109999999998</c:v>
                </c:pt>
                <c:pt idx="64">
                  <c:v>-2.9430559999999999</c:v>
                </c:pt>
                <c:pt idx="65">
                  <c:v>-2.9652780000000001</c:v>
                </c:pt>
                <c:pt idx="66">
                  <c:v>-2.9586109999999999</c:v>
                </c:pt>
                <c:pt idx="67">
                  <c:v>-2.9405559999999999</c:v>
                </c:pt>
                <c:pt idx="68">
                  <c:v>-2.9683329999999999</c:v>
                </c:pt>
                <c:pt idx="69">
                  <c:v>-2.9908329999999999</c:v>
                </c:pt>
                <c:pt idx="70">
                  <c:v>-3.023889</c:v>
                </c:pt>
                <c:pt idx="71">
                  <c:v>-3.056667</c:v>
                </c:pt>
                <c:pt idx="72">
                  <c:v>-3.1005560000000001</c:v>
                </c:pt>
                <c:pt idx="73">
                  <c:v>-3.1233330000000001</c:v>
                </c:pt>
                <c:pt idx="74">
                  <c:v>-3.119167</c:v>
                </c:pt>
                <c:pt idx="75">
                  <c:v>-3.088889</c:v>
                </c:pt>
                <c:pt idx="76">
                  <c:v>-3.1388889999999998</c:v>
                </c:pt>
                <c:pt idx="77">
                  <c:v>-3.1341670000000001</c:v>
                </c:pt>
                <c:pt idx="78">
                  <c:v>-3.1463890000000001</c:v>
                </c:pt>
                <c:pt idx="79">
                  <c:v>-3.200278</c:v>
                </c:pt>
                <c:pt idx="80">
                  <c:v>-3.1827779999999999</c:v>
                </c:pt>
                <c:pt idx="81">
                  <c:v>-3.1124999999999998</c:v>
                </c:pt>
                <c:pt idx="82">
                  <c:v>-3.1394440000000001</c:v>
                </c:pt>
                <c:pt idx="83">
                  <c:v>-3.1697220000000002</c:v>
                </c:pt>
                <c:pt idx="84">
                  <c:v>-3.165</c:v>
                </c:pt>
                <c:pt idx="85">
                  <c:v>-3.2063890000000002</c:v>
                </c:pt>
                <c:pt idx="86">
                  <c:v>-3.2169439999999998</c:v>
                </c:pt>
                <c:pt idx="87">
                  <c:v>-3.2744439999999999</c:v>
                </c:pt>
                <c:pt idx="88">
                  <c:v>-3.3397220000000001</c:v>
                </c:pt>
                <c:pt idx="89">
                  <c:v>-3.3033329999999999</c:v>
                </c:pt>
                <c:pt idx="90">
                  <c:v>-3.3244440000000002</c:v>
                </c:pt>
                <c:pt idx="91">
                  <c:v>-3.342222</c:v>
                </c:pt>
                <c:pt idx="92">
                  <c:v>-3.2961109999999998</c:v>
                </c:pt>
                <c:pt idx="93">
                  <c:v>-3.3194439999999998</c:v>
                </c:pt>
                <c:pt idx="94">
                  <c:v>-3.3725000000000001</c:v>
                </c:pt>
                <c:pt idx="95">
                  <c:v>-3.3725000000000001</c:v>
                </c:pt>
                <c:pt idx="96">
                  <c:v>-3.4525000000000001</c:v>
                </c:pt>
                <c:pt idx="97">
                  <c:v>-3.4952779999999999</c:v>
                </c:pt>
                <c:pt idx="98">
                  <c:v>-3.5388890000000002</c:v>
                </c:pt>
                <c:pt idx="99">
                  <c:v>-3.6277780000000002</c:v>
                </c:pt>
                <c:pt idx="100">
                  <c:v>-3.6974999999999998</c:v>
                </c:pt>
                <c:pt idx="101">
                  <c:v>-3.7488890000000001</c:v>
                </c:pt>
                <c:pt idx="102">
                  <c:v>-3.828611</c:v>
                </c:pt>
                <c:pt idx="103">
                  <c:v>-3.8719440000000001</c:v>
                </c:pt>
                <c:pt idx="104">
                  <c:v>-3.9119440000000001</c:v>
                </c:pt>
                <c:pt idx="105">
                  <c:v>-3.9444439999999998</c:v>
                </c:pt>
                <c:pt idx="106">
                  <c:v>-3.9822220000000002</c:v>
                </c:pt>
                <c:pt idx="107">
                  <c:v>-4.0172220000000003</c:v>
                </c:pt>
                <c:pt idx="108">
                  <c:v>-4.0313889999999999</c:v>
                </c:pt>
                <c:pt idx="109">
                  <c:v>-4.0802779999999998</c:v>
                </c:pt>
                <c:pt idx="110">
                  <c:v>-4.1261109999999999</c:v>
                </c:pt>
                <c:pt idx="111">
                  <c:v>-4.1380559999999997</c:v>
                </c:pt>
                <c:pt idx="112">
                  <c:v>-4.1349999999999998</c:v>
                </c:pt>
                <c:pt idx="113">
                  <c:v>-4.1827779999999999</c:v>
                </c:pt>
                <c:pt idx="114">
                  <c:v>-4.1783330000000003</c:v>
                </c:pt>
                <c:pt idx="115">
                  <c:v>-4.1827779999999999</c:v>
                </c:pt>
                <c:pt idx="116">
                  <c:v>-4.269444</c:v>
                </c:pt>
                <c:pt idx="117">
                  <c:v>-4.344722</c:v>
                </c:pt>
                <c:pt idx="118">
                  <c:v>-4.3533330000000001</c:v>
                </c:pt>
                <c:pt idx="119">
                  <c:v>-4.3577779999999997</c:v>
                </c:pt>
                <c:pt idx="120">
                  <c:v>-4.3902780000000003</c:v>
                </c:pt>
                <c:pt idx="121">
                  <c:v>-4.4325000000000001</c:v>
                </c:pt>
                <c:pt idx="122">
                  <c:v>-4.4877779999999996</c:v>
                </c:pt>
                <c:pt idx="123">
                  <c:v>-4.5452779999999997</c:v>
                </c:pt>
                <c:pt idx="124">
                  <c:v>-4.6058329999999996</c:v>
                </c:pt>
                <c:pt idx="125">
                  <c:v>-4.6825000000000001</c:v>
                </c:pt>
                <c:pt idx="127">
                  <c:v>-4.6847219999999998</c:v>
                </c:pt>
                <c:pt idx="128">
                  <c:v>-4.6038889999999997</c:v>
                </c:pt>
                <c:pt idx="129">
                  <c:v>-4.5288890000000004</c:v>
                </c:pt>
                <c:pt idx="130">
                  <c:v>-4.4486109999999996</c:v>
                </c:pt>
                <c:pt idx="131">
                  <c:v>-4.365278</c:v>
                </c:pt>
                <c:pt idx="132">
                  <c:v>-4.2916670000000003</c:v>
                </c:pt>
                <c:pt idx="133">
                  <c:v>-4.2769440000000003</c:v>
                </c:pt>
                <c:pt idx="134">
                  <c:v>-4.3102780000000003</c:v>
                </c:pt>
                <c:pt idx="135">
                  <c:v>-4.3747220000000002</c:v>
                </c:pt>
                <c:pt idx="136">
                  <c:v>-4.4311109999999996</c:v>
                </c:pt>
                <c:pt idx="137">
                  <c:v>-4.4938890000000002</c:v>
                </c:pt>
                <c:pt idx="138">
                  <c:v>-4.5330560000000002</c:v>
                </c:pt>
                <c:pt idx="139">
                  <c:v>-4.5480559999999999</c:v>
                </c:pt>
                <c:pt idx="140">
                  <c:v>-4.5427780000000002</c:v>
                </c:pt>
                <c:pt idx="141">
                  <c:v>-4.6080560000000004</c:v>
                </c:pt>
                <c:pt idx="142">
                  <c:v>-4.598611</c:v>
                </c:pt>
                <c:pt idx="143">
                  <c:v>-4.5797220000000003</c:v>
                </c:pt>
                <c:pt idx="144">
                  <c:v>-4.536111</c:v>
                </c:pt>
                <c:pt idx="145">
                  <c:v>-4.5305559999999998</c:v>
                </c:pt>
                <c:pt idx="146">
                  <c:v>-4.4747219999999999</c:v>
                </c:pt>
                <c:pt idx="147">
                  <c:v>-4.4083329999999998</c:v>
                </c:pt>
                <c:pt idx="148">
                  <c:v>-4.3313889999999997</c:v>
                </c:pt>
                <c:pt idx="149">
                  <c:v>-4.2824999999999998</c:v>
                </c:pt>
                <c:pt idx="150">
                  <c:v>-4.2238889999999998</c:v>
                </c:pt>
                <c:pt idx="151">
                  <c:v>-4.2319440000000004</c:v>
                </c:pt>
                <c:pt idx="152">
                  <c:v>-4.2699999999999996</c:v>
                </c:pt>
                <c:pt idx="153">
                  <c:v>-4.3216669999999997</c:v>
                </c:pt>
                <c:pt idx="154">
                  <c:v>-4.2788890000000004</c:v>
                </c:pt>
                <c:pt idx="155">
                  <c:v>-4.3230560000000002</c:v>
                </c:pt>
                <c:pt idx="156">
                  <c:v>-4.3669440000000002</c:v>
                </c:pt>
                <c:pt idx="157">
                  <c:v>-4.4094439999999997</c:v>
                </c:pt>
                <c:pt idx="158">
                  <c:v>-4.4405559999999999</c:v>
                </c:pt>
                <c:pt idx="159">
                  <c:v>-4.3927779999999998</c:v>
                </c:pt>
                <c:pt idx="160">
                  <c:v>-4.3216669999999997</c:v>
                </c:pt>
                <c:pt idx="161">
                  <c:v>-4.32</c:v>
                </c:pt>
                <c:pt idx="162">
                  <c:v>-4.3938889999999997</c:v>
                </c:pt>
                <c:pt idx="163">
                  <c:v>-4.4733330000000002</c:v>
                </c:pt>
                <c:pt idx="164">
                  <c:v>-4.5422219999999998</c:v>
                </c:pt>
                <c:pt idx="165">
                  <c:v>-4.6169440000000002</c:v>
                </c:pt>
                <c:pt idx="166">
                  <c:v>-4.6908329999999996</c:v>
                </c:pt>
                <c:pt idx="167">
                  <c:v>-4.7527780000000002</c:v>
                </c:pt>
                <c:pt idx="168">
                  <c:v>-4.7736109999999998</c:v>
                </c:pt>
                <c:pt idx="169">
                  <c:v>-4.7836109999999996</c:v>
                </c:pt>
                <c:pt idx="170">
                  <c:v>-4.7750000000000004</c:v>
                </c:pt>
                <c:pt idx="171">
                  <c:v>-4.7675000000000001</c:v>
                </c:pt>
                <c:pt idx="172">
                  <c:v>-4.7580559999999998</c:v>
                </c:pt>
                <c:pt idx="173">
                  <c:v>-4.7077780000000002</c:v>
                </c:pt>
                <c:pt idx="174">
                  <c:v>-4.6574999999999998</c:v>
                </c:pt>
                <c:pt idx="175">
                  <c:v>-4.5941669999999997</c:v>
                </c:pt>
                <c:pt idx="176">
                  <c:v>-4.6058329999999996</c:v>
                </c:pt>
                <c:pt idx="177">
                  <c:v>-4.5516670000000001</c:v>
                </c:pt>
                <c:pt idx="178">
                  <c:v>-4.5636109999999999</c:v>
                </c:pt>
                <c:pt idx="179">
                  <c:v>-4.5086110000000001</c:v>
                </c:pt>
                <c:pt idx="180">
                  <c:v>-4.441389</c:v>
                </c:pt>
                <c:pt idx="181">
                  <c:v>-4.4194440000000004</c:v>
                </c:pt>
                <c:pt idx="182">
                  <c:v>-4.3494440000000001</c:v>
                </c:pt>
                <c:pt idx="183">
                  <c:v>-4.299722</c:v>
                </c:pt>
                <c:pt idx="184">
                  <c:v>-4.2658329999999998</c:v>
                </c:pt>
                <c:pt idx="185">
                  <c:v>-4.1980560000000002</c:v>
                </c:pt>
                <c:pt idx="186">
                  <c:v>-4.1808329999999998</c:v>
                </c:pt>
                <c:pt idx="187">
                  <c:v>-4.101667</c:v>
                </c:pt>
                <c:pt idx="188">
                  <c:v>-4.0580559999999997</c:v>
                </c:pt>
                <c:pt idx="189">
                  <c:v>-4.0055560000000003</c:v>
                </c:pt>
                <c:pt idx="190">
                  <c:v>-3.9727779999999999</c:v>
                </c:pt>
                <c:pt idx="191">
                  <c:v>-3.949722</c:v>
                </c:pt>
                <c:pt idx="192">
                  <c:v>-3.9161109999999999</c:v>
                </c:pt>
                <c:pt idx="193">
                  <c:v>-3.8833329999999999</c:v>
                </c:pt>
                <c:pt idx="194">
                  <c:v>-3.8477779999999999</c:v>
                </c:pt>
                <c:pt idx="195">
                  <c:v>-3.8483329999999998</c:v>
                </c:pt>
                <c:pt idx="196">
                  <c:v>-3.835</c:v>
                </c:pt>
                <c:pt idx="197">
                  <c:v>-3.7902779999999998</c:v>
                </c:pt>
                <c:pt idx="198">
                  <c:v>-3.7144439999999999</c:v>
                </c:pt>
                <c:pt idx="199">
                  <c:v>-3.6436109999999999</c:v>
                </c:pt>
                <c:pt idx="200">
                  <c:v>-3.6077780000000002</c:v>
                </c:pt>
                <c:pt idx="201">
                  <c:v>-3.5802779999999998</c:v>
                </c:pt>
                <c:pt idx="202">
                  <c:v>-3.540556</c:v>
                </c:pt>
                <c:pt idx="203">
                  <c:v>-3.5777779999999999</c:v>
                </c:pt>
                <c:pt idx="204">
                  <c:v>-3.5413890000000001</c:v>
                </c:pt>
                <c:pt idx="205">
                  <c:v>-3.5125000000000002</c:v>
                </c:pt>
                <c:pt idx="206">
                  <c:v>-3.4663889999999999</c:v>
                </c:pt>
                <c:pt idx="207">
                  <c:v>-3.433611</c:v>
                </c:pt>
                <c:pt idx="208">
                  <c:v>-3.3713890000000002</c:v>
                </c:pt>
                <c:pt idx="209">
                  <c:v>-3.2944439999999999</c:v>
                </c:pt>
                <c:pt idx="210">
                  <c:v>-3.2430560000000002</c:v>
                </c:pt>
                <c:pt idx="211">
                  <c:v>-3.2086109999999999</c:v>
                </c:pt>
                <c:pt idx="212">
                  <c:v>-3.2225000000000001</c:v>
                </c:pt>
                <c:pt idx="213">
                  <c:v>-3.1858330000000001</c:v>
                </c:pt>
                <c:pt idx="214">
                  <c:v>-3.1305559999999999</c:v>
                </c:pt>
                <c:pt idx="215">
                  <c:v>-3.085833</c:v>
                </c:pt>
                <c:pt idx="216">
                  <c:v>-3.0866669999999998</c:v>
                </c:pt>
                <c:pt idx="217">
                  <c:v>-3.12</c:v>
                </c:pt>
                <c:pt idx="218">
                  <c:v>-3.0897220000000001</c:v>
                </c:pt>
                <c:pt idx="219">
                  <c:v>-3.0519440000000002</c:v>
                </c:pt>
                <c:pt idx="220">
                  <c:v>-3.0150000000000001</c:v>
                </c:pt>
                <c:pt idx="221">
                  <c:v>-3.0280559999999999</c:v>
                </c:pt>
                <c:pt idx="222">
                  <c:v>-2.9583330000000001</c:v>
                </c:pt>
                <c:pt idx="223">
                  <c:v>-2.9372220000000002</c:v>
                </c:pt>
                <c:pt idx="224">
                  <c:v>-2.9024999999999999</c:v>
                </c:pt>
                <c:pt idx="225">
                  <c:v>-2.8477779999999999</c:v>
                </c:pt>
                <c:pt idx="226">
                  <c:v>-2.8174999999999999</c:v>
                </c:pt>
                <c:pt idx="227">
                  <c:v>-2.786111</c:v>
                </c:pt>
                <c:pt idx="228">
                  <c:v>-2.7227779999999999</c:v>
                </c:pt>
                <c:pt idx="229">
                  <c:v>-2.713333</c:v>
                </c:pt>
                <c:pt idx="230">
                  <c:v>-2.6805560000000002</c:v>
                </c:pt>
                <c:pt idx="231">
                  <c:v>-2.6269439999999999</c:v>
                </c:pt>
                <c:pt idx="232">
                  <c:v>-2.5775000000000001</c:v>
                </c:pt>
                <c:pt idx="233">
                  <c:v>-2.5180560000000001</c:v>
                </c:pt>
                <c:pt idx="234">
                  <c:v>-2.4627780000000001</c:v>
                </c:pt>
                <c:pt idx="235">
                  <c:v>-2.4375</c:v>
                </c:pt>
                <c:pt idx="236">
                  <c:v>-2.3830559999999998</c:v>
                </c:pt>
                <c:pt idx="237">
                  <c:v>-2.3241670000000001</c:v>
                </c:pt>
                <c:pt idx="239">
                  <c:v>-2.295833</c:v>
                </c:pt>
                <c:pt idx="240">
                  <c:v>-2.3197220000000001</c:v>
                </c:pt>
                <c:pt idx="241">
                  <c:v>-2.266111</c:v>
                </c:pt>
                <c:pt idx="242">
                  <c:v>-2.240278</c:v>
                </c:pt>
                <c:pt idx="243">
                  <c:v>-2.2044440000000001</c:v>
                </c:pt>
                <c:pt idx="244">
                  <c:v>-2.1863890000000001</c:v>
                </c:pt>
                <c:pt idx="245">
                  <c:v>-2.1597219999999999</c:v>
                </c:pt>
                <c:pt idx="246">
                  <c:v>-2.1408330000000002</c:v>
                </c:pt>
                <c:pt idx="247">
                  <c:v>-2.0977779999999999</c:v>
                </c:pt>
                <c:pt idx="248">
                  <c:v>-2.0311110000000001</c:v>
                </c:pt>
                <c:pt idx="249">
                  <c:v>-2.0022220000000002</c:v>
                </c:pt>
                <c:pt idx="250">
                  <c:v>-1.976944</c:v>
                </c:pt>
                <c:pt idx="251">
                  <c:v>-1.9555560000000001</c:v>
                </c:pt>
                <c:pt idx="252">
                  <c:v>-1.9686110000000001</c:v>
                </c:pt>
                <c:pt idx="253">
                  <c:v>-1.9550000000000001</c:v>
                </c:pt>
                <c:pt idx="254">
                  <c:v>-2.0027780000000002</c:v>
                </c:pt>
                <c:pt idx="255">
                  <c:v>-2.0247220000000001</c:v>
                </c:pt>
                <c:pt idx="256">
                  <c:v>-1.9852780000000001</c:v>
                </c:pt>
                <c:pt idx="257">
                  <c:v>-1.947222</c:v>
                </c:pt>
                <c:pt idx="258">
                  <c:v>-1.875556</c:v>
                </c:pt>
                <c:pt idx="259">
                  <c:v>-1.8408329999999999</c:v>
                </c:pt>
                <c:pt idx="260">
                  <c:v>-1.8605560000000001</c:v>
                </c:pt>
                <c:pt idx="261">
                  <c:v>-1.799722</c:v>
                </c:pt>
                <c:pt idx="262">
                  <c:v>-1.7227779999999999</c:v>
                </c:pt>
                <c:pt idx="263">
                  <c:v>-1.6330560000000001</c:v>
                </c:pt>
                <c:pt idx="264">
                  <c:v>-1.565833</c:v>
                </c:pt>
                <c:pt idx="265">
                  <c:v>-1.4827779999999999</c:v>
                </c:pt>
                <c:pt idx="266">
                  <c:v>-1.4075</c:v>
                </c:pt>
                <c:pt idx="267">
                  <c:v>-1.371389</c:v>
                </c:pt>
                <c:pt idx="268">
                  <c:v>-1.433611</c:v>
                </c:pt>
                <c:pt idx="269">
                  <c:v>-1.4944440000000001</c:v>
                </c:pt>
                <c:pt idx="270">
                  <c:v>-1.523333</c:v>
                </c:pt>
                <c:pt idx="271">
                  <c:v>-1.5616669999999999</c:v>
                </c:pt>
                <c:pt idx="272">
                  <c:v>-1.5725</c:v>
                </c:pt>
                <c:pt idx="273">
                  <c:v>-1.582778</c:v>
                </c:pt>
                <c:pt idx="274">
                  <c:v>-1.5644439999999999</c:v>
                </c:pt>
                <c:pt idx="275">
                  <c:v>-1.541944</c:v>
                </c:pt>
                <c:pt idx="276">
                  <c:v>-1.5569440000000001</c:v>
                </c:pt>
                <c:pt idx="277">
                  <c:v>-1.520278</c:v>
                </c:pt>
                <c:pt idx="278">
                  <c:v>-1.5575000000000001</c:v>
                </c:pt>
                <c:pt idx="279">
                  <c:v>-1.5925</c:v>
                </c:pt>
                <c:pt idx="280">
                  <c:v>-1.591944</c:v>
                </c:pt>
                <c:pt idx="281">
                  <c:v>-1.601667</c:v>
                </c:pt>
                <c:pt idx="282">
                  <c:v>-1.5936110000000001</c:v>
                </c:pt>
                <c:pt idx="283">
                  <c:v>-1.6094440000000001</c:v>
                </c:pt>
                <c:pt idx="284">
                  <c:v>-1.5513889999999999</c:v>
                </c:pt>
                <c:pt idx="285">
                  <c:v>-1.6197220000000001</c:v>
                </c:pt>
                <c:pt idx="286">
                  <c:v>-1.6502779999999999</c:v>
                </c:pt>
                <c:pt idx="287">
                  <c:v>-1.6675</c:v>
                </c:pt>
                <c:pt idx="288">
                  <c:v>-1.707778</c:v>
                </c:pt>
                <c:pt idx="289">
                  <c:v>-1.7086110000000001</c:v>
                </c:pt>
                <c:pt idx="290">
                  <c:v>-1.746667</c:v>
                </c:pt>
                <c:pt idx="291">
                  <c:v>-1.79</c:v>
                </c:pt>
                <c:pt idx="292">
                  <c:v>-1.8177779999999999</c:v>
                </c:pt>
                <c:pt idx="293">
                  <c:v>-1.842222</c:v>
                </c:pt>
                <c:pt idx="294">
                  <c:v>-1.8741669999999999</c:v>
                </c:pt>
                <c:pt idx="295">
                  <c:v>-1.855278</c:v>
                </c:pt>
                <c:pt idx="296">
                  <c:v>-1.841944</c:v>
                </c:pt>
                <c:pt idx="297">
                  <c:v>-1.8738889999999999</c:v>
                </c:pt>
                <c:pt idx="298">
                  <c:v>-1.9444440000000001</c:v>
                </c:pt>
                <c:pt idx="299">
                  <c:v>-1.9202779999999999</c:v>
                </c:pt>
                <c:pt idx="300">
                  <c:v>-1.8561110000000001</c:v>
                </c:pt>
                <c:pt idx="301">
                  <c:v>-1.796667</c:v>
                </c:pt>
                <c:pt idx="302">
                  <c:v>-1.711111</c:v>
                </c:pt>
                <c:pt idx="303">
                  <c:v>-1.6441669999999999</c:v>
                </c:pt>
                <c:pt idx="304">
                  <c:v>-1.582778</c:v>
                </c:pt>
                <c:pt idx="305">
                  <c:v>-1.4972220000000001</c:v>
                </c:pt>
                <c:pt idx="306">
                  <c:v>-1.4424999999999999</c:v>
                </c:pt>
                <c:pt idx="307">
                  <c:v>-1.355</c:v>
                </c:pt>
                <c:pt idx="308">
                  <c:v>-1.2644439999999999</c:v>
                </c:pt>
                <c:pt idx="309">
                  <c:v>-1.2375</c:v>
                </c:pt>
                <c:pt idx="310">
                  <c:v>-1.2483329999999999</c:v>
                </c:pt>
                <c:pt idx="311">
                  <c:v>-1.296111</c:v>
                </c:pt>
                <c:pt idx="312">
                  <c:v>-1.291944</c:v>
                </c:pt>
                <c:pt idx="313">
                  <c:v>-1.253889</c:v>
                </c:pt>
                <c:pt idx="314">
                  <c:v>-1.2091670000000001</c:v>
                </c:pt>
                <c:pt idx="315">
                  <c:v>-1.165278</c:v>
                </c:pt>
                <c:pt idx="316">
                  <c:v>-1.1847220000000001</c:v>
                </c:pt>
                <c:pt idx="317">
                  <c:v>-1.1419440000000001</c:v>
                </c:pt>
                <c:pt idx="318">
                  <c:v>-1.1080559999999999</c:v>
                </c:pt>
                <c:pt idx="319">
                  <c:v>-1.0433330000000001</c:v>
                </c:pt>
                <c:pt idx="320">
                  <c:v>-0.94861099999999998</c:v>
                </c:pt>
                <c:pt idx="321">
                  <c:v>-0.87749999999999995</c:v>
                </c:pt>
                <c:pt idx="322">
                  <c:v>-0.78722199999999998</c:v>
                </c:pt>
                <c:pt idx="323">
                  <c:v>-0.69055599999999995</c:v>
                </c:pt>
                <c:pt idx="324">
                  <c:v>-0.59777800000000003</c:v>
                </c:pt>
                <c:pt idx="325">
                  <c:v>-0.51416700000000004</c:v>
                </c:pt>
                <c:pt idx="326">
                  <c:v>-0.42416700000000002</c:v>
                </c:pt>
                <c:pt idx="327">
                  <c:v>-0.34972199999999998</c:v>
                </c:pt>
                <c:pt idx="328">
                  <c:v>-0.276667</c:v>
                </c:pt>
                <c:pt idx="329">
                  <c:v>-0.22583300000000001</c:v>
                </c:pt>
                <c:pt idx="331">
                  <c:v>-0.156667</c:v>
                </c:pt>
                <c:pt idx="332">
                  <c:v>-7.3332999999999995E-2</c:v>
                </c:pt>
                <c:pt idx="333">
                  <c:v>-3.6110000000000001E-3</c:v>
                </c:pt>
                <c:pt idx="334">
                  <c:v>6.2222E-2</c:v>
                </c:pt>
                <c:pt idx="335">
                  <c:v>0.110556</c:v>
                </c:pt>
                <c:pt idx="336">
                  <c:v>0.17499999999999999</c:v>
                </c:pt>
                <c:pt idx="337">
                  <c:v>0.246111</c:v>
                </c:pt>
                <c:pt idx="338">
                  <c:v>0.33444400000000002</c:v>
                </c:pt>
                <c:pt idx="339">
                  <c:v>0.41444399999999998</c:v>
                </c:pt>
                <c:pt idx="340">
                  <c:v>0.47722199999999998</c:v>
                </c:pt>
                <c:pt idx="341">
                  <c:v>0.45111099999999998</c:v>
                </c:pt>
                <c:pt idx="342">
                  <c:v>0.37666699999999997</c:v>
                </c:pt>
                <c:pt idx="343">
                  <c:v>0.283333</c:v>
                </c:pt>
                <c:pt idx="344">
                  <c:v>0.20083300000000001</c:v>
                </c:pt>
                <c:pt idx="345">
                  <c:v>0.155556</c:v>
                </c:pt>
                <c:pt idx="346">
                  <c:v>9.3332999999999999E-2</c:v>
                </c:pt>
                <c:pt idx="347">
                  <c:v>8.8610999999999995E-2</c:v>
                </c:pt>
                <c:pt idx="348">
                  <c:v>0.125556</c:v>
                </c:pt>
                <c:pt idx="349">
                  <c:v>0.156944</c:v>
                </c:pt>
                <c:pt idx="350">
                  <c:v>0.184444</c:v>
                </c:pt>
                <c:pt idx="351">
                  <c:v>0.249722</c:v>
                </c:pt>
                <c:pt idx="352">
                  <c:v>0.32194400000000001</c:v>
                </c:pt>
                <c:pt idx="353">
                  <c:v>0.38333299999999998</c:v>
                </c:pt>
                <c:pt idx="354">
                  <c:v>0.44500000000000001</c:v>
                </c:pt>
                <c:pt idx="355">
                  <c:v>0.50944400000000001</c:v>
                </c:pt>
                <c:pt idx="356">
                  <c:v>0.57222200000000001</c:v>
                </c:pt>
                <c:pt idx="357">
                  <c:v>0.64611099999999999</c:v>
                </c:pt>
                <c:pt idx="358">
                  <c:v>0.73305600000000004</c:v>
                </c:pt>
                <c:pt idx="359">
                  <c:v>0.81527799999999995</c:v>
                </c:pt>
                <c:pt idx="360">
                  <c:v>0.89500000000000002</c:v>
                </c:pt>
                <c:pt idx="361">
                  <c:v>0.96499999999999997</c:v>
                </c:pt>
                <c:pt idx="362">
                  <c:v>1.0569440000000001</c:v>
                </c:pt>
                <c:pt idx="363">
                  <c:v>1.1258330000000001</c:v>
                </c:pt>
                <c:pt idx="364">
                  <c:v>1.1975</c:v>
                </c:pt>
                <c:pt idx="365">
                  <c:v>1.2577780000000001</c:v>
                </c:pt>
                <c:pt idx="366">
                  <c:v>1.3113889999999999</c:v>
                </c:pt>
                <c:pt idx="367">
                  <c:v>1.368611</c:v>
                </c:pt>
                <c:pt idx="368">
                  <c:v>1.427778</c:v>
                </c:pt>
                <c:pt idx="369">
                  <c:v>1.4683330000000001</c:v>
                </c:pt>
                <c:pt idx="370">
                  <c:v>1.4975000000000001</c:v>
                </c:pt>
                <c:pt idx="371">
                  <c:v>1.5605560000000001</c:v>
                </c:pt>
                <c:pt idx="372">
                  <c:v>1.625278</c:v>
                </c:pt>
                <c:pt idx="373">
                  <c:v>1.65</c:v>
                </c:pt>
                <c:pt idx="374">
                  <c:v>1.6172219999999999</c:v>
                </c:pt>
                <c:pt idx="375">
                  <c:v>1.578889</c:v>
                </c:pt>
                <c:pt idx="376">
                  <c:v>1.536111</c:v>
                </c:pt>
                <c:pt idx="377">
                  <c:v>1.552778</c:v>
                </c:pt>
                <c:pt idx="378">
                  <c:v>1.602778</c:v>
                </c:pt>
                <c:pt idx="379">
                  <c:v>1.562778</c:v>
                </c:pt>
                <c:pt idx="380">
                  <c:v>1.5741670000000001</c:v>
                </c:pt>
                <c:pt idx="381">
                  <c:v>1.584722</c:v>
                </c:pt>
                <c:pt idx="382">
                  <c:v>1.5794440000000001</c:v>
                </c:pt>
                <c:pt idx="383">
                  <c:v>1.575278</c:v>
                </c:pt>
                <c:pt idx="384">
                  <c:v>1.5638890000000001</c:v>
                </c:pt>
                <c:pt idx="385">
                  <c:v>1.59</c:v>
                </c:pt>
                <c:pt idx="386">
                  <c:v>1.6002780000000001</c:v>
                </c:pt>
                <c:pt idx="387">
                  <c:v>1.5797220000000001</c:v>
                </c:pt>
                <c:pt idx="388">
                  <c:v>1.635</c:v>
                </c:pt>
                <c:pt idx="389">
                  <c:v>1.6894439999999999</c:v>
                </c:pt>
                <c:pt idx="390">
                  <c:v>1.745833</c:v>
                </c:pt>
                <c:pt idx="391">
                  <c:v>1.8197220000000001</c:v>
                </c:pt>
                <c:pt idx="392">
                  <c:v>1.897778</c:v>
                </c:pt>
                <c:pt idx="393">
                  <c:v>1.967222</c:v>
                </c:pt>
                <c:pt idx="394">
                  <c:v>2.0511110000000001</c:v>
                </c:pt>
                <c:pt idx="395">
                  <c:v>2.137778</c:v>
                </c:pt>
                <c:pt idx="396">
                  <c:v>2.2119439999999999</c:v>
                </c:pt>
                <c:pt idx="397">
                  <c:v>2.2927780000000002</c:v>
                </c:pt>
                <c:pt idx="398">
                  <c:v>2.371667</c:v>
                </c:pt>
                <c:pt idx="399">
                  <c:v>2.4530560000000001</c:v>
                </c:pt>
                <c:pt idx="400">
                  <c:v>2.5261110000000002</c:v>
                </c:pt>
                <c:pt idx="402">
                  <c:v>2.603056</c:v>
                </c:pt>
                <c:pt idx="403">
                  <c:v>2.6686109999999998</c:v>
                </c:pt>
                <c:pt idx="404">
                  <c:v>2.7349999999999999</c:v>
                </c:pt>
                <c:pt idx="405">
                  <c:v>2.7991670000000002</c:v>
                </c:pt>
                <c:pt idx="406">
                  <c:v>2.8677779999999999</c:v>
                </c:pt>
                <c:pt idx="407">
                  <c:v>2.9338890000000002</c:v>
                </c:pt>
                <c:pt idx="408">
                  <c:v>2.9972219999999998</c:v>
                </c:pt>
                <c:pt idx="409">
                  <c:v>3.0627779999999998</c:v>
                </c:pt>
                <c:pt idx="410">
                  <c:v>3.1269439999999999</c:v>
                </c:pt>
                <c:pt idx="411">
                  <c:v>3.201111</c:v>
                </c:pt>
                <c:pt idx="412">
                  <c:v>3.2813889999999999</c:v>
                </c:pt>
                <c:pt idx="413">
                  <c:v>3.36</c:v>
                </c:pt>
                <c:pt idx="414">
                  <c:v>3.4319440000000001</c:v>
                </c:pt>
                <c:pt idx="415">
                  <c:v>3.5086110000000001</c:v>
                </c:pt>
                <c:pt idx="416">
                  <c:v>3.5847220000000002</c:v>
                </c:pt>
                <c:pt idx="417">
                  <c:v>3.6736110000000002</c:v>
                </c:pt>
                <c:pt idx="418">
                  <c:v>3.7405560000000002</c:v>
                </c:pt>
                <c:pt idx="419">
                  <c:v>3.8208329999999999</c:v>
                </c:pt>
                <c:pt idx="420">
                  <c:v>3.8975</c:v>
                </c:pt>
                <c:pt idx="421">
                  <c:v>3.9719440000000001</c:v>
                </c:pt>
                <c:pt idx="422">
                  <c:v>4.0169439999999996</c:v>
                </c:pt>
                <c:pt idx="423">
                  <c:v>4.068333</c:v>
                </c:pt>
                <c:pt idx="424">
                  <c:v>4.1399999999999997</c:v>
                </c:pt>
                <c:pt idx="425">
                  <c:v>4.1866669999999999</c:v>
                </c:pt>
                <c:pt idx="426">
                  <c:v>4.2455559999999997</c:v>
                </c:pt>
                <c:pt idx="427">
                  <c:v>4.2808330000000003</c:v>
                </c:pt>
                <c:pt idx="428">
                  <c:v>4.3047219999999999</c:v>
                </c:pt>
                <c:pt idx="429">
                  <c:v>4.3033330000000003</c:v>
                </c:pt>
                <c:pt idx="430">
                  <c:v>4.2730560000000004</c:v>
                </c:pt>
                <c:pt idx="431">
                  <c:v>4.2458330000000002</c:v>
                </c:pt>
                <c:pt idx="432">
                  <c:v>4.1947219999999996</c:v>
                </c:pt>
                <c:pt idx="433">
                  <c:v>4.1111110000000002</c:v>
                </c:pt>
                <c:pt idx="434">
                  <c:v>4.0427780000000002</c:v>
                </c:pt>
                <c:pt idx="435">
                  <c:v>3.9727779999999999</c:v>
                </c:pt>
                <c:pt idx="436">
                  <c:v>3.9227780000000001</c:v>
                </c:pt>
                <c:pt idx="437">
                  <c:v>3.8644440000000002</c:v>
                </c:pt>
                <c:pt idx="438">
                  <c:v>3.7872219999999999</c:v>
                </c:pt>
                <c:pt idx="439">
                  <c:v>3.7194440000000002</c:v>
                </c:pt>
                <c:pt idx="440">
                  <c:v>3.6677780000000002</c:v>
                </c:pt>
                <c:pt idx="441">
                  <c:v>3.5802779999999998</c:v>
                </c:pt>
                <c:pt idx="442">
                  <c:v>3.519444</c:v>
                </c:pt>
                <c:pt idx="443">
                  <c:v>3.4669439999999998</c:v>
                </c:pt>
                <c:pt idx="444">
                  <c:v>3.4616669999999998</c:v>
                </c:pt>
                <c:pt idx="445">
                  <c:v>3.523889</c:v>
                </c:pt>
                <c:pt idx="446">
                  <c:v>3.5997219999999999</c:v>
                </c:pt>
                <c:pt idx="447">
                  <c:v>3.6858330000000001</c:v>
                </c:pt>
                <c:pt idx="448">
                  <c:v>3.7722220000000002</c:v>
                </c:pt>
                <c:pt idx="449">
                  <c:v>3.848611</c:v>
                </c:pt>
                <c:pt idx="450">
                  <c:v>3.9036110000000002</c:v>
                </c:pt>
                <c:pt idx="451">
                  <c:v>3.894444</c:v>
                </c:pt>
                <c:pt idx="452">
                  <c:v>3.9722219999999999</c:v>
                </c:pt>
                <c:pt idx="453">
                  <c:v>4.0491669999999997</c:v>
                </c:pt>
                <c:pt idx="454">
                  <c:v>4.0841669999999999</c:v>
                </c:pt>
                <c:pt idx="455">
                  <c:v>4.1458329999999997</c:v>
                </c:pt>
                <c:pt idx="456">
                  <c:v>4.2313890000000001</c:v>
                </c:pt>
                <c:pt idx="457">
                  <c:v>4.2933329999999996</c:v>
                </c:pt>
                <c:pt idx="458">
                  <c:v>4.262778</c:v>
                </c:pt>
                <c:pt idx="459">
                  <c:v>4.1830559999999997</c:v>
                </c:pt>
                <c:pt idx="460">
                  <c:v>4.0891669999999998</c:v>
                </c:pt>
                <c:pt idx="461">
                  <c:v>4.0305559999999998</c:v>
                </c:pt>
                <c:pt idx="462">
                  <c:v>4.0080559999999998</c:v>
                </c:pt>
                <c:pt idx="463">
                  <c:v>4.0863889999999996</c:v>
                </c:pt>
                <c:pt idx="464">
                  <c:v>4.1697220000000002</c:v>
                </c:pt>
                <c:pt idx="465">
                  <c:v>4.201111</c:v>
                </c:pt>
                <c:pt idx="466">
                  <c:v>4.1294440000000003</c:v>
                </c:pt>
                <c:pt idx="467">
                  <c:v>4.0997219999999999</c:v>
                </c:pt>
                <c:pt idx="468">
                  <c:v>4.0294439999999998</c:v>
                </c:pt>
                <c:pt idx="469">
                  <c:v>3.9538890000000002</c:v>
                </c:pt>
                <c:pt idx="470">
                  <c:v>3.891667</c:v>
                </c:pt>
                <c:pt idx="471">
                  <c:v>3.8347220000000002</c:v>
                </c:pt>
                <c:pt idx="472">
                  <c:v>3.7744439999999999</c:v>
                </c:pt>
                <c:pt idx="473">
                  <c:v>3.6963889999999999</c:v>
                </c:pt>
                <c:pt idx="474">
                  <c:v>3.7075</c:v>
                </c:pt>
                <c:pt idx="475">
                  <c:v>3.7838889999999998</c:v>
                </c:pt>
                <c:pt idx="476">
                  <c:v>3.8502779999999999</c:v>
                </c:pt>
                <c:pt idx="477">
                  <c:v>3.8655560000000002</c:v>
                </c:pt>
                <c:pt idx="478">
                  <c:v>3.9411109999999998</c:v>
                </c:pt>
                <c:pt idx="479">
                  <c:v>4.0155560000000001</c:v>
                </c:pt>
                <c:pt idx="480">
                  <c:v>4.0736109999999996</c:v>
                </c:pt>
                <c:pt idx="481">
                  <c:v>4.0261110000000002</c:v>
                </c:pt>
                <c:pt idx="482">
                  <c:v>4.0372219999999999</c:v>
                </c:pt>
                <c:pt idx="483">
                  <c:v>4.0119439999999997</c:v>
                </c:pt>
                <c:pt idx="485">
                  <c:v>4.1111110000000002</c:v>
                </c:pt>
                <c:pt idx="486">
                  <c:v>4.1666670000000003</c:v>
                </c:pt>
                <c:pt idx="487">
                  <c:v>4.2155560000000003</c:v>
                </c:pt>
                <c:pt idx="488">
                  <c:v>4.2638889999999998</c:v>
                </c:pt>
                <c:pt idx="489">
                  <c:v>4.3152780000000002</c:v>
                </c:pt>
                <c:pt idx="490">
                  <c:v>4.3686109999999996</c:v>
                </c:pt>
                <c:pt idx="491">
                  <c:v>4.4147220000000003</c:v>
                </c:pt>
                <c:pt idx="492">
                  <c:v>4.4538890000000002</c:v>
                </c:pt>
                <c:pt idx="493">
                  <c:v>4.4894439999999998</c:v>
                </c:pt>
                <c:pt idx="494">
                  <c:v>4.5247219999999997</c:v>
                </c:pt>
                <c:pt idx="495">
                  <c:v>4.5552780000000004</c:v>
                </c:pt>
                <c:pt idx="496">
                  <c:v>4.6011110000000004</c:v>
                </c:pt>
                <c:pt idx="497">
                  <c:v>4.5983330000000002</c:v>
                </c:pt>
                <c:pt idx="498">
                  <c:v>4.6166669999999996</c:v>
                </c:pt>
                <c:pt idx="499">
                  <c:v>4.6338889999999999</c:v>
                </c:pt>
                <c:pt idx="500">
                  <c:v>4.6433330000000002</c:v>
                </c:pt>
                <c:pt idx="501">
                  <c:v>4.661111</c:v>
                </c:pt>
                <c:pt idx="502">
                  <c:v>4.6905559999999999</c:v>
                </c:pt>
                <c:pt idx="503">
                  <c:v>4.717778</c:v>
                </c:pt>
                <c:pt idx="504">
                  <c:v>4.7300000000000004</c:v>
                </c:pt>
                <c:pt idx="505">
                  <c:v>4.7975000000000003</c:v>
                </c:pt>
                <c:pt idx="506">
                  <c:v>4.8058329999999998</c:v>
                </c:pt>
                <c:pt idx="507">
                  <c:v>4.8624999999999998</c:v>
                </c:pt>
                <c:pt idx="508">
                  <c:v>4.9474999999999998</c:v>
                </c:pt>
                <c:pt idx="509">
                  <c:v>5.01</c:v>
                </c:pt>
                <c:pt idx="510">
                  <c:v>5.085833</c:v>
                </c:pt>
                <c:pt idx="511">
                  <c:v>5.1466669999999999</c:v>
                </c:pt>
                <c:pt idx="512">
                  <c:v>5.2066670000000004</c:v>
                </c:pt>
                <c:pt idx="513">
                  <c:v>5.2633330000000003</c:v>
                </c:pt>
                <c:pt idx="514">
                  <c:v>5.3327780000000002</c:v>
                </c:pt>
                <c:pt idx="515">
                  <c:v>5.3938889999999997</c:v>
                </c:pt>
                <c:pt idx="516">
                  <c:v>5.415</c:v>
                </c:pt>
                <c:pt idx="517">
                  <c:v>5.4519440000000001</c:v>
                </c:pt>
                <c:pt idx="518">
                  <c:v>5.5063890000000004</c:v>
                </c:pt>
                <c:pt idx="519">
                  <c:v>5.5666669999999998</c:v>
                </c:pt>
                <c:pt idx="520">
                  <c:v>5.6366670000000001</c:v>
                </c:pt>
                <c:pt idx="521">
                  <c:v>5.7086110000000003</c:v>
                </c:pt>
                <c:pt idx="522">
                  <c:v>5.7863889999999998</c:v>
                </c:pt>
                <c:pt idx="523">
                  <c:v>5.8597219999999997</c:v>
                </c:pt>
                <c:pt idx="525">
                  <c:v>4.0572220000000003</c:v>
                </c:pt>
                <c:pt idx="526">
                  <c:v>3.9947219999999999</c:v>
                </c:pt>
                <c:pt idx="527">
                  <c:v>3.9266670000000001</c:v>
                </c:pt>
                <c:pt idx="528">
                  <c:v>3.8461110000000001</c:v>
                </c:pt>
                <c:pt idx="530">
                  <c:v>4.1672219999999998</c:v>
                </c:pt>
                <c:pt idx="531">
                  <c:v>4.2427780000000004</c:v>
                </c:pt>
                <c:pt idx="532">
                  <c:v>4.3322219999999998</c:v>
                </c:pt>
                <c:pt idx="533">
                  <c:v>4.3347220000000002</c:v>
                </c:pt>
                <c:pt idx="534">
                  <c:v>4.2633330000000003</c:v>
                </c:pt>
                <c:pt idx="535">
                  <c:v>4.206944</c:v>
                </c:pt>
                <c:pt idx="536">
                  <c:v>4.1388889999999998</c:v>
                </c:pt>
                <c:pt idx="537">
                  <c:v>4.0588889999999997</c:v>
                </c:pt>
                <c:pt idx="539">
                  <c:v>4.1008329999999997</c:v>
                </c:pt>
                <c:pt idx="540">
                  <c:v>4.0594440000000001</c:v>
                </c:pt>
                <c:pt idx="541">
                  <c:v>4.0236109999999998</c:v>
                </c:pt>
                <c:pt idx="542">
                  <c:v>3.940833</c:v>
                </c:pt>
                <c:pt idx="544">
                  <c:v>4.3458329999999998</c:v>
                </c:pt>
                <c:pt idx="546">
                  <c:v>5.3505560000000001</c:v>
                </c:pt>
                <c:pt idx="547">
                  <c:v>5.4113889999999998</c:v>
                </c:pt>
                <c:pt idx="548">
                  <c:v>5.4594440000000004</c:v>
                </c:pt>
                <c:pt idx="549">
                  <c:v>5.4730559999999997</c:v>
                </c:pt>
                <c:pt idx="550">
                  <c:v>5.4522219999999999</c:v>
                </c:pt>
                <c:pt idx="552">
                  <c:v>5.1030559999999996</c:v>
                </c:pt>
                <c:pt idx="554">
                  <c:v>8.7108329999999992</c:v>
                </c:pt>
                <c:pt idx="555">
                  <c:v>8.6638889999999993</c:v>
                </c:pt>
                <c:pt idx="556">
                  <c:v>8.6502780000000001</c:v>
                </c:pt>
                <c:pt idx="557">
                  <c:v>8.6727779999999992</c:v>
                </c:pt>
                <c:pt idx="558">
                  <c:v>8.6408330000000007</c:v>
                </c:pt>
                <c:pt idx="559">
                  <c:v>8.6797219999999999</c:v>
                </c:pt>
                <c:pt idx="560">
                  <c:v>8.5530559999999998</c:v>
                </c:pt>
                <c:pt idx="561">
                  <c:v>8.5227780000000006</c:v>
                </c:pt>
                <c:pt idx="562">
                  <c:v>8.4619440000000008</c:v>
                </c:pt>
                <c:pt idx="563">
                  <c:v>8.4886110000000006</c:v>
                </c:pt>
                <c:pt idx="564">
                  <c:v>8.5813889999999997</c:v>
                </c:pt>
                <c:pt idx="565">
                  <c:v>8.6325000000000003</c:v>
                </c:pt>
                <c:pt idx="566">
                  <c:v>8.6755560000000003</c:v>
                </c:pt>
                <c:pt idx="567">
                  <c:v>8.6536109999999997</c:v>
                </c:pt>
                <c:pt idx="568">
                  <c:v>8.6508330000000004</c:v>
                </c:pt>
                <c:pt idx="569">
                  <c:v>8.6186109999999996</c:v>
                </c:pt>
                <c:pt idx="570">
                  <c:v>8.4686109999999992</c:v>
                </c:pt>
                <c:pt idx="571">
                  <c:v>8.3808330000000009</c:v>
                </c:pt>
                <c:pt idx="572">
                  <c:v>8.3061109999999996</c:v>
                </c:pt>
                <c:pt idx="573">
                  <c:v>8.2449999999999992</c:v>
                </c:pt>
                <c:pt idx="574">
                  <c:v>8.2652780000000003</c:v>
                </c:pt>
                <c:pt idx="575">
                  <c:v>8.3044440000000002</c:v>
                </c:pt>
                <c:pt idx="576">
                  <c:v>8.2161109999999997</c:v>
                </c:pt>
                <c:pt idx="577">
                  <c:v>8.0877780000000001</c:v>
                </c:pt>
                <c:pt idx="578">
                  <c:v>8.1397220000000008</c:v>
                </c:pt>
                <c:pt idx="579">
                  <c:v>8.1786110000000001</c:v>
                </c:pt>
                <c:pt idx="580">
                  <c:v>8.1747219999999992</c:v>
                </c:pt>
                <c:pt idx="581">
                  <c:v>8.1591670000000001</c:v>
                </c:pt>
                <c:pt idx="582">
                  <c:v>8.1586110000000005</c:v>
                </c:pt>
                <c:pt idx="583">
                  <c:v>8.1886109999999999</c:v>
                </c:pt>
                <c:pt idx="584">
                  <c:v>8.2091670000000008</c:v>
                </c:pt>
                <c:pt idx="585">
                  <c:v>8.3177780000000006</c:v>
                </c:pt>
                <c:pt idx="586">
                  <c:v>8.3919440000000005</c:v>
                </c:pt>
                <c:pt idx="587">
                  <c:v>8.331944</c:v>
                </c:pt>
                <c:pt idx="588">
                  <c:v>8.2838890000000003</c:v>
                </c:pt>
                <c:pt idx="589">
                  <c:v>8.1733329999999995</c:v>
                </c:pt>
                <c:pt idx="590">
                  <c:v>8.1449999999999996</c:v>
                </c:pt>
                <c:pt idx="591">
                  <c:v>8.1272219999999997</c:v>
                </c:pt>
                <c:pt idx="592">
                  <c:v>8.1022219999999994</c:v>
                </c:pt>
                <c:pt idx="593">
                  <c:v>8.1252779999999998</c:v>
                </c:pt>
                <c:pt idx="594">
                  <c:v>8.1361109999999996</c:v>
                </c:pt>
                <c:pt idx="595">
                  <c:v>8.1241669999999999</c:v>
                </c:pt>
                <c:pt idx="596">
                  <c:v>8.1755560000000003</c:v>
                </c:pt>
                <c:pt idx="597">
                  <c:v>8.2641670000000005</c:v>
                </c:pt>
                <c:pt idx="598">
                  <c:v>8.2686109999999999</c:v>
                </c:pt>
                <c:pt idx="599">
                  <c:v>8.1786110000000001</c:v>
                </c:pt>
                <c:pt idx="600">
                  <c:v>8.2427779999999995</c:v>
                </c:pt>
                <c:pt idx="601">
                  <c:v>8.1413890000000002</c:v>
                </c:pt>
                <c:pt idx="602">
                  <c:v>8.1300000000000008</c:v>
                </c:pt>
                <c:pt idx="603">
                  <c:v>8.1258330000000001</c:v>
                </c:pt>
                <c:pt idx="604">
                  <c:v>8.1374999999999993</c:v>
                </c:pt>
                <c:pt idx="605">
                  <c:v>8.1855560000000001</c:v>
                </c:pt>
                <c:pt idx="606">
                  <c:v>8.2155559999999994</c:v>
                </c:pt>
                <c:pt idx="607">
                  <c:v>8.2463890000000006</c:v>
                </c:pt>
                <c:pt idx="608">
                  <c:v>8.3172219999999992</c:v>
                </c:pt>
                <c:pt idx="609">
                  <c:v>8.4625000000000004</c:v>
                </c:pt>
                <c:pt idx="610">
                  <c:v>8.5655560000000008</c:v>
                </c:pt>
                <c:pt idx="611">
                  <c:v>8.6024999999999991</c:v>
                </c:pt>
                <c:pt idx="612">
                  <c:v>8.7408330000000003</c:v>
                </c:pt>
                <c:pt idx="613">
                  <c:v>8.75</c:v>
                </c:pt>
                <c:pt idx="614">
                  <c:v>8.6830560000000006</c:v>
                </c:pt>
                <c:pt idx="615">
                  <c:v>8.7830560000000002</c:v>
                </c:pt>
                <c:pt idx="616">
                  <c:v>8.9080560000000002</c:v>
                </c:pt>
                <c:pt idx="617">
                  <c:v>8.8669440000000002</c:v>
                </c:pt>
                <c:pt idx="618">
                  <c:v>8.9508329999999994</c:v>
                </c:pt>
                <c:pt idx="619">
                  <c:v>8.92</c:v>
                </c:pt>
                <c:pt idx="620">
                  <c:v>8.8441670000000006</c:v>
                </c:pt>
                <c:pt idx="621">
                  <c:v>8.7938890000000001</c:v>
                </c:pt>
                <c:pt idx="622">
                  <c:v>8.67</c:v>
                </c:pt>
                <c:pt idx="623">
                  <c:v>8.6202780000000008</c:v>
                </c:pt>
                <c:pt idx="624">
                  <c:v>8.5322220000000009</c:v>
                </c:pt>
                <c:pt idx="625">
                  <c:v>8.5041670000000007</c:v>
                </c:pt>
                <c:pt idx="626">
                  <c:v>8.5175000000000001</c:v>
                </c:pt>
                <c:pt idx="627">
                  <c:v>8.4797220000000006</c:v>
                </c:pt>
                <c:pt idx="628">
                  <c:v>8.5797220000000003</c:v>
                </c:pt>
                <c:pt idx="629">
                  <c:v>8.5858329999999992</c:v>
                </c:pt>
                <c:pt idx="630">
                  <c:v>8.5041670000000007</c:v>
                </c:pt>
                <c:pt idx="631">
                  <c:v>8.3986110000000007</c:v>
                </c:pt>
                <c:pt idx="632">
                  <c:v>8.3227779999999996</c:v>
                </c:pt>
                <c:pt idx="633">
                  <c:v>8.2530560000000008</c:v>
                </c:pt>
                <c:pt idx="634">
                  <c:v>8.2363890000000008</c:v>
                </c:pt>
                <c:pt idx="635">
                  <c:v>8.2563890000000004</c:v>
                </c:pt>
                <c:pt idx="636">
                  <c:v>8.3247219999999995</c:v>
                </c:pt>
                <c:pt idx="637">
                  <c:v>8.3952779999999994</c:v>
                </c:pt>
                <c:pt idx="638">
                  <c:v>8.4777780000000007</c:v>
                </c:pt>
                <c:pt idx="639">
                  <c:v>8.5594439999999992</c:v>
                </c:pt>
                <c:pt idx="640">
                  <c:v>8.668056</c:v>
                </c:pt>
                <c:pt idx="641">
                  <c:v>8.8233329999999999</c:v>
                </c:pt>
                <c:pt idx="642">
                  <c:v>8.9388889999999996</c:v>
                </c:pt>
                <c:pt idx="644">
                  <c:v>8.8436109999999992</c:v>
                </c:pt>
                <c:pt idx="645">
                  <c:v>8.8208330000000004</c:v>
                </c:pt>
                <c:pt idx="646">
                  <c:v>8.8761109999999999</c:v>
                </c:pt>
                <c:pt idx="647">
                  <c:v>8.9086110000000005</c:v>
                </c:pt>
                <c:pt idx="648">
                  <c:v>8.9511109999999992</c:v>
                </c:pt>
                <c:pt idx="649">
                  <c:v>8.9927779999999995</c:v>
                </c:pt>
                <c:pt idx="650">
                  <c:v>8.9947219999999994</c:v>
                </c:pt>
                <c:pt idx="651">
                  <c:v>8.9433330000000009</c:v>
                </c:pt>
                <c:pt idx="652">
                  <c:v>8.8977780000000006</c:v>
                </c:pt>
                <c:pt idx="653">
                  <c:v>8.8377780000000001</c:v>
                </c:pt>
                <c:pt idx="654">
                  <c:v>8.7733329999999992</c:v>
                </c:pt>
                <c:pt idx="655">
                  <c:v>8.7063889999999997</c:v>
                </c:pt>
                <c:pt idx="656">
                  <c:v>8.6508330000000004</c:v>
                </c:pt>
                <c:pt idx="657">
                  <c:v>8.6258330000000001</c:v>
                </c:pt>
                <c:pt idx="658">
                  <c:v>8.6747219999999992</c:v>
                </c:pt>
                <c:pt idx="659">
                  <c:v>8.6597220000000004</c:v>
                </c:pt>
                <c:pt idx="660">
                  <c:v>8.6008329999999997</c:v>
                </c:pt>
                <c:pt idx="661">
                  <c:v>8.6161110000000001</c:v>
                </c:pt>
                <c:pt idx="662">
                  <c:v>8.6555560000000007</c:v>
                </c:pt>
                <c:pt idx="663">
                  <c:v>8.7072219999999998</c:v>
                </c:pt>
                <c:pt idx="664">
                  <c:v>8.7705559999999991</c:v>
                </c:pt>
                <c:pt idx="665">
                  <c:v>8.8330559999999991</c:v>
                </c:pt>
                <c:pt idx="666">
                  <c:v>8.8836110000000001</c:v>
                </c:pt>
                <c:pt idx="667">
                  <c:v>8.9258330000000008</c:v>
                </c:pt>
                <c:pt idx="668">
                  <c:v>8.9586109999999994</c:v>
                </c:pt>
                <c:pt idx="669">
                  <c:v>8.9194440000000004</c:v>
                </c:pt>
                <c:pt idx="670">
                  <c:v>8.8630560000000003</c:v>
                </c:pt>
                <c:pt idx="671">
                  <c:v>8.8455560000000002</c:v>
                </c:pt>
                <c:pt idx="672">
                  <c:v>8.8163889999999991</c:v>
                </c:pt>
                <c:pt idx="673">
                  <c:v>8.8283330000000007</c:v>
                </c:pt>
                <c:pt idx="674">
                  <c:v>8.8663889999999999</c:v>
                </c:pt>
                <c:pt idx="675">
                  <c:v>8.9263890000000004</c:v>
                </c:pt>
                <c:pt idx="676">
                  <c:v>8.9752779999999994</c:v>
                </c:pt>
                <c:pt idx="677">
                  <c:v>8.9986110000000004</c:v>
                </c:pt>
                <c:pt idx="678">
                  <c:v>8.9963890000000006</c:v>
                </c:pt>
                <c:pt idx="679">
                  <c:v>8.9483329999999999</c:v>
                </c:pt>
                <c:pt idx="680">
                  <c:v>8.8852779999999996</c:v>
                </c:pt>
                <c:pt idx="681">
                  <c:v>8.84</c:v>
                </c:pt>
                <c:pt idx="682">
                  <c:v>8.8677779999999995</c:v>
                </c:pt>
                <c:pt idx="683">
                  <c:v>8.8877780000000008</c:v>
                </c:pt>
                <c:pt idx="684">
                  <c:v>8.9194440000000004</c:v>
                </c:pt>
                <c:pt idx="685">
                  <c:v>8.9619440000000008</c:v>
                </c:pt>
                <c:pt idx="686">
                  <c:v>8.9752779999999994</c:v>
                </c:pt>
                <c:pt idx="687">
                  <c:v>8.9122219999999999</c:v>
                </c:pt>
                <c:pt idx="688">
                  <c:v>8.8327779999999994</c:v>
                </c:pt>
                <c:pt idx="689">
                  <c:v>8.7636109999999992</c:v>
                </c:pt>
                <c:pt idx="690">
                  <c:v>8.7130559999999999</c:v>
                </c:pt>
                <c:pt idx="691">
                  <c:v>8.6747219999999992</c:v>
                </c:pt>
                <c:pt idx="692">
                  <c:v>8.6119439999999994</c:v>
                </c:pt>
                <c:pt idx="693">
                  <c:v>8.5744439999999997</c:v>
                </c:pt>
                <c:pt idx="694">
                  <c:v>8.5466669999999993</c:v>
                </c:pt>
                <c:pt idx="695">
                  <c:v>8.5333330000000007</c:v>
                </c:pt>
                <c:pt idx="696">
                  <c:v>8.5072220000000005</c:v>
                </c:pt>
                <c:pt idx="697">
                  <c:v>8.4841669999999993</c:v>
                </c:pt>
                <c:pt idx="698">
                  <c:v>8.49</c:v>
                </c:pt>
                <c:pt idx="699">
                  <c:v>8.5141670000000005</c:v>
                </c:pt>
                <c:pt idx="700">
                  <c:v>8.5413890000000006</c:v>
                </c:pt>
                <c:pt idx="701">
                  <c:v>8.5608330000000006</c:v>
                </c:pt>
                <c:pt idx="702">
                  <c:v>8.5525000000000002</c:v>
                </c:pt>
                <c:pt idx="703">
                  <c:v>8.5050000000000008</c:v>
                </c:pt>
                <c:pt idx="704">
                  <c:v>8.5022219999999997</c:v>
                </c:pt>
                <c:pt idx="705">
                  <c:v>8.5030560000000008</c:v>
                </c:pt>
                <c:pt idx="706">
                  <c:v>8.5013889999999996</c:v>
                </c:pt>
                <c:pt idx="707">
                  <c:v>8.4869439999999994</c:v>
                </c:pt>
                <c:pt idx="708">
                  <c:v>8.4838889999999996</c:v>
                </c:pt>
                <c:pt idx="709">
                  <c:v>8.4944439999999997</c:v>
                </c:pt>
                <c:pt idx="710">
                  <c:v>8.5302779999999991</c:v>
                </c:pt>
                <c:pt idx="711">
                  <c:v>8.5244440000000008</c:v>
                </c:pt>
                <c:pt idx="712">
                  <c:v>8.4583329999999997</c:v>
                </c:pt>
                <c:pt idx="713">
                  <c:v>8.3947219999999998</c:v>
                </c:pt>
                <c:pt idx="714">
                  <c:v>8.358333</c:v>
                </c:pt>
                <c:pt idx="715">
                  <c:v>8.2963889999999996</c:v>
                </c:pt>
                <c:pt idx="716">
                  <c:v>8.25</c:v>
                </c:pt>
                <c:pt idx="717">
                  <c:v>8.2355560000000008</c:v>
                </c:pt>
                <c:pt idx="718">
                  <c:v>8.2636109999999992</c:v>
                </c:pt>
                <c:pt idx="719">
                  <c:v>8.3197220000000005</c:v>
                </c:pt>
                <c:pt idx="720">
                  <c:v>8.3149999999999995</c:v>
                </c:pt>
                <c:pt idx="721">
                  <c:v>8.2927780000000002</c:v>
                </c:pt>
                <c:pt idx="722">
                  <c:v>8.2483330000000006</c:v>
                </c:pt>
                <c:pt idx="723">
                  <c:v>8.1913889999999991</c:v>
                </c:pt>
                <c:pt idx="724">
                  <c:v>8.1561109999999992</c:v>
                </c:pt>
                <c:pt idx="725">
                  <c:v>8.1052780000000002</c:v>
                </c:pt>
                <c:pt idx="726">
                  <c:v>8.0744439999999997</c:v>
                </c:pt>
                <c:pt idx="727">
                  <c:v>8.0683330000000009</c:v>
                </c:pt>
                <c:pt idx="728">
                  <c:v>8.1352779999999996</c:v>
                </c:pt>
                <c:pt idx="729">
                  <c:v>8.1544439999999998</c:v>
                </c:pt>
                <c:pt idx="730">
                  <c:v>8.1633329999999997</c:v>
                </c:pt>
                <c:pt idx="731">
                  <c:v>8.1199999999999992</c:v>
                </c:pt>
                <c:pt idx="732">
                  <c:v>8.0997219999999999</c:v>
                </c:pt>
                <c:pt idx="733">
                  <c:v>8.0580560000000006</c:v>
                </c:pt>
                <c:pt idx="734">
                  <c:v>8.0311109999999992</c:v>
                </c:pt>
                <c:pt idx="735">
                  <c:v>8.0286109999999997</c:v>
                </c:pt>
                <c:pt idx="736">
                  <c:v>7.9658329999999999</c:v>
                </c:pt>
                <c:pt idx="737">
                  <c:v>7.887778</c:v>
                </c:pt>
                <c:pt idx="738">
                  <c:v>7.816389</c:v>
                </c:pt>
                <c:pt idx="739">
                  <c:v>7.7480560000000001</c:v>
                </c:pt>
                <c:pt idx="740">
                  <c:v>7.670833</c:v>
                </c:pt>
                <c:pt idx="741">
                  <c:v>7.6041670000000003</c:v>
                </c:pt>
                <c:pt idx="742">
                  <c:v>7.5355559999999997</c:v>
                </c:pt>
                <c:pt idx="743">
                  <c:v>7.476667</c:v>
                </c:pt>
                <c:pt idx="744">
                  <c:v>7.3966669999999999</c:v>
                </c:pt>
                <c:pt idx="745">
                  <c:v>7.3161110000000003</c:v>
                </c:pt>
                <c:pt idx="746">
                  <c:v>7.2525000000000004</c:v>
                </c:pt>
                <c:pt idx="747">
                  <c:v>7.2061109999999999</c:v>
                </c:pt>
                <c:pt idx="748">
                  <c:v>7.1619440000000001</c:v>
                </c:pt>
                <c:pt idx="749">
                  <c:v>7.1166669999999996</c:v>
                </c:pt>
                <c:pt idx="750">
                  <c:v>7.0908329999999999</c:v>
                </c:pt>
                <c:pt idx="751">
                  <c:v>7.1388889999999998</c:v>
                </c:pt>
                <c:pt idx="752">
                  <c:v>7.1136109999999997</c:v>
                </c:pt>
                <c:pt idx="753">
                  <c:v>7.0883330000000004</c:v>
                </c:pt>
                <c:pt idx="754">
                  <c:v>7.0455560000000004</c:v>
                </c:pt>
                <c:pt idx="755">
                  <c:v>7.0277779999999996</c:v>
                </c:pt>
                <c:pt idx="756">
                  <c:v>7.0155560000000001</c:v>
                </c:pt>
                <c:pt idx="757">
                  <c:v>7.0225</c:v>
                </c:pt>
                <c:pt idx="758">
                  <c:v>7.0580559999999997</c:v>
                </c:pt>
                <c:pt idx="759">
                  <c:v>7.1322219999999996</c:v>
                </c:pt>
                <c:pt idx="760">
                  <c:v>7.2</c:v>
                </c:pt>
                <c:pt idx="761">
                  <c:v>7.2688889999999997</c:v>
                </c:pt>
                <c:pt idx="762">
                  <c:v>7.3449999999999998</c:v>
                </c:pt>
                <c:pt idx="763">
                  <c:v>7.3463890000000003</c:v>
                </c:pt>
                <c:pt idx="764">
                  <c:v>7.2827780000000004</c:v>
                </c:pt>
                <c:pt idx="765">
                  <c:v>7.2338889999999996</c:v>
                </c:pt>
                <c:pt idx="766">
                  <c:v>7.2255560000000001</c:v>
                </c:pt>
                <c:pt idx="767">
                  <c:v>7.1744440000000003</c:v>
                </c:pt>
                <c:pt idx="768">
                  <c:v>7.1061110000000003</c:v>
                </c:pt>
                <c:pt idx="769">
                  <c:v>7.0750000000000002</c:v>
                </c:pt>
                <c:pt idx="770">
                  <c:v>7.0658329999999996</c:v>
                </c:pt>
                <c:pt idx="771">
                  <c:v>7.0022219999999997</c:v>
                </c:pt>
                <c:pt idx="772">
                  <c:v>6.9397219999999997</c:v>
                </c:pt>
                <c:pt idx="773">
                  <c:v>6.9011110000000002</c:v>
                </c:pt>
                <c:pt idx="774">
                  <c:v>6.8869439999999997</c:v>
                </c:pt>
                <c:pt idx="775">
                  <c:v>6.869167</c:v>
                </c:pt>
                <c:pt idx="776">
                  <c:v>6.8063890000000002</c:v>
                </c:pt>
                <c:pt idx="777">
                  <c:v>6.7466670000000004</c:v>
                </c:pt>
                <c:pt idx="778">
                  <c:v>6.6761109999999997</c:v>
                </c:pt>
                <c:pt idx="779">
                  <c:v>6.612222</c:v>
                </c:pt>
                <c:pt idx="780">
                  <c:v>6.5444440000000004</c:v>
                </c:pt>
                <c:pt idx="781">
                  <c:v>6.4733330000000002</c:v>
                </c:pt>
                <c:pt idx="782">
                  <c:v>6.4027779999999996</c:v>
                </c:pt>
                <c:pt idx="783">
                  <c:v>6.3391669999999998</c:v>
                </c:pt>
                <c:pt idx="784">
                  <c:v>6.286111</c:v>
                </c:pt>
                <c:pt idx="785">
                  <c:v>6.2225000000000001</c:v>
                </c:pt>
                <c:pt idx="786">
                  <c:v>6.1574999999999998</c:v>
                </c:pt>
                <c:pt idx="787">
                  <c:v>6.0877780000000001</c:v>
                </c:pt>
                <c:pt idx="788">
                  <c:v>6.0158329999999998</c:v>
                </c:pt>
                <c:pt idx="789">
                  <c:v>5.9469440000000002</c:v>
                </c:pt>
                <c:pt idx="791">
                  <c:v>8.4305559999999993</c:v>
                </c:pt>
                <c:pt idx="792">
                  <c:v>8.5427780000000002</c:v>
                </c:pt>
                <c:pt idx="793">
                  <c:v>8.634722</c:v>
                </c:pt>
                <c:pt idx="794">
                  <c:v>8.4344439999999992</c:v>
                </c:pt>
                <c:pt idx="795">
                  <c:v>8.4822220000000002</c:v>
                </c:pt>
                <c:pt idx="796">
                  <c:v>8.6369439999999997</c:v>
                </c:pt>
                <c:pt idx="797">
                  <c:v>8.6691669999999998</c:v>
                </c:pt>
                <c:pt idx="798">
                  <c:v>8.5397219999999994</c:v>
                </c:pt>
                <c:pt idx="799">
                  <c:v>8.4752779999999994</c:v>
                </c:pt>
                <c:pt idx="800">
                  <c:v>8.48</c:v>
                </c:pt>
                <c:pt idx="801">
                  <c:v>8.3511109999999995</c:v>
                </c:pt>
                <c:pt idx="802">
                  <c:v>8.3086110000000009</c:v>
                </c:pt>
                <c:pt idx="803">
                  <c:v>8.2613889999999994</c:v>
                </c:pt>
                <c:pt idx="804">
                  <c:v>7.878889</c:v>
                </c:pt>
                <c:pt idx="805">
                  <c:v>8.0733329999999999</c:v>
                </c:pt>
                <c:pt idx="806">
                  <c:v>8.1758330000000008</c:v>
                </c:pt>
                <c:pt idx="807">
                  <c:v>8.1766670000000001</c:v>
                </c:pt>
                <c:pt idx="808">
                  <c:v>8.3127779999999998</c:v>
                </c:pt>
                <c:pt idx="809">
                  <c:v>8.4352780000000003</c:v>
                </c:pt>
                <c:pt idx="810">
                  <c:v>8.5594439999999992</c:v>
                </c:pt>
                <c:pt idx="811">
                  <c:v>8.5447220000000002</c:v>
                </c:pt>
                <c:pt idx="812">
                  <c:v>8.4319439999999997</c:v>
                </c:pt>
                <c:pt idx="813">
                  <c:v>8.3241669999999992</c:v>
                </c:pt>
                <c:pt idx="814">
                  <c:v>8.1686110000000003</c:v>
                </c:pt>
                <c:pt idx="815">
                  <c:v>8.1216670000000004</c:v>
                </c:pt>
                <c:pt idx="816">
                  <c:v>8.0563889999999994</c:v>
                </c:pt>
                <c:pt idx="817">
                  <c:v>7.9083329999999998</c:v>
                </c:pt>
                <c:pt idx="818">
                  <c:v>7.76</c:v>
                </c:pt>
                <c:pt idx="819">
                  <c:v>7.713889</c:v>
                </c:pt>
                <c:pt idx="820">
                  <c:v>7.7322220000000002</c:v>
                </c:pt>
                <c:pt idx="821">
                  <c:v>7.5883330000000004</c:v>
                </c:pt>
                <c:pt idx="822">
                  <c:v>7.4416669999999998</c:v>
                </c:pt>
                <c:pt idx="823">
                  <c:v>7.3475000000000001</c:v>
                </c:pt>
                <c:pt idx="824">
                  <c:v>7.0744439999999997</c:v>
                </c:pt>
                <c:pt idx="825">
                  <c:v>6.9522219999999999</c:v>
                </c:pt>
                <c:pt idx="826">
                  <c:v>6.9383330000000001</c:v>
                </c:pt>
                <c:pt idx="827">
                  <c:v>7.0033329999999996</c:v>
                </c:pt>
                <c:pt idx="828">
                  <c:v>7.1630560000000001</c:v>
                </c:pt>
                <c:pt idx="829">
                  <c:v>7.1255559999999996</c:v>
                </c:pt>
                <c:pt idx="830">
                  <c:v>6.9752780000000003</c:v>
                </c:pt>
                <c:pt idx="831">
                  <c:v>6.9661109999999997</c:v>
                </c:pt>
                <c:pt idx="832">
                  <c:v>7.085</c:v>
                </c:pt>
                <c:pt idx="833">
                  <c:v>7.276389</c:v>
                </c:pt>
                <c:pt idx="834">
                  <c:v>7.4372220000000002</c:v>
                </c:pt>
                <c:pt idx="835">
                  <c:v>7.6041670000000003</c:v>
                </c:pt>
                <c:pt idx="836">
                  <c:v>7.5777780000000003</c:v>
                </c:pt>
                <c:pt idx="837">
                  <c:v>7.4280559999999998</c:v>
                </c:pt>
                <c:pt idx="838">
                  <c:v>7.398333</c:v>
                </c:pt>
                <c:pt idx="839">
                  <c:v>7.4558330000000002</c:v>
                </c:pt>
                <c:pt idx="840">
                  <c:v>7.6036109999999999</c:v>
                </c:pt>
                <c:pt idx="841">
                  <c:v>7.7658329999999998</c:v>
                </c:pt>
                <c:pt idx="842">
                  <c:v>7.9286110000000001</c:v>
                </c:pt>
                <c:pt idx="843">
                  <c:v>8.0649999999999995</c:v>
                </c:pt>
                <c:pt idx="844">
                  <c:v>8.1338889999999999</c:v>
                </c:pt>
                <c:pt idx="845">
                  <c:v>8.0569439999999997</c:v>
                </c:pt>
                <c:pt idx="846">
                  <c:v>7.9288889999999999</c:v>
                </c:pt>
                <c:pt idx="847">
                  <c:v>7.7491669999999999</c:v>
                </c:pt>
                <c:pt idx="848">
                  <c:v>7.5938889999999999</c:v>
                </c:pt>
                <c:pt idx="849">
                  <c:v>7.5133330000000003</c:v>
                </c:pt>
                <c:pt idx="850">
                  <c:v>7.5005559999999996</c:v>
                </c:pt>
                <c:pt idx="851">
                  <c:v>7.4086109999999996</c:v>
                </c:pt>
                <c:pt idx="852">
                  <c:v>7.5111109999999996</c:v>
                </c:pt>
                <c:pt idx="853">
                  <c:v>7.6888889999999996</c:v>
                </c:pt>
                <c:pt idx="854">
                  <c:v>7.6961110000000001</c:v>
                </c:pt>
                <c:pt idx="855">
                  <c:v>7.5636109999999999</c:v>
                </c:pt>
                <c:pt idx="856">
                  <c:v>7.4950000000000001</c:v>
                </c:pt>
                <c:pt idx="857">
                  <c:v>7.3741669999999999</c:v>
                </c:pt>
                <c:pt idx="858">
                  <c:v>7.2424999999999997</c:v>
                </c:pt>
                <c:pt idx="859">
                  <c:v>7.1319439999999998</c:v>
                </c:pt>
                <c:pt idx="860">
                  <c:v>7.125</c:v>
                </c:pt>
                <c:pt idx="861">
                  <c:v>7.0674999999999999</c:v>
                </c:pt>
                <c:pt idx="862">
                  <c:v>7.0616669999999999</c:v>
                </c:pt>
                <c:pt idx="863">
                  <c:v>6.8941670000000004</c:v>
                </c:pt>
                <c:pt idx="864">
                  <c:v>6.9022220000000001</c:v>
                </c:pt>
                <c:pt idx="865">
                  <c:v>6.8213889999999999</c:v>
                </c:pt>
                <c:pt idx="866">
                  <c:v>6.6974999999999998</c:v>
                </c:pt>
                <c:pt idx="867">
                  <c:v>6.6188890000000002</c:v>
                </c:pt>
                <c:pt idx="868">
                  <c:v>6.5758330000000003</c:v>
                </c:pt>
                <c:pt idx="869">
                  <c:v>6.4330559999999997</c:v>
                </c:pt>
                <c:pt idx="870">
                  <c:v>6.2883329999999997</c:v>
                </c:pt>
                <c:pt idx="871">
                  <c:v>6.2675000000000001</c:v>
                </c:pt>
                <c:pt idx="872">
                  <c:v>6.4333330000000002</c:v>
                </c:pt>
                <c:pt idx="873">
                  <c:v>6.51</c:v>
                </c:pt>
                <c:pt idx="874">
                  <c:v>6.6216670000000004</c:v>
                </c:pt>
                <c:pt idx="875">
                  <c:v>6.588889</c:v>
                </c:pt>
                <c:pt idx="876">
                  <c:v>6.4047219999999996</c:v>
                </c:pt>
                <c:pt idx="877">
                  <c:v>6.2422219999999999</c:v>
                </c:pt>
                <c:pt idx="878">
                  <c:v>6.338889</c:v>
                </c:pt>
                <c:pt idx="879">
                  <c:v>6.503889</c:v>
                </c:pt>
                <c:pt idx="880">
                  <c:v>6.6524999999999999</c:v>
                </c:pt>
                <c:pt idx="881">
                  <c:v>6.7916670000000003</c:v>
                </c:pt>
                <c:pt idx="882">
                  <c:v>6.8574999999999999</c:v>
                </c:pt>
                <c:pt idx="883">
                  <c:v>6.954167</c:v>
                </c:pt>
                <c:pt idx="884">
                  <c:v>6.9444439999999998</c:v>
                </c:pt>
                <c:pt idx="885">
                  <c:v>7.0833329999999997</c:v>
                </c:pt>
                <c:pt idx="886">
                  <c:v>7.2555560000000003</c:v>
                </c:pt>
                <c:pt idx="887">
                  <c:v>7.3938889999999997</c:v>
                </c:pt>
                <c:pt idx="888">
                  <c:v>7.355556</c:v>
                </c:pt>
                <c:pt idx="889">
                  <c:v>7.2316669999999998</c:v>
                </c:pt>
                <c:pt idx="890">
                  <c:v>7.0666669999999998</c:v>
                </c:pt>
                <c:pt idx="891">
                  <c:v>7.0377780000000003</c:v>
                </c:pt>
                <c:pt idx="892">
                  <c:v>6.9688889999999999</c:v>
                </c:pt>
                <c:pt idx="893">
                  <c:v>7.0911109999999997</c:v>
                </c:pt>
                <c:pt idx="894">
                  <c:v>7.1766670000000001</c:v>
                </c:pt>
                <c:pt idx="895">
                  <c:v>7.043056</c:v>
                </c:pt>
                <c:pt idx="896">
                  <c:v>6.9405559999999999</c:v>
                </c:pt>
                <c:pt idx="897">
                  <c:v>7.0088889999999999</c:v>
                </c:pt>
                <c:pt idx="898">
                  <c:v>6.9741669999999996</c:v>
                </c:pt>
                <c:pt idx="899">
                  <c:v>6.8791669999999998</c:v>
                </c:pt>
                <c:pt idx="900">
                  <c:v>6.8441669999999997</c:v>
                </c:pt>
                <c:pt idx="901">
                  <c:v>6.6780559999999998</c:v>
                </c:pt>
                <c:pt idx="902">
                  <c:v>6.5466670000000002</c:v>
                </c:pt>
                <c:pt idx="903">
                  <c:v>6.5336109999999996</c:v>
                </c:pt>
                <c:pt idx="904">
                  <c:v>6.3969440000000004</c:v>
                </c:pt>
                <c:pt idx="905">
                  <c:v>6.4233330000000004</c:v>
                </c:pt>
                <c:pt idx="906">
                  <c:v>6.5033329999999996</c:v>
                </c:pt>
                <c:pt idx="907">
                  <c:v>6.572222</c:v>
                </c:pt>
                <c:pt idx="908">
                  <c:v>6.5294439999999998</c:v>
                </c:pt>
                <c:pt idx="909">
                  <c:v>6.5319440000000002</c:v>
                </c:pt>
                <c:pt idx="910">
                  <c:v>6.4633330000000004</c:v>
                </c:pt>
                <c:pt idx="911">
                  <c:v>6.3769439999999999</c:v>
                </c:pt>
                <c:pt idx="912">
                  <c:v>6.2947220000000002</c:v>
                </c:pt>
                <c:pt idx="913">
                  <c:v>6.1566669999999997</c:v>
                </c:pt>
                <c:pt idx="914">
                  <c:v>6.0163890000000002</c:v>
                </c:pt>
                <c:pt idx="915">
                  <c:v>5.9749999999999996</c:v>
                </c:pt>
                <c:pt idx="916">
                  <c:v>6.02</c:v>
                </c:pt>
                <c:pt idx="917">
                  <c:v>5.9252779999999996</c:v>
                </c:pt>
                <c:pt idx="918">
                  <c:v>6.032222</c:v>
                </c:pt>
                <c:pt idx="919">
                  <c:v>6.1333330000000004</c:v>
                </c:pt>
                <c:pt idx="920">
                  <c:v>6.3075000000000001</c:v>
                </c:pt>
                <c:pt idx="921">
                  <c:v>6.2777779999999996</c:v>
                </c:pt>
                <c:pt idx="922">
                  <c:v>6.1022220000000003</c:v>
                </c:pt>
                <c:pt idx="923">
                  <c:v>6.0366669999999996</c:v>
                </c:pt>
                <c:pt idx="924">
                  <c:v>5.9494439999999997</c:v>
                </c:pt>
                <c:pt idx="925">
                  <c:v>5.8833330000000004</c:v>
                </c:pt>
                <c:pt idx="926">
                  <c:v>5.8724999999999996</c:v>
                </c:pt>
                <c:pt idx="927">
                  <c:v>5.924722</c:v>
                </c:pt>
                <c:pt idx="928">
                  <c:v>5.8258330000000003</c:v>
                </c:pt>
                <c:pt idx="929">
                  <c:v>5.668056</c:v>
                </c:pt>
                <c:pt idx="930">
                  <c:v>5.737222</c:v>
                </c:pt>
                <c:pt idx="931">
                  <c:v>5.6541670000000002</c:v>
                </c:pt>
                <c:pt idx="932">
                  <c:v>5.5311110000000001</c:v>
                </c:pt>
                <c:pt idx="933">
                  <c:v>5.41</c:v>
                </c:pt>
                <c:pt idx="934">
                  <c:v>5.4630559999999999</c:v>
                </c:pt>
                <c:pt idx="935">
                  <c:v>5.5797220000000003</c:v>
                </c:pt>
                <c:pt idx="936">
                  <c:v>5.4969440000000001</c:v>
                </c:pt>
                <c:pt idx="937">
                  <c:v>5.4466669999999997</c:v>
                </c:pt>
                <c:pt idx="938">
                  <c:v>5.3283329999999998</c:v>
                </c:pt>
                <c:pt idx="939">
                  <c:v>5.2563890000000004</c:v>
                </c:pt>
                <c:pt idx="940">
                  <c:v>5.145556</c:v>
                </c:pt>
                <c:pt idx="942">
                  <c:v>5.1180560000000002</c:v>
                </c:pt>
                <c:pt idx="943">
                  <c:v>5.1966669999999997</c:v>
                </c:pt>
                <c:pt idx="944">
                  <c:v>5.3136109999999999</c:v>
                </c:pt>
                <c:pt idx="945">
                  <c:v>5.3577779999999997</c:v>
                </c:pt>
                <c:pt idx="946">
                  <c:v>5.2491669999999999</c:v>
                </c:pt>
                <c:pt idx="947">
                  <c:v>5.1727780000000001</c:v>
                </c:pt>
                <c:pt idx="948">
                  <c:v>5.1108330000000004</c:v>
                </c:pt>
                <c:pt idx="949">
                  <c:v>5.200278</c:v>
                </c:pt>
                <c:pt idx="950">
                  <c:v>5.3686109999999996</c:v>
                </c:pt>
                <c:pt idx="951">
                  <c:v>5.519444</c:v>
                </c:pt>
                <c:pt idx="952">
                  <c:v>5.7055559999999996</c:v>
                </c:pt>
                <c:pt idx="953">
                  <c:v>5.9080560000000002</c:v>
                </c:pt>
                <c:pt idx="954">
                  <c:v>5.835</c:v>
                </c:pt>
                <c:pt idx="955">
                  <c:v>5.7575000000000003</c:v>
                </c:pt>
                <c:pt idx="956">
                  <c:v>5.894444</c:v>
                </c:pt>
                <c:pt idx="957">
                  <c:v>6.0661110000000003</c:v>
                </c:pt>
                <c:pt idx="958">
                  <c:v>6.1986109999999996</c:v>
                </c:pt>
                <c:pt idx="959">
                  <c:v>6.3605559999999999</c:v>
                </c:pt>
                <c:pt idx="960">
                  <c:v>6.5183330000000002</c:v>
                </c:pt>
                <c:pt idx="961">
                  <c:v>6.6516669999999998</c:v>
                </c:pt>
                <c:pt idx="962">
                  <c:v>6.7841670000000001</c:v>
                </c:pt>
                <c:pt idx="963">
                  <c:v>6.7458330000000002</c:v>
                </c:pt>
                <c:pt idx="964">
                  <c:v>6.5758330000000003</c:v>
                </c:pt>
                <c:pt idx="965">
                  <c:v>6.5091669999999997</c:v>
                </c:pt>
                <c:pt idx="966">
                  <c:v>6.3533330000000001</c:v>
                </c:pt>
                <c:pt idx="967">
                  <c:v>6.1966669999999997</c:v>
                </c:pt>
                <c:pt idx="968">
                  <c:v>6.0769440000000001</c:v>
                </c:pt>
                <c:pt idx="969">
                  <c:v>6.1780559999999998</c:v>
                </c:pt>
                <c:pt idx="970">
                  <c:v>6.0552780000000004</c:v>
                </c:pt>
                <c:pt idx="971">
                  <c:v>5.9577780000000002</c:v>
                </c:pt>
                <c:pt idx="972">
                  <c:v>5.9024999999999999</c:v>
                </c:pt>
                <c:pt idx="973">
                  <c:v>5.947222</c:v>
                </c:pt>
                <c:pt idx="974">
                  <c:v>5.782222</c:v>
                </c:pt>
                <c:pt idx="975">
                  <c:v>5.6263889999999996</c:v>
                </c:pt>
                <c:pt idx="976">
                  <c:v>5.7391670000000001</c:v>
                </c:pt>
                <c:pt idx="977">
                  <c:v>5.6130560000000003</c:v>
                </c:pt>
                <c:pt idx="978">
                  <c:v>5.4491670000000001</c:v>
                </c:pt>
                <c:pt idx="979">
                  <c:v>5.3161110000000003</c:v>
                </c:pt>
                <c:pt idx="980">
                  <c:v>5.29</c:v>
                </c:pt>
                <c:pt idx="981">
                  <c:v>5.1736110000000002</c:v>
                </c:pt>
                <c:pt idx="982">
                  <c:v>5.0727779999999996</c:v>
                </c:pt>
                <c:pt idx="983">
                  <c:v>5.2130559999999999</c:v>
                </c:pt>
                <c:pt idx="984">
                  <c:v>5.1633329999999997</c:v>
                </c:pt>
                <c:pt idx="985">
                  <c:v>5.0688890000000004</c:v>
                </c:pt>
                <c:pt idx="986">
                  <c:v>4.9594440000000004</c:v>
                </c:pt>
                <c:pt idx="987">
                  <c:v>4.9636110000000002</c:v>
                </c:pt>
                <c:pt idx="988">
                  <c:v>5.094722</c:v>
                </c:pt>
                <c:pt idx="989">
                  <c:v>5.273333</c:v>
                </c:pt>
                <c:pt idx="990">
                  <c:v>5.2816669999999997</c:v>
                </c:pt>
                <c:pt idx="991">
                  <c:v>5.1091670000000002</c:v>
                </c:pt>
                <c:pt idx="992">
                  <c:v>5.2630559999999997</c:v>
                </c:pt>
                <c:pt idx="993">
                  <c:v>5.4244440000000003</c:v>
                </c:pt>
                <c:pt idx="994">
                  <c:v>5.3369439999999999</c:v>
                </c:pt>
                <c:pt idx="995">
                  <c:v>5.1486109999999998</c:v>
                </c:pt>
                <c:pt idx="996">
                  <c:v>5.293056</c:v>
                </c:pt>
                <c:pt idx="997">
                  <c:v>5.2630559999999997</c:v>
                </c:pt>
                <c:pt idx="998">
                  <c:v>5.1375000000000002</c:v>
                </c:pt>
                <c:pt idx="999">
                  <c:v>5.25</c:v>
                </c:pt>
                <c:pt idx="1000">
                  <c:v>5.433611</c:v>
                </c:pt>
                <c:pt idx="1001">
                  <c:v>5.5444440000000004</c:v>
                </c:pt>
                <c:pt idx="1002">
                  <c:v>5.6802780000000004</c:v>
                </c:pt>
                <c:pt idx="1003">
                  <c:v>5.8049999999999997</c:v>
                </c:pt>
                <c:pt idx="1004">
                  <c:v>5.6852780000000003</c:v>
                </c:pt>
                <c:pt idx="1005">
                  <c:v>5.5505560000000003</c:v>
                </c:pt>
                <c:pt idx="1006">
                  <c:v>5.4105559999999997</c:v>
                </c:pt>
                <c:pt idx="1007">
                  <c:v>5.3274999999999997</c:v>
                </c:pt>
                <c:pt idx="1008">
                  <c:v>5.1858329999999997</c:v>
                </c:pt>
                <c:pt idx="1009">
                  <c:v>5.0408330000000001</c:v>
                </c:pt>
                <c:pt idx="1010">
                  <c:v>4.9944439999999997</c:v>
                </c:pt>
                <c:pt idx="1011">
                  <c:v>5.1100000000000003</c:v>
                </c:pt>
                <c:pt idx="1012">
                  <c:v>5.0483330000000004</c:v>
                </c:pt>
                <c:pt idx="1013">
                  <c:v>5.0244439999999999</c:v>
                </c:pt>
                <c:pt idx="1014">
                  <c:v>5.1047219999999998</c:v>
                </c:pt>
                <c:pt idx="1015">
                  <c:v>5.2519439999999999</c:v>
                </c:pt>
                <c:pt idx="1016">
                  <c:v>5.4327779999999999</c:v>
                </c:pt>
                <c:pt idx="1017">
                  <c:v>5.6174999999999997</c:v>
                </c:pt>
                <c:pt idx="1018">
                  <c:v>5.4897220000000004</c:v>
                </c:pt>
                <c:pt idx="1019">
                  <c:v>5.3313889999999997</c:v>
                </c:pt>
                <c:pt idx="1020">
                  <c:v>5.3202780000000001</c:v>
                </c:pt>
                <c:pt idx="1021">
                  <c:v>5.3075000000000001</c:v>
                </c:pt>
                <c:pt idx="1022">
                  <c:v>5.2469440000000001</c:v>
                </c:pt>
                <c:pt idx="1023">
                  <c:v>5.1197220000000003</c:v>
                </c:pt>
                <c:pt idx="1024">
                  <c:v>4.9830560000000004</c:v>
                </c:pt>
                <c:pt idx="1025">
                  <c:v>5.0180559999999996</c:v>
                </c:pt>
                <c:pt idx="1026">
                  <c:v>4.9950000000000001</c:v>
                </c:pt>
                <c:pt idx="1027">
                  <c:v>5.1580560000000002</c:v>
                </c:pt>
                <c:pt idx="1028">
                  <c:v>5.2180559999999998</c:v>
                </c:pt>
                <c:pt idx="1029">
                  <c:v>5.0977779999999999</c:v>
                </c:pt>
                <c:pt idx="1030">
                  <c:v>5.1074999999999999</c:v>
                </c:pt>
                <c:pt idx="1031">
                  <c:v>5.223611</c:v>
                </c:pt>
                <c:pt idx="1032">
                  <c:v>5.2072219999999998</c:v>
                </c:pt>
                <c:pt idx="1033">
                  <c:v>5.3144439999999999</c:v>
                </c:pt>
                <c:pt idx="1034">
                  <c:v>5.4322220000000003</c:v>
                </c:pt>
                <c:pt idx="1035">
                  <c:v>5.545833</c:v>
                </c:pt>
                <c:pt idx="1036">
                  <c:v>5.7033329999999998</c:v>
                </c:pt>
                <c:pt idx="1037">
                  <c:v>5.7908330000000001</c:v>
                </c:pt>
                <c:pt idx="1038">
                  <c:v>5.8969440000000004</c:v>
                </c:pt>
                <c:pt idx="1039">
                  <c:v>6.0280560000000003</c:v>
                </c:pt>
                <c:pt idx="1040">
                  <c:v>5.9819440000000004</c:v>
                </c:pt>
                <c:pt idx="1041">
                  <c:v>6.1469440000000004</c:v>
                </c:pt>
                <c:pt idx="1042">
                  <c:v>6.2291670000000003</c:v>
                </c:pt>
                <c:pt idx="1043">
                  <c:v>6.3822219999999996</c:v>
                </c:pt>
                <c:pt idx="1044">
                  <c:v>6.5105560000000002</c:v>
                </c:pt>
                <c:pt idx="1045">
                  <c:v>6.4927780000000004</c:v>
                </c:pt>
                <c:pt idx="1046">
                  <c:v>6.4997220000000002</c:v>
                </c:pt>
                <c:pt idx="1047">
                  <c:v>6.5852779999999997</c:v>
                </c:pt>
                <c:pt idx="1048">
                  <c:v>6.6516669999999998</c:v>
                </c:pt>
                <c:pt idx="1049">
                  <c:v>6.7122219999999997</c:v>
                </c:pt>
                <c:pt idx="1050">
                  <c:v>6.6758329999999999</c:v>
                </c:pt>
                <c:pt idx="1051">
                  <c:v>6.6058329999999996</c:v>
                </c:pt>
                <c:pt idx="1052">
                  <c:v>6.6197220000000003</c:v>
                </c:pt>
                <c:pt idx="1053">
                  <c:v>6.7744439999999999</c:v>
                </c:pt>
                <c:pt idx="1054">
                  <c:v>6.9424999999999999</c:v>
                </c:pt>
                <c:pt idx="1055">
                  <c:v>6.9494439999999997</c:v>
                </c:pt>
                <c:pt idx="1056">
                  <c:v>6.9855559999999999</c:v>
                </c:pt>
                <c:pt idx="1057">
                  <c:v>7.1486109999999998</c:v>
                </c:pt>
                <c:pt idx="1058">
                  <c:v>7.2502779999999998</c:v>
                </c:pt>
                <c:pt idx="1059">
                  <c:v>7.3441669999999997</c:v>
                </c:pt>
                <c:pt idx="1060">
                  <c:v>7.2916670000000003</c:v>
                </c:pt>
                <c:pt idx="1061">
                  <c:v>7.2794439999999998</c:v>
                </c:pt>
                <c:pt idx="1062">
                  <c:v>7.2655560000000001</c:v>
                </c:pt>
                <c:pt idx="1063">
                  <c:v>7.3841669999999997</c:v>
                </c:pt>
                <c:pt idx="1064">
                  <c:v>7.4924999999999997</c:v>
                </c:pt>
                <c:pt idx="1065">
                  <c:v>7.5463889999999996</c:v>
                </c:pt>
                <c:pt idx="1066">
                  <c:v>7.4419440000000003</c:v>
                </c:pt>
                <c:pt idx="1067">
                  <c:v>7.365278</c:v>
                </c:pt>
                <c:pt idx="1068">
                  <c:v>7.3244439999999997</c:v>
                </c:pt>
                <c:pt idx="1069">
                  <c:v>7.371111</c:v>
                </c:pt>
                <c:pt idx="1070">
                  <c:v>7.5408330000000001</c:v>
                </c:pt>
                <c:pt idx="1071">
                  <c:v>7.693333</c:v>
                </c:pt>
                <c:pt idx="1072">
                  <c:v>7.5547219999999999</c:v>
                </c:pt>
                <c:pt idx="1073">
                  <c:v>7.4047219999999996</c:v>
                </c:pt>
                <c:pt idx="1074">
                  <c:v>7.3827780000000001</c:v>
                </c:pt>
                <c:pt idx="1075">
                  <c:v>7.3411109999999997</c:v>
                </c:pt>
                <c:pt idx="1076">
                  <c:v>7.201111</c:v>
                </c:pt>
                <c:pt idx="1077">
                  <c:v>7.083056</c:v>
                </c:pt>
                <c:pt idx="1078">
                  <c:v>7.0138889999999998</c:v>
                </c:pt>
                <c:pt idx="1079">
                  <c:v>7.068333</c:v>
                </c:pt>
                <c:pt idx="1080">
                  <c:v>7.1677780000000002</c:v>
                </c:pt>
                <c:pt idx="1081">
                  <c:v>7.1030559999999996</c:v>
                </c:pt>
                <c:pt idx="1082">
                  <c:v>7.1019439999999996</c:v>
                </c:pt>
                <c:pt idx="1083">
                  <c:v>6.9780559999999996</c:v>
                </c:pt>
                <c:pt idx="1084">
                  <c:v>6.8930559999999996</c:v>
                </c:pt>
                <c:pt idx="1085">
                  <c:v>6.9991669999999999</c:v>
                </c:pt>
                <c:pt idx="1086">
                  <c:v>6.9675000000000002</c:v>
                </c:pt>
                <c:pt idx="1087">
                  <c:v>6.86</c:v>
                </c:pt>
                <c:pt idx="1088">
                  <c:v>6.7216670000000001</c:v>
                </c:pt>
                <c:pt idx="1089">
                  <c:v>6.5905560000000003</c:v>
                </c:pt>
                <c:pt idx="1090">
                  <c:v>6.5027780000000002</c:v>
                </c:pt>
                <c:pt idx="1091">
                  <c:v>6.3891669999999996</c:v>
                </c:pt>
                <c:pt idx="1092">
                  <c:v>6.3519439999999996</c:v>
                </c:pt>
                <c:pt idx="1093">
                  <c:v>6.2880560000000001</c:v>
                </c:pt>
                <c:pt idx="1094">
                  <c:v>6.2586110000000001</c:v>
                </c:pt>
                <c:pt idx="1095">
                  <c:v>6.0958329999999998</c:v>
                </c:pt>
                <c:pt idx="1096">
                  <c:v>5.9319439999999997</c:v>
                </c:pt>
                <c:pt idx="1097">
                  <c:v>5.8305559999999996</c:v>
                </c:pt>
                <c:pt idx="1098">
                  <c:v>5.791944</c:v>
                </c:pt>
                <c:pt idx="1099">
                  <c:v>5.670833</c:v>
                </c:pt>
                <c:pt idx="1100">
                  <c:v>5.6369439999999997</c:v>
                </c:pt>
                <c:pt idx="1101">
                  <c:v>5.4744440000000001</c:v>
                </c:pt>
                <c:pt idx="1102">
                  <c:v>5.4394439999999999</c:v>
                </c:pt>
                <c:pt idx="1103">
                  <c:v>5.3030559999999998</c:v>
                </c:pt>
                <c:pt idx="1104">
                  <c:v>5.1749999999999998</c:v>
                </c:pt>
                <c:pt idx="1105">
                  <c:v>5.0241670000000003</c:v>
                </c:pt>
                <c:pt idx="1106">
                  <c:v>5.0308330000000003</c:v>
                </c:pt>
                <c:pt idx="1107">
                  <c:v>5.1427779999999998</c:v>
                </c:pt>
                <c:pt idx="1108">
                  <c:v>5.1022220000000003</c:v>
                </c:pt>
                <c:pt idx="1109">
                  <c:v>5.083056</c:v>
                </c:pt>
                <c:pt idx="1110">
                  <c:v>4.9861110000000002</c:v>
                </c:pt>
                <c:pt idx="1111">
                  <c:v>5.0333329999999998</c:v>
                </c:pt>
                <c:pt idx="1112">
                  <c:v>5.1302779999999997</c:v>
                </c:pt>
                <c:pt idx="1113">
                  <c:v>5.1697220000000002</c:v>
                </c:pt>
                <c:pt idx="1114">
                  <c:v>5.2719440000000004</c:v>
                </c:pt>
                <c:pt idx="1115">
                  <c:v>5.3627779999999996</c:v>
                </c:pt>
                <c:pt idx="1116">
                  <c:v>5.4905559999999998</c:v>
                </c:pt>
                <c:pt idx="1117">
                  <c:v>5.505833</c:v>
                </c:pt>
                <c:pt idx="1118">
                  <c:v>5.3505560000000001</c:v>
                </c:pt>
                <c:pt idx="1119">
                  <c:v>5.2761110000000002</c:v>
                </c:pt>
                <c:pt idx="1120">
                  <c:v>5.3047219999999999</c:v>
                </c:pt>
                <c:pt idx="1121">
                  <c:v>5.4058330000000003</c:v>
                </c:pt>
                <c:pt idx="1122">
                  <c:v>5.4011110000000002</c:v>
                </c:pt>
                <c:pt idx="1123">
                  <c:v>5.4327779999999999</c:v>
                </c:pt>
                <c:pt idx="1124">
                  <c:v>5.3550000000000004</c:v>
                </c:pt>
                <c:pt idx="1125">
                  <c:v>5.3069439999999997</c:v>
                </c:pt>
                <c:pt idx="1126">
                  <c:v>5.2180559999999998</c:v>
                </c:pt>
                <c:pt idx="1127">
                  <c:v>5.0766669999999996</c:v>
                </c:pt>
                <c:pt idx="1128">
                  <c:v>4.9474999999999998</c:v>
                </c:pt>
                <c:pt idx="1129">
                  <c:v>5.020556</c:v>
                </c:pt>
                <c:pt idx="1130">
                  <c:v>5.1238890000000001</c:v>
                </c:pt>
                <c:pt idx="1131">
                  <c:v>5.1208330000000002</c:v>
                </c:pt>
                <c:pt idx="1132">
                  <c:v>5.201111</c:v>
                </c:pt>
                <c:pt idx="1133">
                  <c:v>5.1541670000000002</c:v>
                </c:pt>
                <c:pt idx="1134">
                  <c:v>5.1319439999999998</c:v>
                </c:pt>
                <c:pt idx="1135">
                  <c:v>5.2052779999999998</c:v>
                </c:pt>
                <c:pt idx="1136">
                  <c:v>5.3502780000000003</c:v>
                </c:pt>
                <c:pt idx="1137">
                  <c:v>5.4522219999999999</c:v>
                </c:pt>
                <c:pt idx="1138">
                  <c:v>5.5255559999999999</c:v>
                </c:pt>
                <c:pt idx="1139">
                  <c:v>5.6277780000000002</c:v>
                </c:pt>
                <c:pt idx="1140">
                  <c:v>5.6775000000000002</c:v>
                </c:pt>
                <c:pt idx="1141">
                  <c:v>5.74</c:v>
                </c:pt>
                <c:pt idx="1142">
                  <c:v>5.736389</c:v>
                </c:pt>
                <c:pt idx="1143">
                  <c:v>5.7077780000000002</c:v>
                </c:pt>
                <c:pt idx="1144">
                  <c:v>5.7141669999999998</c:v>
                </c:pt>
                <c:pt idx="1145">
                  <c:v>5.6336110000000001</c:v>
                </c:pt>
                <c:pt idx="1146">
                  <c:v>5.4663890000000004</c:v>
                </c:pt>
                <c:pt idx="1147">
                  <c:v>5.37</c:v>
                </c:pt>
                <c:pt idx="1148">
                  <c:v>5.266667</c:v>
                </c:pt>
                <c:pt idx="1149">
                  <c:v>5.2591669999999997</c:v>
                </c:pt>
                <c:pt idx="1150">
                  <c:v>5.280278</c:v>
                </c:pt>
                <c:pt idx="1151">
                  <c:v>5.1449999999999996</c:v>
                </c:pt>
                <c:pt idx="1152">
                  <c:v>5.2161109999999997</c:v>
                </c:pt>
                <c:pt idx="1153">
                  <c:v>5.174722</c:v>
                </c:pt>
                <c:pt idx="1154">
                  <c:v>5.2980559999999999</c:v>
                </c:pt>
                <c:pt idx="1155">
                  <c:v>5.2494440000000004</c:v>
                </c:pt>
                <c:pt idx="1156">
                  <c:v>5.326111</c:v>
                </c:pt>
                <c:pt idx="1157">
                  <c:v>5.3550000000000004</c:v>
                </c:pt>
                <c:pt idx="1158">
                  <c:v>5.4319439999999997</c:v>
                </c:pt>
                <c:pt idx="1159">
                  <c:v>5.5316669999999997</c:v>
                </c:pt>
                <c:pt idx="1160">
                  <c:v>5.5877780000000001</c:v>
                </c:pt>
                <c:pt idx="1161">
                  <c:v>5.6405560000000001</c:v>
                </c:pt>
                <c:pt idx="1162">
                  <c:v>5.7344439999999999</c:v>
                </c:pt>
                <c:pt idx="1163">
                  <c:v>5.6486109999999998</c:v>
                </c:pt>
                <c:pt idx="1164">
                  <c:v>5.5877780000000001</c:v>
                </c:pt>
                <c:pt idx="1165">
                  <c:v>5.6144439999999998</c:v>
                </c:pt>
                <c:pt idx="1166">
                  <c:v>5.6244440000000004</c:v>
                </c:pt>
                <c:pt idx="1167">
                  <c:v>5.6341669999999997</c:v>
                </c:pt>
                <c:pt idx="1168">
                  <c:v>5.5674999999999999</c:v>
                </c:pt>
                <c:pt idx="1169">
                  <c:v>5.6505559999999999</c:v>
                </c:pt>
                <c:pt idx="1170">
                  <c:v>5.7491669999999999</c:v>
                </c:pt>
                <c:pt idx="1171">
                  <c:v>5.708056</c:v>
                </c:pt>
                <c:pt idx="1172">
                  <c:v>5.7052779999999998</c:v>
                </c:pt>
                <c:pt idx="1173">
                  <c:v>5.7761110000000002</c:v>
                </c:pt>
                <c:pt idx="1174">
                  <c:v>5.706944</c:v>
                </c:pt>
                <c:pt idx="1175">
                  <c:v>5.7208329999999998</c:v>
                </c:pt>
                <c:pt idx="1176">
                  <c:v>5.7844439999999997</c:v>
                </c:pt>
                <c:pt idx="1177">
                  <c:v>5.8805560000000003</c:v>
                </c:pt>
                <c:pt idx="1178">
                  <c:v>5.8552780000000002</c:v>
                </c:pt>
                <c:pt idx="1179">
                  <c:v>5.9225000000000003</c:v>
                </c:pt>
                <c:pt idx="1180">
                  <c:v>5.9888890000000004</c:v>
                </c:pt>
                <c:pt idx="1181">
                  <c:v>6.1066669999999998</c:v>
                </c:pt>
                <c:pt idx="1182">
                  <c:v>6.1441670000000004</c:v>
                </c:pt>
                <c:pt idx="1183">
                  <c:v>6.138611</c:v>
                </c:pt>
                <c:pt idx="1184">
                  <c:v>6.2436109999999996</c:v>
                </c:pt>
                <c:pt idx="1185">
                  <c:v>6.1763890000000004</c:v>
                </c:pt>
                <c:pt idx="1186">
                  <c:v>6.2119439999999999</c:v>
                </c:pt>
                <c:pt idx="1187">
                  <c:v>6.3211110000000001</c:v>
                </c:pt>
                <c:pt idx="1188">
                  <c:v>6.4522219999999999</c:v>
                </c:pt>
                <c:pt idx="1189">
                  <c:v>6.588889</c:v>
                </c:pt>
                <c:pt idx="1190">
                  <c:v>6.6930560000000003</c:v>
                </c:pt>
                <c:pt idx="1191">
                  <c:v>6.5958329999999998</c:v>
                </c:pt>
                <c:pt idx="1192">
                  <c:v>6.6947219999999996</c:v>
                </c:pt>
                <c:pt idx="1193">
                  <c:v>6.8119440000000004</c:v>
                </c:pt>
                <c:pt idx="1194">
                  <c:v>6.9083329999999998</c:v>
                </c:pt>
                <c:pt idx="1195">
                  <c:v>7.0144440000000001</c:v>
                </c:pt>
                <c:pt idx="1196">
                  <c:v>6.9305560000000002</c:v>
                </c:pt>
                <c:pt idx="1197">
                  <c:v>7.0108329999999999</c:v>
                </c:pt>
                <c:pt idx="1198">
                  <c:v>7.0736109999999996</c:v>
                </c:pt>
                <c:pt idx="1199">
                  <c:v>6.9088890000000003</c:v>
                </c:pt>
                <c:pt idx="1200">
                  <c:v>6.7658329999999998</c:v>
                </c:pt>
                <c:pt idx="1201">
                  <c:v>6.6919440000000003</c:v>
                </c:pt>
                <c:pt idx="1202">
                  <c:v>6.6119440000000003</c:v>
                </c:pt>
                <c:pt idx="1203">
                  <c:v>6.585</c:v>
                </c:pt>
                <c:pt idx="1204">
                  <c:v>6.5316669999999997</c:v>
                </c:pt>
                <c:pt idx="1205">
                  <c:v>6.5138889999999998</c:v>
                </c:pt>
                <c:pt idx="1206">
                  <c:v>6.5158329999999998</c:v>
                </c:pt>
                <c:pt idx="1207">
                  <c:v>6.5383329999999997</c:v>
                </c:pt>
                <c:pt idx="1208">
                  <c:v>6.5833329999999997</c:v>
                </c:pt>
                <c:pt idx="1209">
                  <c:v>6.6261109999999999</c:v>
                </c:pt>
                <c:pt idx="1210">
                  <c:v>6.4708329999999998</c:v>
                </c:pt>
                <c:pt idx="1211">
                  <c:v>6.3611110000000002</c:v>
                </c:pt>
                <c:pt idx="1212">
                  <c:v>6.280278</c:v>
                </c:pt>
                <c:pt idx="1213">
                  <c:v>6.1958330000000004</c:v>
                </c:pt>
                <c:pt idx="1214">
                  <c:v>6.1027779999999998</c:v>
                </c:pt>
                <c:pt idx="1215">
                  <c:v>6.0983330000000002</c:v>
                </c:pt>
                <c:pt idx="1216">
                  <c:v>6.1727780000000001</c:v>
                </c:pt>
                <c:pt idx="1217">
                  <c:v>6.2611109999999996</c:v>
                </c:pt>
                <c:pt idx="1218">
                  <c:v>6.2219439999999997</c:v>
                </c:pt>
                <c:pt idx="1219">
                  <c:v>6.0755559999999997</c:v>
                </c:pt>
                <c:pt idx="1220">
                  <c:v>5.9777779999999998</c:v>
                </c:pt>
                <c:pt idx="1221">
                  <c:v>5.9730559999999997</c:v>
                </c:pt>
                <c:pt idx="1222">
                  <c:v>5.8158329999999996</c:v>
                </c:pt>
                <c:pt idx="1223">
                  <c:v>5.7408330000000003</c:v>
                </c:pt>
                <c:pt idx="1224">
                  <c:v>5.6602779999999999</c:v>
                </c:pt>
                <c:pt idx="1225">
                  <c:v>5.71</c:v>
                </c:pt>
                <c:pt idx="1226">
                  <c:v>5.8111110000000004</c:v>
                </c:pt>
                <c:pt idx="1227">
                  <c:v>5.93</c:v>
                </c:pt>
                <c:pt idx="1228">
                  <c:v>5.9547220000000003</c:v>
                </c:pt>
                <c:pt idx="1229">
                  <c:v>5.9508330000000003</c:v>
                </c:pt>
                <c:pt idx="1230">
                  <c:v>6.0758330000000003</c:v>
                </c:pt>
                <c:pt idx="1231">
                  <c:v>6.1811109999999996</c:v>
                </c:pt>
                <c:pt idx="1232">
                  <c:v>6.3111110000000004</c:v>
                </c:pt>
                <c:pt idx="1233">
                  <c:v>6.1930560000000003</c:v>
                </c:pt>
                <c:pt idx="1234">
                  <c:v>6.0869439999999999</c:v>
                </c:pt>
                <c:pt idx="1235">
                  <c:v>5.933611</c:v>
                </c:pt>
                <c:pt idx="1236">
                  <c:v>5.8402779999999996</c:v>
                </c:pt>
                <c:pt idx="1237">
                  <c:v>5.7413889999999999</c:v>
                </c:pt>
                <c:pt idx="1238">
                  <c:v>5.8783329999999996</c:v>
                </c:pt>
                <c:pt idx="1239">
                  <c:v>5.7638889999999998</c:v>
                </c:pt>
                <c:pt idx="1240">
                  <c:v>5.7377779999999996</c:v>
                </c:pt>
                <c:pt idx="1241">
                  <c:v>5.608333</c:v>
                </c:pt>
                <c:pt idx="1242">
                  <c:v>5.5258330000000004</c:v>
                </c:pt>
                <c:pt idx="1243">
                  <c:v>5.5183330000000002</c:v>
                </c:pt>
                <c:pt idx="1244">
                  <c:v>5.4086109999999996</c:v>
                </c:pt>
                <c:pt idx="1245">
                  <c:v>5.49</c:v>
                </c:pt>
                <c:pt idx="1246">
                  <c:v>5.4938890000000002</c:v>
                </c:pt>
                <c:pt idx="1247">
                  <c:v>5.49</c:v>
                </c:pt>
                <c:pt idx="1248">
                  <c:v>5.4086109999999996</c:v>
                </c:pt>
                <c:pt idx="1249">
                  <c:v>5.4188890000000001</c:v>
                </c:pt>
                <c:pt idx="1250">
                  <c:v>5.3766670000000003</c:v>
                </c:pt>
                <c:pt idx="1251">
                  <c:v>5.2872219999999999</c:v>
                </c:pt>
                <c:pt idx="1252">
                  <c:v>5.2030560000000001</c:v>
                </c:pt>
                <c:pt idx="1253">
                  <c:v>5.1825000000000001</c:v>
                </c:pt>
                <c:pt idx="1254">
                  <c:v>5.2155560000000003</c:v>
                </c:pt>
                <c:pt idx="1255">
                  <c:v>5.2769440000000003</c:v>
                </c:pt>
                <c:pt idx="1256">
                  <c:v>5.3305559999999996</c:v>
                </c:pt>
                <c:pt idx="1257">
                  <c:v>5.3505560000000001</c:v>
                </c:pt>
                <c:pt idx="1258">
                  <c:v>5.4019440000000003</c:v>
                </c:pt>
                <c:pt idx="1259">
                  <c:v>5.41</c:v>
                </c:pt>
                <c:pt idx="1260">
                  <c:v>5.431667</c:v>
                </c:pt>
                <c:pt idx="1261">
                  <c:v>5.4855559999999999</c:v>
                </c:pt>
                <c:pt idx="1262">
                  <c:v>5.576111</c:v>
                </c:pt>
                <c:pt idx="1263">
                  <c:v>5.5569439999999997</c:v>
                </c:pt>
                <c:pt idx="1264">
                  <c:v>5.6219440000000001</c:v>
                </c:pt>
                <c:pt idx="1265">
                  <c:v>5.6224999999999996</c:v>
                </c:pt>
                <c:pt idx="1266">
                  <c:v>5.7180559999999998</c:v>
                </c:pt>
                <c:pt idx="1267">
                  <c:v>5.8483330000000002</c:v>
                </c:pt>
                <c:pt idx="1268">
                  <c:v>5.8083330000000002</c:v>
                </c:pt>
                <c:pt idx="1269">
                  <c:v>5.6811109999999996</c:v>
                </c:pt>
                <c:pt idx="1270">
                  <c:v>5.7130559999999999</c:v>
                </c:pt>
                <c:pt idx="1271">
                  <c:v>5.776389</c:v>
                </c:pt>
                <c:pt idx="1272">
                  <c:v>5.7797219999999996</c:v>
                </c:pt>
                <c:pt idx="1273">
                  <c:v>5.8636109999999997</c:v>
                </c:pt>
                <c:pt idx="1274">
                  <c:v>6.0288890000000004</c:v>
                </c:pt>
                <c:pt idx="1275">
                  <c:v>6.1319439999999998</c:v>
                </c:pt>
                <c:pt idx="1276">
                  <c:v>5.987222</c:v>
                </c:pt>
                <c:pt idx="1277">
                  <c:v>5.8769439999999999</c:v>
                </c:pt>
                <c:pt idx="1278">
                  <c:v>5.9491670000000001</c:v>
                </c:pt>
                <c:pt idx="1279">
                  <c:v>5.9824999999999999</c:v>
                </c:pt>
                <c:pt idx="1280">
                  <c:v>6.0541669999999996</c:v>
                </c:pt>
                <c:pt idx="1281">
                  <c:v>6.1577780000000004</c:v>
                </c:pt>
                <c:pt idx="1282">
                  <c:v>6.2244440000000001</c:v>
                </c:pt>
                <c:pt idx="1283">
                  <c:v>6.2655560000000001</c:v>
                </c:pt>
                <c:pt idx="1284">
                  <c:v>6.2897220000000003</c:v>
                </c:pt>
                <c:pt idx="1285">
                  <c:v>6.2530559999999999</c:v>
                </c:pt>
                <c:pt idx="1286">
                  <c:v>6.3305559999999996</c:v>
                </c:pt>
                <c:pt idx="1287">
                  <c:v>6.4888890000000004</c:v>
                </c:pt>
                <c:pt idx="1288">
                  <c:v>6.4372220000000002</c:v>
                </c:pt>
                <c:pt idx="1289">
                  <c:v>6.3019439999999998</c:v>
                </c:pt>
                <c:pt idx="1290">
                  <c:v>6.2161109999999997</c:v>
                </c:pt>
                <c:pt idx="1291">
                  <c:v>6.1361109999999996</c:v>
                </c:pt>
                <c:pt idx="1292">
                  <c:v>6.0274999999999999</c:v>
                </c:pt>
                <c:pt idx="1293">
                  <c:v>6.0569439999999997</c:v>
                </c:pt>
                <c:pt idx="1294">
                  <c:v>6.1427779999999998</c:v>
                </c:pt>
                <c:pt idx="1295">
                  <c:v>6.1927779999999997</c:v>
                </c:pt>
                <c:pt idx="1296">
                  <c:v>6.217778</c:v>
                </c:pt>
                <c:pt idx="1297">
                  <c:v>6.0949999999999998</c:v>
                </c:pt>
                <c:pt idx="1298">
                  <c:v>6.2022219999999999</c:v>
                </c:pt>
                <c:pt idx="1299">
                  <c:v>6.3224999999999998</c:v>
                </c:pt>
                <c:pt idx="1300">
                  <c:v>6.454167</c:v>
                </c:pt>
                <c:pt idx="1301">
                  <c:v>6.2986110000000002</c:v>
                </c:pt>
                <c:pt idx="1302">
                  <c:v>6.1761109999999997</c:v>
                </c:pt>
                <c:pt idx="1303">
                  <c:v>6.0716669999999997</c:v>
                </c:pt>
                <c:pt idx="1304">
                  <c:v>6.0094440000000002</c:v>
                </c:pt>
                <c:pt idx="1305">
                  <c:v>6.0933330000000003</c:v>
                </c:pt>
                <c:pt idx="1306">
                  <c:v>5.9558330000000002</c:v>
                </c:pt>
                <c:pt idx="1307">
                  <c:v>5.8722219999999998</c:v>
                </c:pt>
                <c:pt idx="1308">
                  <c:v>5.9694440000000002</c:v>
                </c:pt>
                <c:pt idx="1309">
                  <c:v>6.0102779999999996</c:v>
                </c:pt>
                <c:pt idx="1310">
                  <c:v>6.0083330000000004</c:v>
                </c:pt>
                <c:pt idx="1311">
                  <c:v>6.0733329999999999</c:v>
                </c:pt>
                <c:pt idx="1312">
                  <c:v>6.164167</c:v>
                </c:pt>
                <c:pt idx="1313">
                  <c:v>6.3172220000000001</c:v>
                </c:pt>
                <c:pt idx="1314">
                  <c:v>6.4655560000000003</c:v>
                </c:pt>
                <c:pt idx="1315">
                  <c:v>6.6238890000000001</c:v>
                </c:pt>
                <c:pt idx="1316">
                  <c:v>6.4855559999999999</c:v>
                </c:pt>
                <c:pt idx="1317">
                  <c:v>6.3336110000000003</c:v>
                </c:pt>
                <c:pt idx="1318">
                  <c:v>6.1919440000000003</c:v>
                </c:pt>
                <c:pt idx="1319">
                  <c:v>6.0861109999999998</c:v>
                </c:pt>
                <c:pt idx="1320">
                  <c:v>6.0958329999999998</c:v>
                </c:pt>
                <c:pt idx="1321">
                  <c:v>6.2272220000000003</c:v>
                </c:pt>
                <c:pt idx="1322">
                  <c:v>6.072222</c:v>
                </c:pt>
                <c:pt idx="1323">
                  <c:v>5.9647220000000001</c:v>
                </c:pt>
                <c:pt idx="1324">
                  <c:v>5.875</c:v>
                </c:pt>
                <c:pt idx="1325">
                  <c:v>5.7750000000000004</c:v>
                </c:pt>
                <c:pt idx="1326">
                  <c:v>5.7052779999999998</c:v>
                </c:pt>
                <c:pt idx="1327">
                  <c:v>5.71</c:v>
                </c:pt>
                <c:pt idx="1328">
                  <c:v>5.6111110000000002</c:v>
                </c:pt>
                <c:pt idx="1329">
                  <c:v>5.5338890000000003</c:v>
                </c:pt>
                <c:pt idx="1330">
                  <c:v>5.5519439999999998</c:v>
                </c:pt>
                <c:pt idx="1331">
                  <c:v>5.6177780000000004</c:v>
                </c:pt>
                <c:pt idx="1332">
                  <c:v>5.5327780000000004</c:v>
                </c:pt>
                <c:pt idx="1333">
                  <c:v>5.5611110000000004</c:v>
                </c:pt>
                <c:pt idx="1334">
                  <c:v>5.5219440000000004</c:v>
                </c:pt>
                <c:pt idx="1336">
                  <c:v>5.5119439999999997</c:v>
                </c:pt>
                <c:pt idx="1337">
                  <c:v>5.5744439999999997</c:v>
                </c:pt>
                <c:pt idx="1338">
                  <c:v>5.6322219999999996</c:v>
                </c:pt>
                <c:pt idx="1339">
                  <c:v>5.7388890000000004</c:v>
                </c:pt>
                <c:pt idx="1340">
                  <c:v>5.8783329999999996</c:v>
                </c:pt>
                <c:pt idx="1341">
                  <c:v>5.97</c:v>
                </c:pt>
                <c:pt idx="1342">
                  <c:v>6.0608329999999997</c:v>
                </c:pt>
                <c:pt idx="1343">
                  <c:v>6.1830559999999997</c:v>
                </c:pt>
                <c:pt idx="1344">
                  <c:v>6.3033330000000003</c:v>
                </c:pt>
                <c:pt idx="1345">
                  <c:v>6.4591669999999999</c:v>
                </c:pt>
                <c:pt idx="1346">
                  <c:v>6.6077779999999997</c:v>
                </c:pt>
                <c:pt idx="1347">
                  <c:v>6.6197220000000003</c:v>
                </c:pt>
                <c:pt idx="1348">
                  <c:v>6.7022219999999999</c:v>
                </c:pt>
                <c:pt idx="1349">
                  <c:v>6.6413890000000002</c:v>
                </c:pt>
                <c:pt idx="1350">
                  <c:v>6.7252780000000003</c:v>
                </c:pt>
                <c:pt idx="1351">
                  <c:v>6.8491669999999996</c:v>
                </c:pt>
                <c:pt idx="1352">
                  <c:v>6.737222</c:v>
                </c:pt>
                <c:pt idx="1353">
                  <c:v>6.6730559999999999</c:v>
                </c:pt>
                <c:pt idx="1354">
                  <c:v>6.5730560000000002</c:v>
                </c:pt>
                <c:pt idx="1355">
                  <c:v>6.5861109999999998</c:v>
                </c:pt>
                <c:pt idx="1356">
                  <c:v>6.7283330000000001</c:v>
                </c:pt>
                <c:pt idx="1357">
                  <c:v>6.7419440000000002</c:v>
                </c:pt>
                <c:pt idx="1358">
                  <c:v>6.7102779999999997</c:v>
                </c:pt>
                <c:pt idx="1359">
                  <c:v>6.7191669999999997</c:v>
                </c:pt>
                <c:pt idx="1360">
                  <c:v>6.8174999999999999</c:v>
                </c:pt>
                <c:pt idx="1361">
                  <c:v>6.8111110000000004</c:v>
                </c:pt>
                <c:pt idx="1362">
                  <c:v>6.9069440000000002</c:v>
                </c:pt>
                <c:pt idx="1363">
                  <c:v>6.9452780000000001</c:v>
                </c:pt>
                <c:pt idx="1364">
                  <c:v>6.8072220000000003</c:v>
                </c:pt>
                <c:pt idx="1365">
                  <c:v>6.9033329999999999</c:v>
                </c:pt>
                <c:pt idx="1366">
                  <c:v>6.9369440000000004</c:v>
                </c:pt>
                <c:pt idx="1367">
                  <c:v>6.9772220000000003</c:v>
                </c:pt>
                <c:pt idx="1368">
                  <c:v>6.9861110000000002</c:v>
                </c:pt>
                <c:pt idx="1369">
                  <c:v>7.1019439999999996</c:v>
                </c:pt>
                <c:pt idx="1370">
                  <c:v>7.1224999999999996</c:v>
                </c:pt>
                <c:pt idx="1371">
                  <c:v>7.0269440000000003</c:v>
                </c:pt>
                <c:pt idx="1372">
                  <c:v>7.0397220000000003</c:v>
                </c:pt>
                <c:pt idx="1373">
                  <c:v>7.1283329999999996</c:v>
                </c:pt>
                <c:pt idx="1374">
                  <c:v>7.236389</c:v>
                </c:pt>
                <c:pt idx="1375">
                  <c:v>7.3363889999999996</c:v>
                </c:pt>
                <c:pt idx="1376">
                  <c:v>7.4838889999999996</c:v>
                </c:pt>
                <c:pt idx="1377">
                  <c:v>7.5866670000000003</c:v>
                </c:pt>
                <c:pt idx="1378">
                  <c:v>7.6547219999999996</c:v>
                </c:pt>
                <c:pt idx="1379">
                  <c:v>7.7405559999999998</c:v>
                </c:pt>
                <c:pt idx="1380">
                  <c:v>7.898333</c:v>
                </c:pt>
                <c:pt idx="1381">
                  <c:v>7.9430560000000003</c:v>
                </c:pt>
                <c:pt idx="1382">
                  <c:v>8.0283329999999999</c:v>
                </c:pt>
                <c:pt idx="1383">
                  <c:v>8.043056</c:v>
                </c:pt>
                <c:pt idx="1384">
                  <c:v>8.0405560000000005</c:v>
                </c:pt>
                <c:pt idx="1385">
                  <c:v>8.1033329999999992</c:v>
                </c:pt>
                <c:pt idx="1386">
                  <c:v>8.1824999999999992</c:v>
                </c:pt>
                <c:pt idx="1387">
                  <c:v>8.2380560000000003</c:v>
                </c:pt>
                <c:pt idx="1388">
                  <c:v>8.2949999999999999</c:v>
                </c:pt>
                <c:pt idx="1389">
                  <c:v>8.3986110000000007</c:v>
                </c:pt>
                <c:pt idx="1390">
                  <c:v>8.4611110000000007</c:v>
                </c:pt>
                <c:pt idx="1391">
                  <c:v>8.5319439999999993</c:v>
                </c:pt>
                <c:pt idx="1392">
                  <c:v>8.5858329999999992</c:v>
                </c:pt>
                <c:pt idx="1393">
                  <c:v>8.6813889999999994</c:v>
                </c:pt>
                <c:pt idx="1394">
                  <c:v>8.7113890000000005</c:v>
                </c:pt>
                <c:pt idx="1395">
                  <c:v>8.8249999999999993</c:v>
                </c:pt>
                <c:pt idx="1396">
                  <c:v>8.9144439999999996</c:v>
                </c:pt>
                <c:pt idx="1397">
                  <c:v>8.9141670000000008</c:v>
                </c:pt>
                <c:pt idx="1399">
                  <c:v>8.2819439999999993</c:v>
                </c:pt>
                <c:pt idx="1400">
                  <c:v>8.2847220000000004</c:v>
                </c:pt>
                <c:pt idx="1401">
                  <c:v>8.2911110000000008</c:v>
                </c:pt>
                <c:pt idx="1402">
                  <c:v>8.3094439999999992</c:v>
                </c:pt>
                <c:pt idx="1403">
                  <c:v>8.3372220000000006</c:v>
                </c:pt>
                <c:pt idx="1404">
                  <c:v>8.3613890000000008</c:v>
                </c:pt>
                <c:pt idx="1405">
                  <c:v>8.3883329999999994</c:v>
                </c:pt>
                <c:pt idx="1406">
                  <c:v>8.4555559999999996</c:v>
                </c:pt>
                <c:pt idx="1407">
                  <c:v>8.3994440000000008</c:v>
                </c:pt>
                <c:pt idx="1408">
                  <c:v>8.4358330000000006</c:v>
                </c:pt>
                <c:pt idx="1409">
                  <c:v>8.3861109999999996</c:v>
                </c:pt>
                <c:pt idx="1410">
                  <c:v>8.3522219999999994</c:v>
                </c:pt>
                <c:pt idx="1411">
                  <c:v>8.3552780000000002</c:v>
                </c:pt>
                <c:pt idx="1412">
                  <c:v>8.3866669999999992</c:v>
                </c:pt>
                <c:pt idx="1413">
                  <c:v>8.4508329999999994</c:v>
                </c:pt>
                <c:pt idx="1414">
                  <c:v>8.5230560000000004</c:v>
                </c:pt>
                <c:pt idx="1415">
                  <c:v>8.6013889999999993</c:v>
                </c:pt>
                <c:pt idx="1416">
                  <c:v>8.5744439999999997</c:v>
                </c:pt>
                <c:pt idx="1417">
                  <c:v>8.4977780000000003</c:v>
                </c:pt>
                <c:pt idx="1418">
                  <c:v>8.4413889999999991</c:v>
                </c:pt>
                <c:pt idx="1419">
                  <c:v>8.3788889999999991</c:v>
                </c:pt>
                <c:pt idx="1420">
                  <c:v>8.3327779999999994</c:v>
                </c:pt>
                <c:pt idx="1421">
                  <c:v>8.2974999999999994</c:v>
                </c:pt>
                <c:pt idx="1422">
                  <c:v>8.2938890000000001</c:v>
                </c:pt>
                <c:pt idx="1423">
                  <c:v>8.2963889999999996</c:v>
                </c:pt>
                <c:pt idx="1425">
                  <c:v>8.4294440000000002</c:v>
                </c:pt>
                <c:pt idx="1426">
                  <c:v>8.4966670000000004</c:v>
                </c:pt>
                <c:pt idx="1427">
                  <c:v>8.5549999999999997</c:v>
                </c:pt>
                <c:pt idx="1428">
                  <c:v>8.5924999999999994</c:v>
                </c:pt>
                <c:pt idx="1429">
                  <c:v>8.5702780000000001</c:v>
                </c:pt>
                <c:pt idx="1430">
                  <c:v>8.4936109999999996</c:v>
                </c:pt>
                <c:pt idx="1431">
                  <c:v>8.4288889999999999</c:v>
                </c:pt>
                <c:pt idx="1433">
                  <c:v>8.3508329999999997</c:v>
                </c:pt>
                <c:pt idx="1434">
                  <c:v>8.3813890000000004</c:v>
                </c:pt>
                <c:pt idx="1435">
                  <c:v>8.3697219999999994</c:v>
                </c:pt>
                <c:pt idx="1436">
                  <c:v>8.34</c:v>
                </c:pt>
                <c:pt idx="1437">
                  <c:v>8.3080560000000006</c:v>
                </c:pt>
                <c:pt idx="1438">
                  <c:v>8.3074999999999992</c:v>
                </c:pt>
                <c:pt idx="1439">
                  <c:v>8.3538890000000006</c:v>
                </c:pt>
                <c:pt idx="1441">
                  <c:v>8.7072219999999998</c:v>
                </c:pt>
                <c:pt idx="1443">
                  <c:v>8.6127780000000005</c:v>
                </c:pt>
                <c:pt idx="1444">
                  <c:v>8.552778</c:v>
                </c:pt>
                <c:pt idx="1445">
                  <c:v>8.5747219999999995</c:v>
                </c:pt>
                <c:pt idx="1446">
                  <c:v>8.6402780000000003</c:v>
                </c:pt>
                <c:pt idx="1448">
                  <c:v>8.4436110000000006</c:v>
                </c:pt>
                <c:pt idx="1450">
                  <c:v>8.5480560000000008</c:v>
                </c:pt>
                <c:pt idx="1451">
                  <c:v>8.5163890000000002</c:v>
                </c:pt>
                <c:pt idx="1453">
                  <c:v>8.4733330000000002</c:v>
                </c:pt>
                <c:pt idx="1454">
                  <c:v>8.4544440000000005</c:v>
                </c:pt>
                <c:pt idx="1456">
                  <c:v>8.7419440000000002</c:v>
                </c:pt>
                <c:pt idx="1458">
                  <c:v>8.6919439999999994</c:v>
                </c:pt>
                <c:pt idx="1459">
                  <c:v>8.6383329999999994</c:v>
                </c:pt>
                <c:pt idx="1460">
                  <c:v>8.5919439999999998</c:v>
                </c:pt>
                <c:pt idx="1461">
                  <c:v>8.6336110000000001</c:v>
                </c:pt>
                <c:pt idx="1462">
                  <c:v>8.6969440000000002</c:v>
                </c:pt>
                <c:pt idx="1464">
                  <c:v>8.4791670000000003</c:v>
                </c:pt>
                <c:pt idx="1465">
                  <c:v>8.4408329999999996</c:v>
                </c:pt>
                <c:pt idx="1466">
                  <c:v>8.4883330000000008</c:v>
                </c:pt>
                <c:pt idx="1468">
                  <c:v>8.8297220000000003</c:v>
                </c:pt>
                <c:pt idx="1470">
                  <c:v>8.5969440000000006</c:v>
                </c:pt>
                <c:pt idx="1471">
                  <c:v>8.5869440000000008</c:v>
                </c:pt>
                <c:pt idx="1472">
                  <c:v>8.5952780000000004</c:v>
                </c:pt>
                <c:pt idx="1474">
                  <c:v>8.6875</c:v>
                </c:pt>
                <c:pt idx="1475">
                  <c:v>8.6955559999999998</c:v>
                </c:pt>
                <c:pt idx="1477">
                  <c:v>8.4355560000000001</c:v>
                </c:pt>
                <c:pt idx="1478">
                  <c:v>8.4124999999999996</c:v>
                </c:pt>
                <c:pt idx="1479">
                  <c:v>8.4508329999999994</c:v>
                </c:pt>
                <c:pt idx="1481">
                  <c:v>8.5050000000000008</c:v>
                </c:pt>
                <c:pt idx="1483">
                  <c:v>8.1338889999999999</c:v>
                </c:pt>
                <c:pt idx="1484">
                  <c:v>8.1388890000000007</c:v>
                </c:pt>
                <c:pt idx="1485">
                  <c:v>8.1852780000000003</c:v>
                </c:pt>
                <c:pt idx="1487">
                  <c:v>7.87</c:v>
                </c:pt>
                <c:pt idx="1488">
                  <c:v>7.8661110000000001</c:v>
                </c:pt>
                <c:pt idx="1489">
                  <c:v>7.9388889999999996</c:v>
                </c:pt>
                <c:pt idx="1490">
                  <c:v>7.9424999999999999</c:v>
                </c:pt>
                <c:pt idx="1492">
                  <c:v>7.7374999999999998</c:v>
                </c:pt>
                <c:pt idx="1493">
                  <c:v>7.6697220000000002</c:v>
                </c:pt>
                <c:pt idx="1494">
                  <c:v>7.7044439999999996</c:v>
                </c:pt>
                <c:pt idx="1495">
                  <c:v>7.7883329999999997</c:v>
                </c:pt>
                <c:pt idx="1497">
                  <c:v>7.549722</c:v>
                </c:pt>
                <c:pt idx="1498">
                  <c:v>7.5086110000000001</c:v>
                </c:pt>
                <c:pt idx="1499">
                  <c:v>7.4686110000000001</c:v>
                </c:pt>
                <c:pt idx="1500">
                  <c:v>7.5213890000000001</c:v>
                </c:pt>
                <c:pt idx="1501">
                  <c:v>7.6038889999999997</c:v>
                </c:pt>
                <c:pt idx="1503">
                  <c:v>7.3777780000000002</c:v>
                </c:pt>
                <c:pt idx="1504">
                  <c:v>7.4280559999999998</c:v>
                </c:pt>
                <c:pt idx="1506">
                  <c:v>7.2755559999999999</c:v>
                </c:pt>
                <c:pt idx="1507">
                  <c:v>7.2019440000000001</c:v>
                </c:pt>
                <c:pt idx="1508">
                  <c:v>7.1408329999999998</c:v>
                </c:pt>
                <c:pt idx="1509">
                  <c:v>7.183611</c:v>
                </c:pt>
                <c:pt idx="1510">
                  <c:v>7.2613890000000003</c:v>
                </c:pt>
                <c:pt idx="1511">
                  <c:v>7.3408329999999999</c:v>
                </c:pt>
                <c:pt idx="1513">
                  <c:v>7.0111109999999996</c:v>
                </c:pt>
                <c:pt idx="1514">
                  <c:v>6.9394439999999999</c:v>
                </c:pt>
                <c:pt idx="1515">
                  <c:v>6.8813890000000004</c:v>
                </c:pt>
                <c:pt idx="1516">
                  <c:v>6.9544439999999996</c:v>
                </c:pt>
                <c:pt idx="1517">
                  <c:v>7.0327780000000004</c:v>
                </c:pt>
                <c:pt idx="1519">
                  <c:v>6.8724999999999996</c:v>
                </c:pt>
                <c:pt idx="1520">
                  <c:v>6.898333</c:v>
                </c:pt>
                <c:pt idx="1522">
                  <c:v>6.737222</c:v>
                </c:pt>
                <c:pt idx="1523">
                  <c:v>6.7569439999999998</c:v>
                </c:pt>
                <c:pt idx="1524">
                  <c:v>6.7022219999999999</c:v>
                </c:pt>
                <c:pt idx="1525">
                  <c:v>6.6586109999999996</c:v>
                </c:pt>
                <c:pt idx="1526">
                  <c:v>6.7119439999999999</c:v>
                </c:pt>
                <c:pt idx="1527">
                  <c:v>6.7758330000000004</c:v>
                </c:pt>
                <c:pt idx="1529">
                  <c:v>6.5708330000000004</c:v>
                </c:pt>
                <c:pt idx="1531">
                  <c:v>6.4391670000000003</c:v>
                </c:pt>
                <c:pt idx="1532">
                  <c:v>6.4963889999999997</c:v>
                </c:pt>
                <c:pt idx="1534">
                  <c:v>6.2725</c:v>
                </c:pt>
                <c:pt idx="1535">
                  <c:v>6.204167</c:v>
                </c:pt>
                <c:pt idx="1536">
                  <c:v>6.1433330000000002</c:v>
                </c:pt>
                <c:pt idx="1537">
                  <c:v>6.1172219999999999</c:v>
                </c:pt>
                <c:pt idx="1538">
                  <c:v>6.1633329999999997</c:v>
                </c:pt>
                <c:pt idx="1539">
                  <c:v>6.2394439999999998</c:v>
                </c:pt>
                <c:pt idx="1540">
                  <c:v>6.3147219999999997</c:v>
                </c:pt>
                <c:pt idx="1542">
                  <c:v>6.0625</c:v>
                </c:pt>
                <c:pt idx="1544">
                  <c:v>8.9250000000000007</c:v>
                </c:pt>
                <c:pt idx="1545">
                  <c:v>8.8594439999999999</c:v>
                </c:pt>
                <c:pt idx="1546">
                  <c:v>8.8227779999999996</c:v>
                </c:pt>
                <c:pt idx="1547">
                  <c:v>8.8397220000000001</c:v>
                </c:pt>
                <c:pt idx="1548">
                  <c:v>8.8952779999999994</c:v>
                </c:pt>
                <c:pt idx="1549">
                  <c:v>8.9563889999999997</c:v>
                </c:pt>
                <c:pt idx="1551">
                  <c:v>-2.2847219999999999</c:v>
                </c:pt>
                <c:pt idx="1552">
                  <c:v>-2.2327780000000002</c:v>
                </c:pt>
                <c:pt idx="1554">
                  <c:v>-1.8638889999999999</c:v>
                </c:pt>
                <c:pt idx="1556">
                  <c:v>-2.9727779999999999</c:v>
                </c:pt>
                <c:pt idx="1558">
                  <c:v>-3.1672220000000002</c:v>
                </c:pt>
                <c:pt idx="1559">
                  <c:v>-3.119167</c:v>
                </c:pt>
                <c:pt idx="1560">
                  <c:v>-3.0666669999999998</c:v>
                </c:pt>
                <c:pt idx="1561">
                  <c:v>-3.1238890000000001</c:v>
                </c:pt>
                <c:pt idx="1562">
                  <c:v>-3.1944439999999998</c:v>
                </c:pt>
                <c:pt idx="1563">
                  <c:v>-3.237778</c:v>
                </c:pt>
                <c:pt idx="1564">
                  <c:v>-3.253889</c:v>
                </c:pt>
                <c:pt idx="1566">
                  <c:v>-2.8497219999999999</c:v>
                </c:pt>
                <c:pt idx="1567">
                  <c:v>-2.835833</c:v>
                </c:pt>
                <c:pt idx="1569">
                  <c:v>-2.802778</c:v>
                </c:pt>
                <c:pt idx="1571">
                  <c:v>-3.138611</c:v>
                </c:pt>
                <c:pt idx="1573">
                  <c:v>-3.4224999999999999</c:v>
                </c:pt>
                <c:pt idx="1574">
                  <c:v>-3.48</c:v>
                </c:pt>
                <c:pt idx="1576">
                  <c:v>-5.0719440000000002</c:v>
                </c:pt>
                <c:pt idx="1577">
                  <c:v>-5.0961109999999996</c:v>
                </c:pt>
                <c:pt idx="1578">
                  <c:v>-5.1077779999999997</c:v>
                </c:pt>
                <c:pt idx="1580">
                  <c:v>-4.0294439999999998</c:v>
                </c:pt>
                <c:pt idx="1582">
                  <c:v>-3.006389</c:v>
                </c:pt>
                <c:pt idx="1584">
                  <c:v>-2.019444</c:v>
                </c:pt>
                <c:pt idx="1585">
                  <c:v>-2.023333</c:v>
                </c:pt>
                <c:pt idx="1586">
                  <c:v>-2.0755560000000002</c:v>
                </c:pt>
                <c:pt idx="1587">
                  <c:v>-2.1394440000000001</c:v>
                </c:pt>
                <c:pt idx="1588">
                  <c:v>-2.1813889999999998</c:v>
                </c:pt>
                <c:pt idx="1589">
                  <c:v>-2.23</c:v>
                </c:pt>
                <c:pt idx="1590">
                  <c:v>-2.2394440000000002</c:v>
                </c:pt>
                <c:pt idx="1591">
                  <c:v>-2.1974999999999998</c:v>
                </c:pt>
                <c:pt idx="1592">
                  <c:v>-2.1208330000000002</c:v>
                </c:pt>
                <c:pt idx="1594">
                  <c:v>-2.3694440000000001</c:v>
                </c:pt>
                <c:pt idx="1596">
                  <c:v>-2.5288889999999999</c:v>
                </c:pt>
                <c:pt idx="1597">
                  <c:v>-2.561944</c:v>
                </c:pt>
                <c:pt idx="1598">
                  <c:v>-2.6477780000000002</c:v>
                </c:pt>
                <c:pt idx="1599">
                  <c:v>-2.6522220000000001</c:v>
                </c:pt>
                <c:pt idx="1600">
                  <c:v>-2.585833</c:v>
                </c:pt>
                <c:pt idx="1601">
                  <c:v>-2.5272220000000001</c:v>
                </c:pt>
                <c:pt idx="1603">
                  <c:v>-2.2000000000000002</c:v>
                </c:pt>
                <c:pt idx="1604">
                  <c:v>-2.197778</c:v>
                </c:pt>
                <c:pt idx="1606">
                  <c:v>4.3380559999999999</c:v>
                </c:pt>
                <c:pt idx="1607">
                  <c:v>4.2755559999999999</c:v>
                </c:pt>
                <c:pt idx="1609">
                  <c:v>5.8624999999999998</c:v>
                </c:pt>
                <c:pt idx="1610">
                  <c:v>5.8311109999999999</c:v>
                </c:pt>
                <c:pt idx="1611">
                  <c:v>5.7824999999999998</c:v>
                </c:pt>
                <c:pt idx="1612">
                  <c:v>5.6994439999999997</c:v>
                </c:pt>
                <c:pt idx="1613">
                  <c:v>5.6316670000000002</c:v>
                </c:pt>
                <c:pt idx="1614">
                  <c:v>5.5613890000000001</c:v>
                </c:pt>
                <c:pt idx="1615">
                  <c:v>5.5549999999999997</c:v>
                </c:pt>
                <c:pt idx="1616">
                  <c:v>5.505833</c:v>
                </c:pt>
                <c:pt idx="1617">
                  <c:v>5.4225000000000003</c:v>
                </c:pt>
                <c:pt idx="1618">
                  <c:v>5.3577779999999997</c:v>
                </c:pt>
                <c:pt idx="1619">
                  <c:v>5.289167</c:v>
                </c:pt>
                <c:pt idx="1620">
                  <c:v>5.1988890000000003</c:v>
                </c:pt>
                <c:pt idx="1621">
                  <c:v>5.141667</c:v>
                </c:pt>
                <c:pt idx="1622">
                  <c:v>5.1722219999999997</c:v>
                </c:pt>
                <c:pt idx="1623">
                  <c:v>5.2355559999999999</c:v>
                </c:pt>
                <c:pt idx="1624">
                  <c:v>5.3013890000000004</c:v>
                </c:pt>
                <c:pt idx="1625">
                  <c:v>5.369167</c:v>
                </c:pt>
                <c:pt idx="1626">
                  <c:v>5.4383330000000001</c:v>
                </c:pt>
                <c:pt idx="1627">
                  <c:v>5.4780559999999996</c:v>
                </c:pt>
                <c:pt idx="1628">
                  <c:v>5.5452779999999997</c:v>
                </c:pt>
                <c:pt idx="1629">
                  <c:v>5.6194439999999997</c:v>
                </c:pt>
                <c:pt idx="1630">
                  <c:v>5.6863890000000001</c:v>
                </c:pt>
                <c:pt idx="1631">
                  <c:v>5.7797219999999996</c:v>
                </c:pt>
                <c:pt idx="1633">
                  <c:v>4.9127780000000003</c:v>
                </c:pt>
                <c:pt idx="1634">
                  <c:v>4.91</c:v>
                </c:pt>
                <c:pt idx="1635">
                  <c:v>4.8730560000000001</c:v>
                </c:pt>
                <c:pt idx="1636">
                  <c:v>4.8169440000000003</c:v>
                </c:pt>
                <c:pt idx="1637">
                  <c:v>4.7536110000000003</c:v>
                </c:pt>
                <c:pt idx="1638">
                  <c:v>4.7072219999999998</c:v>
                </c:pt>
                <c:pt idx="1639">
                  <c:v>4.737222</c:v>
                </c:pt>
                <c:pt idx="1640">
                  <c:v>4.7872219999999999</c:v>
                </c:pt>
                <c:pt idx="1641">
                  <c:v>4.8344440000000004</c:v>
                </c:pt>
                <c:pt idx="1643">
                  <c:v>5.0094440000000002</c:v>
                </c:pt>
                <c:pt idx="1644">
                  <c:v>4.9572219999999998</c:v>
                </c:pt>
                <c:pt idx="1645">
                  <c:v>4.8897219999999999</c:v>
                </c:pt>
                <c:pt idx="1646">
                  <c:v>4.9244440000000003</c:v>
                </c:pt>
                <c:pt idx="1647">
                  <c:v>4.9855559999999999</c:v>
                </c:pt>
                <c:pt idx="1648">
                  <c:v>5.0547219999999999</c:v>
                </c:pt>
                <c:pt idx="1649">
                  <c:v>5.0788890000000002</c:v>
                </c:pt>
                <c:pt idx="1651">
                  <c:v>5.5108329999999999</c:v>
                </c:pt>
                <c:pt idx="1652">
                  <c:v>5.4591669999999999</c:v>
                </c:pt>
                <c:pt idx="1653">
                  <c:v>5.3758330000000001</c:v>
                </c:pt>
                <c:pt idx="1654">
                  <c:v>5.299722</c:v>
                </c:pt>
                <c:pt idx="1655">
                  <c:v>5.223611</c:v>
                </c:pt>
                <c:pt idx="1656">
                  <c:v>5.1711109999999998</c:v>
                </c:pt>
                <c:pt idx="1657">
                  <c:v>5.246111</c:v>
                </c:pt>
                <c:pt idx="1658">
                  <c:v>5.3347220000000002</c:v>
                </c:pt>
                <c:pt idx="1659">
                  <c:v>5.4161109999999999</c:v>
                </c:pt>
                <c:pt idx="1660">
                  <c:v>5.4958330000000002</c:v>
                </c:pt>
                <c:pt idx="1661">
                  <c:v>5.5797220000000003</c:v>
                </c:pt>
                <c:pt idx="1663">
                  <c:v>5.7641669999999996</c:v>
                </c:pt>
                <c:pt idx="1664">
                  <c:v>5.8616669999999997</c:v>
                </c:pt>
                <c:pt idx="1665">
                  <c:v>5.9555559999999996</c:v>
                </c:pt>
                <c:pt idx="1666">
                  <c:v>5.8794440000000003</c:v>
                </c:pt>
                <c:pt idx="1667">
                  <c:v>5.7916670000000003</c:v>
                </c:pt>
                <c:pt idx="1668">
                  <c:v>5.7044439999999996</c:v>
                </c:pt>
                <c:pt idx="1669">
                  <c:v>5.6325000000000003</c:v>
                </c:pt>
                <c:pt idx="1671">
                  <c:v>-7.2874999999999996</c:v>
                </c:pt>
                <c:pt idx="1672">
                  <c:v>-7.2047220000000003</c:v>
                </c:pt>
                <c:pt idx="1673">
                  <c:v>-7.1555559999999998</c:v>
                </c:pt>
                <c:pt idx="1674">
                  <c:v>-7.085833</c:v>
                </c:pt>
                <c:pt idx="1675">
                  <c:v>-7.0163890000000002</c:v>
                </c:pt>
                <c:pt idx="1676">
                  <c:v>-6.9344440000000001</c:v>
                </c:pt>
                <c:pt idx="1677">
                  <c:v>-6.9850000000000003</c:v>
                </c:pt>
                <c:pt idx="1678">
                  <c:v>-7.0594440000000001</c:v>
                </c:pt>
                <c:pt idx="1679">
                  <c:v>-7.1333330000000004</c:v>
                </c:pt>
                <c:pt idx="1680">
                  <c:v>-7.1974999999999998</c:v>
                </c:pt>
                <c:pt idx="1681">
                  <c:v>-7.2438890000000002</c:v>
                </c:pt>
                <c:pt idx="1682">
                  <c:v>-7.2338889999999996</c:v>
                </c:pt>
                <c:pt idx="1683">
                  <c:v>-7.1469440000000004</c:v>
                </c:pt>
                <c:pt idx="1684">
                  <c:v>-7.0552780000000004</c:v>
                </c:pt>
                <c:pt idx="1685">
                  <c:v>-7.019444</c:v>
                </c:pt>
                <c:pt idx="1686">
                  <c:v>-6.9772220000000003</c:v>
                </c:pt>
                <c:pt idx="1687">
                  <c:v>-6.9636110000000002</c:v>
                </c:pt>
                <c:pt idx="1688">
                  <c:v>-6.8825000000000003</c:v>
                </c:pt>
                <c:pt idx="1689">
                  <c:v>-6.7777779999999996</c:v>
                </c:pt>
                <c:pt idx="1690">
                  <c:v>-6.7074999999999996</c:v>
                </c:pt>
                <c:pt idx="1691">
                  <c:v>-6.6244440000000004</c:v>
                </c:pt>
                <c:pt idx="1692">
                  <c:v>-6.5394439999999996</c:v>
                </c:pt>
                <c:pt idx="1693">
                  <c:v>-6.4727779999999999</c:v>
                </c:pt>
                <c:pt idx="1694">
                  <c:v>-6.3830559999999998</c:v>
                </c:pt>
                <c:pt idx="1695">
                  <c:v>-6.2908330000000001</c:v>
                </c:pt>
                <c:pt idx="1696">
                  <c:v>-6.2191669999999997</c:v>
                </c:pt>
                <c:pt idx="1697">
                  <c:v>-6.1338889999999999</c:v>
                </c:pt>
                <c:pt idx="1698">
                  <c:v>-6.0608329999999997</c:v>
                </c:pt>
                <c:pt idx="1699">
                  <c:v>-6.0394439999999996</c:v>
                </c:pt>
                <c:pt idx="1700">
                  <c:v>-6.0541669999999996</c:v>
                </c:pt>
                <c:pt idx="1701">
                  <c:v>-6.009722</c:v>
                </c:pt>
                <c:pt idx="1702">
                  <c:v>-5.9683330000000003</c:v>
                </c:pt>
                <c:pt idx="1703">
                  <c:v>-5.9627780000000001</c:v>
                </c:pt>
                <c:pt idx="1704">
                  <c:v>-5.9030560000000003</c:v>
                </c:pt>
                <c:pt idx="1705">
                  <c:v>-5.86</c:v>
                </c:pt>
                <c:pt idx="1706">
                  <c:v>-5.8113890000000001</c:v>
                </c:pt>
                <c:pt idx="1707">
                  <c:v>-5.7933329999999996</c:v>
                </c:pt>
                <c:pt idx="1708">
                  <c:v>-5.7244440000000001</c:v>
                </c:pt>
                <c:pt idx="1709">
                  <c:v>-5.7566670000000002</c:v>
                </c:pt>
                <c:pt idx="1710">
                  <c:v>-5.7819440000000002</c:v>
                </c:pt>
                <c:pt idx="1711">
                  <c:v>-5.7077780000000002</c:v>
                </c:pt>
                <c:pt idx="1712">
                  <c:v>-5.6869440000000004</c:v>
                </c:pt>
                <c:pt idx="1713">
                  <c:v>-5.7202780000000004</c:v>
                </c:pt>
                <c:pt idx="1714">
                  <c:v>-5.7977780000000001</c:v>
                </c:pt>
                <c:pt idx="1715">
                  <c:v>-5.8708330000000002</c:v>
                </c:pt>
                <c:pt idx="1716">
                  <c:v>-5.9155559999999996</c:v>
                </c:pt>
                <c:pt idx="1717">
                  <c:v>-5.8927779999999998</c:v>
                </c:pt>
                <c:pt idx="1718">
                  <c:v>-5.8416670000000002</c:v>
                </c:pt>
                <c:pt idx="1719">
                  <c:v>-5.7672220000000003</c:v>
                </c:pt>
                <c:pt idx="1720">
                  <c:v>-5.6855560000000001</c:v>
                </c:pt>
                <c:pt idx="1721">
                  <c:v>-5.5988889999999998</c:v>
                </c:pt>
                <c:pt idx="1722">
                  <c:v>-5.5333329999999998</c:v>
                </c:pt>
                <c:pt idx="1723">
                  <c:v>-5.5133330000000003</c:v>
                </c:pt>
                <c:pt idx="1724">
                  <c:v>-5.4761110000000004</c:v>
                </c:pt>
                <c:pt idx="1725">
                  <c:v>-5.4627780000000001</c:v>
                </c:pt>
                <c:pt idx="1726">
                  <c:v>-5.4363890000000001</c:v>
                </c:pt>
                <c:pt idx="1727">
                  <c:v>-5.458056</c:v>
                </c:pt>
                <c:pt idx="1728">
                  <c:v>-5.4922219999999999</c:v>
                </c:pt>
                <c:pt idx="1729">
                  <c:v>-5.5111109999999996</c:v>
                </c:pt>
                <c:pt idx="1730">
                  <c:v>-5.55</c:v>
                </c:pt>
                <c:pt idx="1731">
                  <c:v>-5.5691670000000002</c:v>
                </c:pt>
                <c:pt idx="1732">
                  <c:v>-5.5433329999999996</c:v>
                </c:pt>
                <c:pt idx="1733">
                  <c:v>-5.5680560000000003</c:v>
                </c:pt>
                <c:pt idx="1734">
                  <c:v>-5.6261109999999999</c:v>
                </c:pt>
                <c:pt idx="1735">
                  <c:v>-5.7005559999999997</c:v>
                </c:pt>
                <c:pt idx="1736">
                  <c:v>-5.691389</c:v>
                </c:pt>
                <c:pt idx="1737">
                  <c:v>-5.6786110000000001</c:v>
                </c:pt>
                <c:pt idx="1738">
                  <c:v>-5.6427779999999998</c:v>
                </c:pt>
                <c:pt idx="1739">
                  <c:v>-5.6305560000000003</c:v>
                </c:pt>
                <c:pt idx="1740">
                  <c:v>-5.6691669999999998</c:v>
                </c:pt>
                <c:pt idx="1741">
                  <c:v>-5.6952780000000001</c:v>
                </c:pt>
                <c:pt idx="1742">
                  <c:v>-5.6183329999999998</c:v>
                </c:pt>
                <c:pt idx="1743">
                  <c:v>-5.5619440000000004</c:v>
                </c:pt>
                <c:pt idx="1744">
                  <c:v>-5.5386110000000004</c:v>
                </c:pt>
                <c:pt idx="1745">
                  <c:v>-5.5741670000000001</c:v>
                </c:pt>
                <c:pt idx="1746">
                  <c:v>-5.6322219999999996</c:v>
                </c:pt>
                <c:pt idx="1747">
                  <c:v>-5.6844440000000001</c:v>
                </c:pt>
                <c:pt idx="1748">
                  <c:v>-5.7813889999999999</c:v>
                </c:pt>
                <c:pt idx="1749">
                  <c:v>-5.8638890000000004</c:v>
                </c:pt>
                <c:pt idx="1750">
                  <c:v>-5.8641670000000001</c:v>
                </c:pt>
                <c:pt idx="1751">
                  <c:v>-5.8849999999999998</c:v>
                </c:pt>
                <c:pt idx="1752">
                  <c:v>-5.9405559999999999</c:v>
                </c:pt>
                <c:pt idx="1753">
                  <c:v>-6.0072219999999996</c:v>
                </c:pt>
                <c:pt idx="1754">
                  <c:v>-6.0816670000000004</c:v>
                </c:pt>
                <c:pt idx="1755">
                  <c:v>-6.0838890000000001</c:v>
                </c:pt>
                <c:pt idx="1756">
                  <c:v>-6.1833330000000002</c:v>
                </c:pt>
                <c:pt idx="1757">
                  <c:v>-6.2580559999999998</c:v>
                </c:pt>
                <c:pt idx="1758">
                  <c:v>-6.2083329999999997</c:v>
                </c:pt>
                <c:pt idx="1759">
                  <c:v>-6.1502780000000001</c:v>
                </c:pt>
                <c:pt idx="1760">
                  <c:v>-6.1330559999999998</c:v>
                </c:pt>
                <c:pt idx="1761">
                  <c:v>-6.2227779999999999</c:v>
                </c:pt>
                <c:pt idx="1762">
                  <c:v>-6.3052780000000004</c:v>
                </c:pt>
                <c:pt idx="1763">
                  <c:v>-6.3449999999999998</c:v>
                </c:pt>
                <c:pt idx="1764">
                  <c:v>-6.38</c:v>
                </c:pt>
                <c:pt idx="1765">
                  <c:v>-6.365278</c:v>
                </c:pt>
                <c:pt idx="1766">
                  <c:v>-6.2955560000000004</c:v>
                </c:pt>
                <c:pt idx="1767">
                  <c:v>-6.2549999999999999</c:v>
                </c:pt>
                <c:pt idx="1768">
                  <c:v>-6.2219439999999997</c:v>
                </c:pt>
                <c:pt idx="1769">
                  <c:v>-6.2483329999999997</c:v>
                </c:pt>
                <c:pt idx="1770">
                  <c:v>-6.240278</c:v>
                </c:pt>
                <c:pt idx="1771">
                  <c:v>-6.2047220000000003</c:v>
                </c:pt>
                <c:pt idx="1772">
                  <c:v>-6.1538890000000004</c:v>
                </c:pt>
                <c:pt idx="1773">
                  <c:v>-6.0880559999999999</c:v>
                </c:pt>
                <c:pt idx="1774">
                  <c:v>-6.0863889999999996</c:v>
                </c:pt>
                <c:pt idx="1775">
                  <c:v>-6.1194439999999997</c:v>
                </c:pt>
                <c:pt idx="1776">
                  <c:v>-6.1261109999999999</c:v>
                </c:pt>
                <c:pt idx="1777">
                  <c:v>-6.0980559999999997</c:v>
                </c:pt>
                <c:pt idx="1779">
                  <c:v>-10.335832999999999</c:v>
                </c:pt>
                <c:pt idx="1780">
                  <c:v>-10.385</c:v>
                </c:pt>
                <c:pt idx="1781">
                  <c:v>-10.352778000000001</c:v>
                </c:pt>
                <c:pt idx="1782">
                  <c:v>-10.280556000000001</c:v>
                </c:pt>
                <c:pt idx="1783">
                  <c:v>-10.270833</c:v>
                </c:pt>
                <c:pt idx="1784">
                  <c:v>-10.295278</c:v>
                </c:pt>
                <c:pt idx="1785">
                  <c:v>-10.249444</c:v>
                </c:pt>
                <c:pt idx="1786">
                  <c:v>-10.179167</c:v>
                </c:pt>
                <c:pt idx="1787">
                  <c:v>-10.104722000000001</c:v>
                </c:pt>
                <c:pt idx="1788">
                  <c:v>-10.016667</c:v>
                </c:pt>
                <c:pt idx="1789">
                  <c:v>-9.9716670000000001</c:v>
                </c:pt>
                <c:pt idx="1790">
                  <c:v>-9.9425000000000008</c:v>
                </c:pt>
                <c:pt idx="1791">
                  <c:v>-9.9230560000000008</c:v>
                </c:pt>
                <c:pt idx="1792">
                  <c:v>-9.8941669999999995</c:v>
                </c:pt>
                <c:pt idx="1793">
                  <c:v>-9.8158329999999996</c:v>
                </c:pt>
                <c:pt idx="1794">
                  <c:v>-9.8041669999999996</c:v>
                </c:pt>
                <c:pt idx="1795">
                  <c:v>-9.8755559999999996</c:v>
                </c:pt>
                <c:pt idx="1796">
                  <c:v>-9.9627780000000001</c:v>
                </c:pt>
                <c:pt idx="1797">
                  <c:v>-9.9605560000000004</c:v>
                </c:pt>
                <c:pt idx="1798">
                  <c:v>-10.030832999999999</c:v>
                </c:pt>
                <c:pt idx="1799">
                  <c:v>-10.116944</c:v>
                </c:pt>
                <c:pt idx="1800">
                  <c:v>-10.196667</c:v>
                </c:pt>
                <c:pt idx="1801">
                  <c:v>-10.2525</c:v>
                </c:pt>
                <c:pt idx="1802">
                  <c:v>-10.291389000000001</c:v>
                </c:pt>
                <c:pt idx="1803">
                  <c:v>-10.33</c:v>
                </c:pt>
                <c:pt idx="1804">
                  <c:v>-10.359166999999999</c:v>
                </c:pt>
                <c:pt idx="1805">
                  <c:v>-10.449444</c:v>
                </c:pt>
                <c:pt idx="1806">
                  <c:v>-10.472778</c:v>
                </c:pt>
                <c:pt idx="1807">
                  <c:v>-10.466944</c:v>
                </c:pt>
                <c:pt idx="1808">
                  <c:v>-10.413055999999999</c:v>
                </c:pt>
                <c:pt idx="1809">
                  <c:v>-10.373889</c:v>
                </c:pt>
                <c:pt idx="1810">
                  <c:v>-10.361943999999999</c:v>
                </c:pt>
                <c:pt idx="1811">
                  <c:v>-10.293333000000001</c:v>
                </c:pt>
                <c:pt idx="1812">
                  <c:v>-10.217499999999999</c:v>
                </c:pt>
                <c:pt idx="1813">
                  <c:v>-10.156943999999999</c:v>
                </c:pt>
                <c:pt idx="1814">
                  <c:v>-10.149722000000001</c:v>
                </c:pt>
                <c:pt idx="1815">
                  <c:v>-10.068611000000001</c:v>
                </c:pt>
                <c:pt idx="1816">
                  <c:v>-10.037777999999999</c:v>
                </c:pt>
                <c:pt idx="1817">
                  <c:v>-10.011944</c:v>
                </c:pt>
                <c:pt idx="1818">
                  <c:v>-10.013889000000001</c:v>
                </c:pt>
                <c:pt idx="1819">
                  <c:v>-9.9458330000000004</c:v>
                </c:pt>
                <c:pt idx="1820">
                  <c:v>-9.8538890000000006</c:v>
                </c:pt>
                <c:pt idx="1821">
                  <c:v>-9.8172219999999992</c:v>
                </c:pt>
                <c:pt idx="1822">
                  <c:v>-9.7408330000000003</c:v>
                </c:pt>
                <c:pt idx="1823">
                  <c:v>-9.8183330000000009</c:v>
                </c:pt>
                <c:pt idx="1824">
                  <c:v>-9.8841669999999997</c:v>
                </c:pt>
                <c:pt idx="1825">
                  <c:v>-9.8358329999999992</c:v>
                </c:pt>
                <c:pt idx="1826">
                  <c:v>-9.8394440000000003</c:v>
                </c:pt>
                <c:pt idx="1827">
                  <c:v>-9.9275000000000002</c:v>
                </c:pt>
                <c:pt idx="1828">
                  <c:v>-9.9027779999999996</c:v>
                </c:pt>
                <c:pt idx="1829">
                  <c:v>-9.8133330000000001</c:v>
                </c:pt>
                <c:pt idx="1830">
                  <c:v>-9.7411110000000001</c:v>
                </c:pt>
                <c:pt idx="1831">
                  <c:v>-9.6663890000000006</c:v>
                </c:pt>
                <c:pt idx="1832">
                  <c:v>-9.6638889999999993</c:v>
                </c:pt>
                <c:pt idx="1833">
                  <c:v>-9.6705559999999995</c:v>
                </c:pt>
                <c:pt idx="1834">
                  <c:v>-9.6463889999999992</c:v>
                </c:pt>
                <c:pt idx="1835">
                  <c:v>-9.5580560000000006</c:v>
                </c:pt>
                <c:pt idx="1836">
                  <c:v>-9.4697220000000009</c:v>
                </c:pt>
                <c:pt idx="1837">
                  <c:v>-9.3966670000000008</c:v>
                </c:pt>
                <c:pt idx="1838">
                  <c:v>-9.3177780000000006</c:v>
                </c:pt>
                <c:pt idx="1839">
                  <c:v>-9.2369439999999994</c:v>
                </c:pt>
                <c:pt idx="1840">
                  <c:v>-9.16</c:v>
                </c:pt>
                <c:pt idx="1841">
                  <c:v>-9.0755560000000006</c:v>
                </c:pt>
                <c:pt idx="1842">
                  <c:v>-9.0169440000000005</c:v>
                </c:pt>
                <c:pt idx="1843">
                  <c:v>-8.9641669999999998</c:v>
                </c:pt>
                <c:pt idx="1844">
                  <c:v>-8.8797219999999992</c:v>
                </c:pt>
                <c:pt idx="1845">
                  <c:v>-8.8011110000000006</c:v>
                </c:pt>
                <c:pt idx="1846">
                  <c:v>-8.7552780000000006</c:v>
                </c:pt>
                <c:pt idx="1847">
                  <c:v>-8.8438890000000008</c:v>
                </c:pt>
                <c:pt idx="1848">
                  <c:v>-8.9344439999999992</c:v>
                </c:pt>
                <c:pt idx="1849">
                  <c:v>-8.9324999999999992</c:v>
                </c:pt>
                <c:pt idx="1850">
                  <c:v>-8.9591670000000008</c:v>
                </c:pt>
                <c:pt idx="1851">
                  <c:v>-9.0130560000000006</c:v>
                </c:pt>
                <c:pt idx="1852">
                  <c:v>-9.0388889999999993</c:v>
                </c:pt>
                <c:pt idx="1853">
                  <c:v>-9.0836109999999994</c:v>
                </c:pt>
                <c:pt idx="1854">
                  <c:v>-9.1316670000000002</c:v>
                </c:pt>
                <c:pt idx="1855">
                  <c:v>-9.2158329999999999</c:v>
                </c:pt>
                <c:pt idx="1856">
                  <c:v>-9.2816670000000006</c:v>
                </c:pt>
                <c:pt idx="1857">
                  <c:v>-9.3094439999999992</c:v>
                </c:pt>
                <c:pt idx="1858">
                  <c:v>-9.2944440000000004</c:v>
                </c:pt>
                <c:pt idx="1859">
                  <c:v>-9.3797219999999992</c:v>
                </c:pt>
                <c:pt idx="1860">
                  <c:v>-9.4625000000000004</c:v>
                </c:pt>
                <c:pt idx="1861">
                  <c:v>-9.5355559999999997</c:v>
                </c:pt>
                <c:pt idx="1862">
                  <c:v>-9.5786110000000004</c:v>
                </c:pt>
                <c:pt idx="1863">
                  <c:v>-9.5936109999999992</c:v>
                </c:pt>
                <c:pt idx="1864">
                  <c:v>-9.6827780000000008</c:v>
                </c:pt>
                <c:pt idx="1865">
                  <c:v>-9.7308330000000005</c:v>
                </c:pt>
                <c:pt idx="1866">
                  <c:v>-9.8074999999999992</c:v>
                </c:pt>
                <c:pt idx="1867">
                  <c:v>-9.8927779999999998</c:v>
                </c:pt>
                <c:pt idx="1868">
                  <c:v>-9.9058329999999994</c:v>
                </c:pt>
                <c:pt idx="1869">
                  <c:v>-9.8216669999999997</c:v>
                </c:pt>
                <c:pt idx="1870">
                  <c:v>-9.7650000000000006</c:v>
                </c:pt>
                <c:pt idx="1871">
                  <c:v>-9.7061109999999999</c:v>
                </c:pt>
                <c:pt idx="1872">
                  <c:v>-9.6541669999999993</c:v>
                </c:pt>
                <c:pt idx="1873">
                  <c:v>-9.6147220000000004</c:v>
                </c:pt>
                <c:pt idx="1874">
                  <c:v>-9.5486109999999993</c:v>
                </c:pt>
                <c:pt idx="1875">
                  <c:v>-9.4963890000000006</c:v>
                </c:pt>
                <c:pt idx="1876">
                  <c:v>-9.4722220000000004</c:v>
                </c:pt>
                <c:pt idx="1877">
                  <c:v>-9.4433330000000009</c:v>
                </c:pt>
                <c:pt idx="1878">
                  <c:v>-9.4147219999999994</c:v>
                </c:pt>
                <c:pt idx="1879">
                  <c:v>-9.3588889999999996</c:v>
                </c:pt>
                <c:pt idx="1880">
                  <c:v>-9.4077780000000004</c:v>
                </c:pt>
                <c:pt idx="1881">
                  <c:v>-9.4702780000000004</c:v>
                </c:pt>
                <c:pt idx="1882">
                  <c:v>-9.4194440000000004</c:v>
                </c:pt>
                <c:pt idx="1883">
                  <c:v>-9.3852779999999996</c:v>
                </c:pt>
                <c:pt idx="1884">
                  <c:v>-9.3505559999999992</c:v>
                </c:pt>
                <c:pt idx="1885">
                  <c:v>-9.2955559999999995</c:v>
                </c:pt>
                <c:pt idx="1886">
                  <c:v>-9.2536109999999994</c:v>
                </c:pt>
                <c:pt idx="1887">
                  <c:v>-9.1766670000000001</c:v>
                </c:pt>
                <c:pt idx="1888">
                  <c:v>-9.0963890000000003</c:v>
                </c:pt>
                <c:pt idx="1889">
                  <c:v>-9.0877780000000001</c:v>
                </c:pt>
                <c:pt idx="1890">
                  <c:v>-8.9966670000000004</c:v>
                </c:pt>
                <c:pt idx="1891">
                  <c:v>-9.072222</c:v>
                </c:pt>
                <c:pt idx="1892">
                  <c:v>-8.9849999999999994</c:v>
                </c:pt>
                <c:pt idx="1893">
                  <c:v>-8.9397219999999997</c:v>
                </c:pt>
                <c:pt idx="1894">
                  <c:v>-8.9402779999999993</c:v>
                </c:pt>
                <c:pt idx="1895">
                  <c:v>-8.9005559999999999</c:v>
                </c:pt>
                <c:pt idx="1896">
                  <c:v>-8.9766670000000008</c:v>
                </c:pt>
                <c:pt idx="1897">
                  <c:v>-8.9725000000000001</c:v>
                </c:pt>
                <c:pt idx="1898">
                  <c:v>-8.9480559999999993</c:v>
                </c:pt>
                <c:pt idx="1899">
                  <c:v>-9.0352779999999999</c:v>
                </c:pt>
                <c:pt idx="1900">
                  <c:v>-9.1194439999999997</c:v>
                </c:pt>
                <c:pt idx="1901">
                  <c:v>-9.2191670000000006</c:v>
                </c:pt>
                <c:pt idx="1902">
                  <c:v>-9.3213889999999999</c:v>
                </c:pt>
                <c:pt idx="1903">
                  <c:v>-9.4224999999999994</c:v>
                </c:pt>
                <c:pt idx="1904">
                  <c:v>-9.5202779999999994</c:v>
                </c:pt>
                <c:pt idx="1905">
                  <c:v>-9.5555559999999993</c:v>
                </c:pt>
                <c:pt idx="1906">
                  <c:v>-9.5736109999999996</c:v>
                </c:pt>
                <c:pt idx="1907">
                  <c:v>-9.6274999999999995</c:v>
                </c:pt>
                <c:pt idx="1908">
                  <c:v>-9.6097219999999997</c:v>
                </c:pt>
                <c:pt idx="1909">
                  <c:v>-9.572222</c:v>
                </c:pt>
                <c:pt idx="1910">
                  <c:v>-9.6008329999999997</c:v>
                </c:pt>
                <c:pt idx="1911">
                  <c:v>-9.6536109999999997</c:v>
                </c:pt>
                <c:pt idx="1912">
                  <c:v>-9.644444</c:v>
                </c:pt>
                <c:pt idx="1913">
                  <c:v>-9.7038890000000002</c:v>
                </c:pt>
                <c:pt idx="1914">
                  <c:v>-9.7436109999999996</c:v>
                </c:pt>
                <c:pt idx="1915">
                  <c:v>-9.8216669999999997</c:v>
                </c:pt>
                <c:pt idx="1916">
                  <c:v>-9.8949999999999996</c:v>
                </c:pt>
                <c:pt idx="1917">
                  <c:v>-9.891667</c:v>
                </c:pt>
                <c:pt idx="1918">
                  <c:v>-9.8288890000000002</c:v>
                </c:pt>
                <c:pt idx="1919">
                  <c:v>-9.8044440000000002</c:v>
                </c:pt>
                <c:pt idx="1920">
                  <c:v>-9.8308330000000002</c:v>
                </c:pt>
                <c:pt idx="1921">
                  <c:v>-9.8761109999999999</c:v>
                </c:pt>
                <c:pt idx="1922">
                  <c:v>-9.9152780000000007</c:v>
                </c:pt>
                <c:pt idx="1923">
                  <c:v>-9.9594439999999995</c:v>
                </c:pt>
                <c:pt idx="1924">
                  <c:v>-10.034167</c:v>
                </c:pt>
                <c:pt idx="1925">
                  <c:v>-10.081111</c:v>
                </c:pt>
                <c:pt idx="1926">
                  <c:v>-10.143333</c:v>
                </c:pt>
                <c:pt idx="1927">
                  <c:v>-10.168889</c:v>
                </c:pt>
                <c:pt idx="1928">
                  <c:v>-10.104444000000001</c:v>
                </c:pt>
                <c:pt idx="1929">
                  <c:v>-10.057778000000001</c:v>
                </c:pt>
                <c:pt idx="1930">
                  <c:v>-10.118611</c:v>
                </c:pt>
                <c:pt idx="1931">
                  <c:v>-10.146388999999999</c:v>
                </c:pt>
                <c:pt idx="1932">
                  <c:v>-10.194444000000001</c:v>
                </c:pt>
                <c:pt idx="1933">
                  <c:v>-10.111943999999999</c:v>
                </c:pt>
                <c:pt idx="1934">
                  <c:v>-10.064722</c:v>
                </c:pt>
                <c:pt idx="1935">
                  <c:v>-10.032778</c:v>
                </c:pt>
                <c:pt idx="1936">
                  <c:v>-9.9988890000000001</c:v>
                </c:pt>
                <c:pt idx="1937">
                  <c:v>-9.9127779999999994</c:v>
                </c:pt>
                <c:pt idx="1938">
                  <c:v>-9.8908330000000007</c:v>
                </c:pt>
                <c:pt idx="1939">
                  <c:v>-9.9183330000000005</c:v>
                </c:pt>
                <c:pt idx="1940">
                  <c:v>-9.9069439999999993</c:v>
                </c:pt>
                <c:pt idx="1941">
                  <c:v>-9.8458330000000007</c:v>
                </c:pt>
                <c:pt idx="1942">
                  <c:v>-9.7572220000000005</c:v>
                </c:pt>
                <c:pt idx="1943">
                  <c:v>-9.6658329999999992</c:v>
                </c:pt>
                <c:pt idx="1944">
                  <c:v>-9.5827779999999994</c:v>
                </c:pt>
                <c:pt idx="1945">
                  <c:v>-9.5805559999999996</c:v>
                </c:pt>
                <c:pt idx="1946">
                  <c:v>-9.5988889999999998</c:v>
                </c:pt>
                <c:pt idx="1947">
                  <c:v>-9.5716669999999997</c:v>
                </c:pt>
                <c:pt idx="1948">
                  <c:v>-9.5705559999999998</c:v>
                </c:pt>
                <c:pt idx="1949">
                  <c:v>-9.6402780000000003</c:v>
                </c:pt>
                <c:pt idx="1950">
                  <c:v>-9.7349999999999994</c:v>
                </c:pt>
                <c:pt idx="1951">
                  <c:v>-9.8077780000000008</c:v>
                </c:pt>
                <c:pt idx="1952">
                  <c:v>-9.8966670000000008</c:v>
                </c:pt>
                <c:pt idx="1953">
                  <c:v>-9.9308329999999998</c:v>
                </c:pt>
                <c:pt idx="1954">
                  <c:v>-9.9122219999999999</c:v>
                </c:pt>
                <c:pt idx="1955">
                  <c:v>-9.8452780000000004</c:v>
                </c:pt>
                <c:pt idx="1956">
                  <c:v>-9.802778</c:v>
                </c:pt>
                <c:pt idx="1957">
                  <c:v>-9.8013890000000004</c:v>
                </c:pt>
                <c:pt idx="1958">
                  <c:v>-9.8424999999999994</c:v>
                </c:pt>
                <c:pt idx="1959">
                  <c:v>-9.8841669999999997</c:v>
                </c:pt>
                <c:pt idx="1960">
                  <c:v>-9.8969439999999995</c:v>
                </c:pt>
                <c:pt idx="1961">
                  <c:v>-9.8766669999999994</c:v>
                </c:pt>
                <c:pt idx="1962">
                  <c:v>-9.8369440000000008</c:v>
                </c:pt>
                <c:pt idx="1963">
                  <c:v>-9.8913890000000002</c:v>
                </c:pt>
                <c:pt idx="1964">
                  <c:v>-9.9613890000000005</c:v>
                </c:pt>
                <c:pt idx="1965">
                  <c:v>-9.9705560000000002</c:v>
                </c:pt>
                <c:pt idx="1966">
                  <c:v>-9.9263890000000004</c:v>
                </c:pt>
                <c:pt idx="1967">
                  <c:v>-9.9350000000000005</c:v>
                </c:pt>
                <c:pt idx="1968">
                  <c:v>-9.9502780000000008</c:v>
                </c:pt>
                <c:pt idx="1969">
                  <c:v>-9.9774999999999991</c:v>
                </c:pt>
                <c:pt idx="1970">
                  <c:v>-10.020555999999999</c:v>
                </c:pt>
                <c:pt idx="1971">
                  <c:v>-10.0525</c:v>
                </c:pt>
                <c:pt idx="1972">
                  <c:v>-10.077222000000001</c:v>
                </c:pt>
                <c:pt idx="1973">
                  <c:v>-10.091388999999999</c:v>
                </c:pt>
                <c:pt idx="1974">
                  <c:v>-10.099722</c:v>
                </c:pt>
                <c:pt idx="1975">
                  <c:v>-10.1175</c:v>
                </c:pt>
                <c:pt idx="1976">
                  <c:v>-10.092777999999999</c:v>
                </c:pt>
                <c:pt idx="1977">
                  <c:v>-10.082777999999999</c:v>
                </c:pt>
                <c:pt idx="1978">
                  <c:v>-10.083610999999999</c:v>
                </c:pt>
                <c:pt idx="1980">
                  <c:v>-10.022500000000001</c:v>
                </c:pt>
                <c:pt idx="1981">
                  <c:v>-9.9794440000000009</c:v>
                </c:pt>
                <c:pt idx="1982">
                  <c:v>-9.9102779999999999</c:v>
                </c:pt>
                <c:pt idx="1983">
                  <c:v>-9.9433330000000009</c:v>
                </c:pt>
                <c:pt idx="1984">
                  <c:v>-9.9794440000000009</c:v>
                </c:pt>
                <c:pt idx="1985">
                  <c:v>-9.8888890000000007</c:v>
                </c:pt>
                <c:pt idx="1986">
                  <c:v>-9.8774999999999995</c:v>
                </c:pt>
                <c:pt idx="1987">
                  <c:v>-9.8058329999999998</c:v>
                </c:pt>
                <c:pt idx="1988">
                  <c:v>-9.7922220000000006</c:v>
                </c:pt>
                <c:pt idx="1989">
                  <c:v>-9.8466670000000001</c:v>
                </c:pt>
                <c:pt idx="1990">
                  <c:v>-9.8377780000000001</c:v>
                </c:pt>
                <c:pt idx="1991">
                  <c:v>-9.7522219999999997</c:v>
                </c:pt>
                <c:pt idx="1992">
                  <c:v>-9.6702779999999997</c:v>
                </c:pt>
                <c:pt idx="1993">
                  <c:v>-9.5836109999999994</c:v>
                </c:pt>
                <c:pt idx="1994">
                  <c:v>-9.5116669999999992</c:v>
                </c:pt>
                <c:pt idx="1995">
                  <c:v>-9.4255560000000003</c:v>
                </c:pt>
                <c:pt idx="1996">
                  <c:v>-9.3574999999999999</c:v>
                </c:pt>
                <c:pt idx="1997">
                  <c:v>-9.2836110000000005</c:v>
                </c:pt>
                <c:pt idx="1998">
                  <c:v>-9.2469439999999992</c:v>
                </c:pt>
                <c:pt idx="1999">
                  <c:v>-9.2125000000000004</c:v>
                </c:pt>
                <c:pt idx="2000">
                  <c:v>-9.2200000000000006</c:v>
                </c:pt>
                <c:pt idx="2001">
                  <c:v>-9.1580560000000002</c:v>
                </c:pt>
                <c:pt idx="2002">
                  <c:v>-9.1138890000000004</c:v>
                </c:pt>
                <c:pt idx="2003">
                  <c:v>-9.0802779999999998</c:v>
                </c:pt>
                <c:pt idx="2004">
                  <c:v>-9.0497219999999992</c:v>
                </c:pt>
                <c:pt idx="2005">
                  <c:v>-8.9447220000000005</c:v>
                </c:pt>
                <c:pt idx="2006">
                  <c:v>-8.8722220000000007</c:v>
                </c:pt>
                <c:pt idx="2007">
                  <c:v>-8.7908329999999992</c:v>
                </c:pt>
                <c:pt idx="2008">
                  <c:v>-8.713889</c:v>
                </c:pt>
                <c:pt idx="2009">
                  <c:v>-8.6461109999999994</c:v>
                </c:pt>
                <c:pt idx="2010">
                  <c:v>-8.5877780000000001</c:v>
                </c:pt>
                <c:pt idx="2011">
                  <c:v>-8.5116669999999992</c:v>
                </c:pt>
                <c:pt idx="2012">
                  <c:v>-8.5741669999999992</c:v>
                </c:pt>
                <c:pt idx="2013">
                  <c:v>-8.5963890000000003</c:v>
                </c:pt>
                <c:pt idx="2014">
                  <c:v>-8.5127780000000008</c:v>
                </c:pt>
                <c:pt idx="2015">
                  <c:v>-8.5036109999999994</c:v>
                </c:pt>
                <c:pt idx="2016">
                  <c:v>-8.5661109999999994</c:v>
                </c:pt>
                <c:pt idx="2017">
                  <c:v>-8.4975000000000005</c:v>
                </c:pt>
                <c:pt idx="2018">
                  <c:v>-8.5811109999999999</c:v>
                </c:pt>
                <c:pt idx="2019">
                  <c:v>-8.6558329999999994</c:v>
                </c:pt>
                <c:pt idx="2020">
                  <c:v>-8.6627779999999994</c:v>
                </c:pt>
                <c:pt idx="2021">
                  <c:v>-8.5855560000000004</c:v>
                </c:pt>
                <c:pt idx="2022">
                  <c:v>-8.5272220000000001</c:v>
                </c:pt>
                <c:pt idx="2023">
                  <c:v>-8.4722220000000004</c:v>
                </c:pt>
                <c:pt idx="2024">
                  <c:v>-8.4444440000000007</c:v>
                </c:pt>
                <c:pt idx="2025">
                  <c:v>-8.3697219999999994</c:v>
                </c:pt>
                <c:pt idx="2026">
                  <c:v>-8.2788889999999995</c:v>
                </c:pt>
                <c:pt idx="2027">
                  <c:v>-8.2550000000000008</c:v>
                </c:pt>
                <c:pt idx="2028">
                  <c:v>-8.2088889999999992</c:v>
                </c:pt>
                <c:pt idx="2029">
                  <c:v>-8.1558329999999994</c:v>
                </c:pt>
                <c:pt idx="2030">
                  <c:v>-8.1180559999999993</c:v>
                </c:pt>
                <c:pt idx="2031">
                  <c:v>-8.134722</c:v>
                </c:pt>
                <c:pt idx="2032">
                  <c:v>-8.2105560000000004</c:v>
                </c:pt>
                <c:pt idx="2033">
                  <c:v>-8.2911110000000008</c:v>
                </c:pt>
                <c:pt idx="2034">
                  <c:v>-8.2988890000000008</c:v>
                </c:pt>
                <c:pt idx="2035">
                  <c:v>-8.3633330000000008</c:v>
                </c:pt>
                <c:pt idx="2036">
                  <c:v>-8.4263890000000004</c:v>
                </c:pt>
                <c:pt idx="2037">
                  <c:v>-8.4463889999999999</c:v>
                </c:pt>
                <c:pt idx="2038">
                  <c:v>-8.3819440000000007</c:v>
                </c:pt>
                <c:pt idx="2039">
                  <c:v>-8.4516670000000005</c:v>
                </c:pt>
                <c:pt idx="2040">
                  <c:v>-8.4897220000000004</c:v>
                </c:pt>
                <c:pt idx="2041">
                  <c:v>-8.58</c:v>
                </c:pt>
                <c:pt idx="2042">
                  <c:v>-8.6688890000000001</c:v>
                </c:pt>
                <c:pt idx="2043">
                  <c:v>-8.7386110000000006</c:v>
                </c:pt>
                <c:pt idx="2044">
                  <c:v>-8.7949999999999999</c:v>
                </c:pt>
                <c:pt idx="2045">
                  <c:v>-8.7813890000000008</c:v>
                </c:pt>
                <c:pt idx="2046">
                  <c:v>-8.7263889999999993</c:v>
                </c:pt>
                <c:pt idx="2047">
                  <c:v>-8.6633329999999997</c:v>
                </c:pt>
                <c:pt idx="2048">
                  <c:v>-8.5594439999999992</c:v>
                </c:pt>
                <c:pt idx="2049">
                  <c:v>-8.4747219999999999</c:v>
                </c:pt>
                <c:pt idx="2050">
                  <c:v>-8.4966670000000004</c:v>
                </c:pt>
                <c:pt idx="2051">
                  <c:v>-8.4888890000000004</c:v>
                </c:pt>
                <c:pt idx="2052">
                  <c:v>-8.4130559999999992</c:v>
                </c:pt>
                <c:pt idx="2053">
                  <c:v>-8.4627780000000001</c:v>
                </c:pt>
                <c:pt idx="2054">
                  <c:v>-8.5341670000000001</c:v>
                </c:pt>
                <c:pt idx="2055">
                  <c:v>-8.4980560000000001</c:v>
                </c:pt>
                <c:pt idx="2056">
                  <c:v>-8.4158329999999992</c:v>
                </c:pt>
                <c:pt idx="2057">
                  <c:v>-8.3255560000000006</c:v>
                </c:pt>
                <c:pt idx="2058">
                  <c:v>-8.3802780000000006</c:v>
                </c:pt>
                <c:pt idx="2059">
                  <c:v>-8.3147219999999997</c:v>
                </c:pt>
                <c:pt idx="2060">
                  <c:v>-8.3638890000000004</c:v>
                </c:pt>
                <c:pt idx="2061">
                  <c:v>-8.4258330000000008</c:v>
                </c:pt>
                <c:pt idx="2062">
                  <c:v>-8.4352780000000003</c:v>
                </c:pt>
                <c:pt idx="2063">
                  <c:v>-8.3922220000000003</c:v>
                </c:pt>
                <c:pt idx="2064">
                  <c:v>-8.4427780000000006</c:v>
                </c:pt>
                <c:pt idx="2065">
                  <c:v>-8.4044439999999998</c:v>
                </c:pt>
                <c:pt idx="2066">
                  <c:v>-8.3480559999999997</c:v>
                </c:pt>
                <c:pt idx="2067">
                  <c:v>-8.3155560000000008</c:v>
                </c:pt>
                <c:pt idx="2068">
                  <c:v>-8.3180560000000003</c:v>
                </c:pt>
                <c:pt idx="2069">
                  <c:v>-8.2780559999999994</c:v>
                </c:pt>
                <c:pt idx="2070">
                  <c:v>-8.1766670000000001</c:v>
                </c:pt>
                <c:pt idx="2071">
                  <c:v>-8.1433330000000002</c:v>
                </c:pt>
                <c:pt idx="2072">
                  <c:v>-8.1180559999999993</c:v>
                </c:pt>
                <c:pt idx="2073">
                  <c:v>-8.0558329999999998</c:v>
                </c:pt>
                <c:pt idx="2074">
                  <c:v>-8.0211109999999994</c:v>
                </c:pt>
                <c:pt idx="2075">
                  <c:v>-7.9594440000000004</c:v>
                </c:pt>
                <c:pt idx="2076">
                  <c:v>-7.9205560000000004</c:v>
                </c:pt>
                <c:pt idx="2077">
                  <c:v>-7.9030560000000003</c:v>
                </c:pt>
                <c:pt idx="2078">
                  <c:v>-7.8875000000000002</c:v>
                </c:pt>
                <c:pt idx="2079">
                  <c:v>-7.8566669999999998</c:v>
                </c:pt>
                <c:pt idx="2080">
                  <c:v>-7.8375000000000004</c:v>
                </c:pt>
                <c:pt idx="2081">
                  <c:v>-7.8641670000000001</c:v>
                </c:pt>
                <c:pt idx="2082">
                  <c:v>-7.7966670000000002</c:v>
                </c:pt>
                <c:pt idx="2083">
                  <c:v>-7.822222</c:v>
                </c:pt>
                <c:pt idx="2084">
                  <c:v>-7.7580559999999998</c:v>
                </c:pt>
                <c:pt idx="2085">
                  <c:v>-7.6961110000000001</c:v>
                </c:pt>
                <c:pt idx="2086">
                  <c:v>-7.6916669999999998</c:v>
                </c:pt>
                <c:pt idx="2087">
                  <c:v>-7.668056</c:v>
                </c:pt>
                <c:pt idx="2088">
                  <c:v>-7.6969440000000002</c:v>
                </c:pt>
                <c:pt idx="2089">
                  <c:v>-7.7208329999999998</c:v>
                </c:pt>
                <c:pt idx="2090">
                  <c:v>-7.7327779999999997</c:v>
                </c:pt>
                <c:pt idx="2091">
                  <c:v>-7.7766669999999998</c:v>
                </c:pt>
                <c:pt idx="2092">
                  <c:v>-7.7549999999999999</c:v>
                </c:pt>
                <c:pt idx="2093">
                  <c:v>-7.6902780000000002</c:v>
                </c:pt>
                <c:pt idx="2094">
                  <c:v>-7.628889</c:v>
                </c:pt>
                <c:pt idx="2095">
                  <c:v>-7.61</c:v>
                </c:pt>
                <c:pt idx="2096">
                  <c:v>-7.5997219999999999</c:v>
                </c:pt>
                <c:pt idx="2097">
                  <c:v>-7.5475000000000003</c:v>
                </c:pt>
                <c:pt idx="2098">
                  <c:v>-7.5311110000000001</c:v>
                </c:pt>
                <c:pt idx="2099">
                  <c:v>-7.5958329999999998</c:v>
                </c:pt>
                <c:pt idx="2100">
                  <c:v>-7.6155559999999998</c:v>
                </c:pt>
                <c:pt idx="2101">
                  <c:v>-7.5755559999999997</c:v>
                </c:pt>
                <c:pt idx="2102">
                  <c:v>-7.6388889999999998</c:v>
                </c:pt>
                <c:pt idx="2103">
                  <c:v>-7.621111</c:v>
                </c:pt>
                <c:pt idx="2104">
                  <c:v>-7.5652780000000002</c:v>
                </c:pt>
                <c:pt idx="2105">
                  <c:v>-7.4933329999999998</c:v>
                </c:pt>
                <c:pt idx="2106">
                  <c:v>-7.4802780000000002</c:v>
                </c:pt>
                <c:pt idx="2107">
                  <c:v>-7.4730559999999997</c:v>
                </c:pt>
                <c:pt idx="2108">
                  <c:v>-7.512778</c:v>
                </c:pt>
                <c:pt idx="2109">
                  <c:v>-7.5475000000000003</c:v>
                </c:pt>
                <c:pt idx="2110">
                  <c:v>-7.5219440000000004</c:v>
                </c:pt>
                <c:pt idx="2111">
                  <c:v>-7.4788889999999997</c:v>
                </c:pt>
                <c:pt idx="2112">
                  <c:v>-7.4102779999999999</c:v>
                </c:pt>
                <c:pt idx="2113">
                  <c:v>-7.3391669999999998</c:v>
                </c:pt>
                <c:pt idx="2114">
                  <c:v>-7.3113890000000001</c:v>
                </c:pt>
                <c:pt idx="2115">
                  <c:v>-7.2780560000000003</c:v>
                </c:pt>
                <c:pt idx="2116">
                  <c:v>-7.3455560000000002</c:v>
                </c:pt>
                <c:pt idx="2117">
                  <c:v>-7.3355560000000004</c:v>
                </c:pt>
                <c:pt idx="2118">
                  <c:v>-7.4086109999999996</c:v>
                </c:pt>
                <c:pt idx="2120">
                  <c:v>-6.2122219999999997</c:v>
                </c:pt>
                <c:pt idx="2121">
                  <c:v>-6.2688889999999997</c:v>
                </c:pt>
                <c:pt idx="2122">
                  <c:v>-6.2233330000000002</c:v>
                </c:pt>
                <c:pt idx="2124">
                  <c:v>-7.5352779999999999</c:v>
                </c:pt>
                <c:pt idx="2125">
                  <c:v>-7.4791670000000003</c:v>
                </c:pt>
                <c:pt idx="2127">
                  <c:v>-8.1636109999999995</c:v>
                </c:pt>
                <c:pt idx="2129">
                  <c:v>-8.2497220000000002</c:v>
                </c:pt>
                <c:pt idx="2131">
                  <c:v>-8.5258330000000004</c:v>
                </c:pt>
                <c:pt idx="2132">
                  <c:v>-8.5488890000000008</c:v>
                </c:pt>
                <c:pt idx="2133">
                  <c:v>-8.4886110000000006</c:v>
                </c:pt>
                <c:pt idx="2135">
                  <c:v>-8.43</c:v>
                </c:pt>
                <c:pt idx="2137">
                  <c:v>-7.8805560000000003</c:v>
                </c:pt>
                <c:pt idx="2138">
                  <c:v>-7.791944</c:v>
                </c:pt>
                <c:pt idx="2140">
                  <c:v>-9.1794440000000002</c:v>
                </c:pt>
                <c:pt idx="2142">
                  <c:v>-10.192500000000001</c:v>
                </c:pt>
                <c:pt idx="2144">
                  <c:v>-10.216111</c:v>
                </c:pt>
                <c:pt idx="2146">
                  <c:v>-9.9511109999999992</c:v>
                </c:pt>
                <c:pt idx="2147">
                  <c:v>-9.9322219999999994</c:v>
                </c:pt>
                <c:pt idx="2148">
                  <c:v>-9.9380559999999996</c:v>
                </c:pt>
                <c:pt idx="2149">
                  <c:v>-9.9786110000000008</c:v>
                </c:pt>
                <c:pt idx="2150">
                  <c:v>-10.036944</c:v>
                </c:pt>
                <c:pt idx="2151">
                  <c:v>-10.049721999999999</c:v>
                </c:pt>
                <c:pt idx="2152">
                  <c:v>-10.120278000000001</c:v>
                </c:pt>
                <c:pt idx="2153">
                  <c:v>-10.209721999999999</c:v>
                </c:pt>
                <c:pt idx="2154">
                  <c:v>-10.246943999999999</c:v>
                </c:pt>
                <c:pt idx="2155">
                  <c:v>-10.189444</c:v>
                </c:pt>
                <c:pt idx="2156">
                  <c:v>-10.102499999999999</c:v>
                </c:pt>
                <c:pt idx="2157">
                  <c:v>-10.049167000000001</c:v>
                </c:pt>
                <c:pt idx="2158">
                  <c:v>-9.9741669999999996</c:v>
                </c:pt>
                <c:pt idx="2160">
                  <c:v>-10.036389</c:v>
                </c:pt>
                <c:pt idx="2161">
                  <c:v>-10.005556</c:v>
                </c:pt>
                <c:pt idx="2162">
                  <c:v>-9.9508329999999994</c:v>
                </c:pt>
                <c:pt idx="2164">
                  <c:v>-10.123611</c:v>
                </c:pt>
                <c:pt idx="2166">
                  <c:v>-10.283611000000001</c:v>
                </c:pt>
                <c:pt idx="2168">
                  <c:v>-10.225833</c:v>
                </c:pt>
                <c:pt idx="2169">
                  <c:v>-10.244166999999999</c:v>
                </c:pt>
                <c:pt idx="2171">
                  <c:v>-9.9127779999999994</c:v>
                </c:pt>
                <c:pt idx="2173">
                  <c:v>-9.8677779999999995</c:v>
                </c:pt>
                <c:pt idx="2175">
                  <c:v>-9.7038890000000002</c:v>
                </c:pt>
                <c:pt idx="2177">
                  <c:v>-9.7352779999999992</c:v>
                </c:pt>
                <c:pt idx="2179">
                  <c:v>-9.6594440000000006</c:v>
                </c:pt>
                <c:pt idx="2180">
                  <c:v>-9.7122220000000006</c:v>
                </c:pt>
                <c:pt idx="2181">
                  <c:v>-9.6502780000000001</c:v>
                </c:pt>
                <c:pt idx="2183">
                  <c:v>-9.6788889999999999</c:v>
                </c:pt>
                <c:pt idx="2184">
                  <c:v>-9.7472220000000007</c:v>
                </c:pt>
                <c:pt idx="2185">
                  <c:v>-9.8355560000000004</c:v>
                </c:pt>
                <c:pt idx="2186">
                  <c:v>-9.7591669999999997</c:v>
                </c:pt>
                <c:pt idx="2187">
                  <c:v>-9.6875</c:v>
                </c:pt>
                <c:pt idx="2188">
                  <c:v>-9.6358329999999999</c:v>
                </c:pt>
                <c:pt idx="2190">
                  <c:v>-9.5538889999999999</c:v>
                </c:pt>
                <c:pt idx="2192">
                  <c:v>-10.566388999999999</c:v>
                </c:pt>
                <c:pt idx="2193">
                  <c:v>-10.533333000000001</c:v>
                </c:pt>
                <c:pt idx="2195">
                  <c:v>-10.355</c:v>
                </c:pt>
                <c:pt idx="2196">
                  <c:v>-10.414999999999999</c:v>
                </c:pt>
                <c:pt idx="2197">
                  <c:v>-10.354444000000001</c:v>
                </c:pt>
                <c:pt idx="2198">
                  <c:v>-10.294444</c:v>
                </c:pt>
                <c:pt idx="2200">
                  <c:v>-10.230833000000001</c:v>
                </c:pt>
                <c:pt idx="2201">
                  <c:v>-10.184167</c:v>
                </c:pt>
                <c:pt idx="2203">
                  <c:v>-9.8502779999999994</c:v>
                </c:pt>
                <c:pt idx="2204">
                  <c:v>-9.9177780000000002</c:v>
                </c:pt>
                <c:pt idx="2205">
                  <c:v>-9.8327779999999994</c:v>
                </c:pt>
                <c:pt idx="2207">
                  <c:v>-9.5291669999999993</c:v>
                </c:pt>
                <c:pt idx="2209">
                  <c:v>-9.5525000000000002</c:v>
                </c:pt>
                <c:pt idx="2211">
                  <c:v>-9.4291669999999996</c:v>
                </c:pt>
                <c:pt idx="2213">
                  <c:v>-9.4255560000000003</c:v>
                </c:pt>
                <c:pt idx="2215">
                  <c:v>-9.5227780000000006</c:v>
                </c:pt>
                <c:pt idx="2216">
                  <c:v>-9.4783329999999992</c:v>
                </c:pt>
                <c:pt idx="2218">
                  <c:v>-9.6150000000000002</c:v>
                </c:pt>
                <c:pt idx="2220">
                  <c:v>-8.2050000000000001</c:v>
                </c:pt>
                <c:pt idx="2221">
                  <c:v>-8.2913890000000006</c:v>
                </c:pt>
                <c:pt idx="2222">
                  <c:v>-8.3697219999999994</c:v>
                </c:pt>
                <c:pt idx="2223">
                  <c:v>-8.3841669999999997</c:v>
                </c:pt>
                <c:pt idx="2224">
                  <c:v>-8.3191670000000002</c:v>
                </c:pt>
                <c:pt idx="2226">
                  <c:v>-8.2902780000000007</c:v>
                </c:pt>
                <c:pt idx="2227">
                  <c:v>-8.2258329999999997</c:v>
                </c:pt>
                <c:pt idx="2229">
                  <c:v>-8.2813890000000008</c:v>
                </c:pt>
                <c:pt idx="2230">
                  <c:v>-8.2952779999999997</c:v>
                </c:pt>
                <c:pt idx="2231">
                  <c:v>-8.3413889999999995</c:v>
                </c:pt>
                <c:pt idx="2232">
                  <c:v>-8.4069439999999993</c:v>
                </c:pt>
                <c:pt idx="2233">
                  <c:v>-8.4649999999999999</c:v>
                </c:pt>
                <c:pt idx="2234">
                  <c:v>-8.5075000000000003</c:v>
                </c:pt>
                <c:pt idx="2235">
                  <c:v>-8.5297219999999996</c:v>
                </c:pt>
                <c:pt idx="2236">
                  <c:v>-8.5366669999999996</c:v>
                </c:pt>
                <c:pt idx="2237">
                  <c:v>-8.5633330000000001</c:v>
                </c:pt>
                <c:pt idx="2238">
                  <c:v>-8.6522220000000001</c:v>
                </c:pt>
                <c:pt idx="2239">
                  <c:v>-8.6869440000000004</c:v>
                </c:pt>
                <c:pt idx="2240">
                  <c:v>-8.7269439999999996</c:v>
                </c:pt>
                <c:pt idx="2241">
                  <c:v>-8.7730560000000004</c:v>
                </c:pt>
                <c:pt idx="2242">
                  <c:v>-8.8519439999999996</c:v>
                </c:pt>
                <c:pt idx="2243">
                  <c:v>-8.8902780000000003</c:v>
                </c:pt>
                <c:pt idx="2244">
                  <c:v>-8.9488889999999994</c:v>
                </c:pt>
                <c:pt idx="2245">
                  <c:v>-8.9988890000000001</c:v>
                </c:pt>
                <c:pt idx="2246">
                  <c:v>-9.0611110000000004</c:v>
                </c:pt>
                <c:pt idx="2247">
                  <c:v>-9.1319440000000007</c:v>
                </c:pt>
                <c:pt idx="2248">
                  <c:v>-9.1255559999999996</c:v>
                </c:pt>
                <c:pt idx="2249">
                  <c:v>-9.1883330000000001</c:v>
                </c:pt>
                <c:pt idx="2250">
                  <c:v>-9.2211110000000005</c:v>
                </c:pt>
                <c:pt idx="2251">
                  <c:v>-9.2658330000000007</c:v>
                </c:pt>
                <c:pt idx="2252">
                  <c:v>-9.3152779999999993</c:v>
                </c:pt>
                <c:pt idx="2253">
                  <c:v>-9.3822220000000005</c:v>
                </c:pt>
                <c:pt idx="2254">
                  <c:v>-9.4222219999999997</c:v>
                </c:pt>
                <c:pt idx="2255">
                  <c:v>-9.4230560000000008</c:v>
                </c:pt>
                <c:pt idx="2256">
                  <c:v>-9.4499999999999993</c:v>
                </c:pt>
                <c:pt idx="2257">
                  <c:v>-9.5288889999999995</c:v>
                </c:pt>
                <c:pt idx="2258">
                  <c:v>-9.5802779999999998</c:v>
                </c:pt>
                <c:pt idx="2259">
                  <c:v>-9.6341669999999997</c:v>
                </c:pt>
                <c:pt idx="2260">
                  <c:v>-9.6847220000000007</c:v>
                </c:pt>
                <c:pt idx="2261">
                  <c:v>-9.7113890000000005</c:v>
                </c:pt>
                <c:pt idx="2262">
                  <c:v>-9.766667</c:v>
                </c:pt>
                <c:pt idx="2263">
                  <c:v>-9.8180560000000003</c:v>
                </c:pt>
                <c:pt idx="2264">
                  <c:v>-9.8055559999999993</c:v>
                </c:pt>
                <c:pt idx="2265">
                  <c:v>-9.7411110000000001</c:v>
                </c:pt>
                <c:pt idx="2266">
                  <c:v>-9.6852780000000003</c:v>
                </c:pt>
                <c:pt idx="2267">
                  <c:v>-9.6277779999999993</c:v>
                </c:pt>
                <c:pt idx="2268">
                  <c:v>-9.5719440000000002</c:v>
                </c:pt>
                <c:pt idx="2269">
                  <c:v>-9.588889</c:v>
                </c:pt>
                <c:pt idx="2270">
                  <c:v>-9.6577780000000004</c:v>
                </c:pt>
                <c:pt idx="2271">
                  <c:v>-9.73</c:v>
                </c:pt>
                <c:pt idx="2272">
                  <c:v>-9.7994439999999994</c:v>
                </c:pt>
                <c:pt idx="2273">
                  <c:v>-9.8147219999999997</c:v>
                </c:pt>
                <c:pt idx="2274">
                  <c:v>-9.7591669999999997</c:v>
                </c:pt>
                <c:pt idx="2275">
                  <c:v>-9.6886109999999999</c:v>
                </c:pt>
                <c:pt idx="2276">
                  <c:v>-9.6166669999999996</c:v>
                </c:pt>
                <c:pt idx="2277">
                  <c:v>-9.5433330000000005</c:v>
                </c:pt>
                <c:pt idx="2278">
                  <c:v>-9.4666669999999993</c:v>
                </c:pt>
                <c:pt idx="2279">
                  <c:v>-9.4488889999999994</c:v>
                </c:pt>
                <c:pt idx="2280">
                  <c:v>-9.5091669999999997</c:v>
                </c:pt>
                <c:pt idx="2281">
                  <c:v>-9.5594439999999992</c:v>
                </c:pt>
                <c:pt idx="2282">
                  <c:v>-9.5680560000000003</c:v>
                </c:pt>
                <c:pt idx="2283">
                  <c:v>-9.6341669999999997</c:v>
                </c:pt>
                <c:pt idx="2284">
                  <c:v>-9.7211110000000005</c:v>
                </c:pt>
                <c:pt idx="2285">
                  <c:v>-9.8011110000000006</c:v>
                </c:pt>
                <c:pt idx="2286">
                  <c:v>-9.8925000000000001</c:v>
                </c:pt>
                <c:pt idx="2287">
                  <c:v>-9.9425000000000008</c:v>
                </c:pt>
                <c:pt idx="2288">
                  <c:v>-10.013332999999999</c:v>
                </c:pt>
                <c:pt idx="2289">
                  <c:v>-10.093056000000001</c:v>
                </c:pt>
                <c:pt idx="2290">
                  <c:v>-10.159167</c:v>
                </c:pt>
                <c:pt idx="2291">
                  <c:v>-10.118055999999999</c:v>
                </c:pt>
                <c:pt idx="2292">
                  <c:v>-10.059722000000001</c:v>
                </c:pt>
                <c:pt idx="2293">
                  <c:v>-10.079167</c:v>
                </c:pt>
                <c:pt idx="2294">
                  <c:v>-9.9875000000000007</c:v>
                </c:pt>
                <c:pt idx="2295">
                  <c:v>-9.9802780000000002</c:v>
                </c:pt>
                <c:pt idx="2296">
                  <c:v>-9.9544440000000005</c:v>
                </c:pt>
                <c:pt idx="2297">
                  <c:v>-9.8908330000000007</c:v>
                </c:pt>
                <c:pt idx="2298">
                  <c:v>-9.8580559999999995</c:v>
                </c:pt>
                <c:pt idx="2299">
                  <c:v>-9.8049999999999997</c:v>
                </c:pt>
                <c:pt idx="2300">
                  <c:v>-9.7966669999999993</c:v>
                </c:pt>
                <c:pt idx="2301">
                  <c:v>-9.7438889999999994</c:v>
                </c:pt>
                <c:pt idx="2302">
                  <c:v>-9.6608330000000002</c:v>
                </c:pt>
                <c:pt idx="2303">
                  <c:v>-9.5880559999999999</c:v>
                </c:pt>
                <c:pt idx="2304">
                  <c:v>-9.6475000000000009</c:v>
                </c:pt>
                <c:pt idx="2305">
                  <c:v>-9.7274999999999991</c:v>
                </c:pt>
                <c:pt idx="2306">
                  <c:v>-9.7936110000000003</c:v>
                </c:pt>
                <c:pt idx="2307">
                  <c:v>-9.8358329999999992</c:v>
                </c:pt>
                <c:pt idx="2308">
                  <c:v>-9.8883329999999994</c:v>
                </c:pt>
                <c:pt idx="2309">
                  <c:v>-9.9594439999999995</c:v>
                </c:pt>
                <c:pt idx="2310">
                  <c:v>-10.029166999999999</c:v>
                </c:pt>
                <c:pt idx="2311">
                  <c:v>-10.101667000000001</c:v>
                </c:pt>
                <c:pt idx="2312">
                  <c:v>-10.134722</c:v>
                </c:pt>
                <c:pt idx="2313">
                  <c:v>-10.208055999999999</c:v>
                </c:pt>
                <c:pt idx="2314">
                  <c:v>-10.18</c:v>
                </c:pt>
                <c:pt idx="2315">
                  <c:v>-10.199444</c:v>
                </c:pt>
                <c:pt idx="2316">
                  <c:v>-10.269166999999999</c:v>
                </c:pt>
                <c:pt idx="2317">
                  <c:v>-10.323611</c:v>
                </c:pt>
                <c:pt idx="2319">
                  <c:v>-6.3194439999999998</c:v>
                </c:pt>
                <c:pt idx="2320">
                  <c:v>-6.3475000000000001</c:v>
                </c:pt>
                <c:pt idx="2321">
                  <c:v>-6.4022220000000001</c:v>
                </c:pt>
                <c:pt idx="2322">
                  <c:v>-6.4283330000000003</c:v>
                </c:pt>
                <c:pt idx="2323">
                  <c:v>-6.4480560000000002</c:v>
                </c:pt>
                <c:pt idx="2324">
                  <c:v>-6.5177779999999998</c:v>
                </c:pt>
                <c:pt idx="2325">
                  <c:v>-6.5958329999999998</c:v>
                </c:pt>
                <c:pt idx="2326">
                  <c:v>-6.6577780000000004</c:v>
                </c:pt>
                <c:pt idx="2327">
                  <c:v>-6.7491669999999999</c:v>
                </c:pt>
                <c:pt idx="2328">
                  <c:v>-6.7872219999999999</c:v>
                </c:pt>
                <c:pt idx="2329">
                  <c:v>-6.7752780000000001</c:v>
                </c:pt>
                <c:pt idx="2330">
                  <c:v>-6.8355560000000004</c:v>
                </c:pt>
                <c:pt idx="2331">
                  <c:v>-6.8194439999999998</c:v>
                </c:pt>
                <c:pt idx="2332">
                  <c:v>-6.848611</c:v>
                </c:pt>
                <c:pt idx="2333">
                  <c:v>-6.9083329999999998</c:v>
                </c:pt>
                <c:pt idx="2334">
                  <c:v>-6.9325000000000001</c:v>
                </c:pt>
                <c:pt idx="2335">
                  <c:v>-6.9138890000000002</c:v>
                </c:pt>
                <c:pt idx="2336">
                  <c:v>-6.9458330000000004</c:v>
                </c:pt>
                <c:pt idx="2337">
                  <c:v>-6.979444</c:v>
                </c:pt>
                <c:pt idx="2338">
                  <c:v>-6.9861110000000002</c:v>
                </c:pt>
                <c:pt idx="2339">
                  <c:v>-6.9850000000000003</c:v>
                </c:pt>
                <c:pt idx="2340">
                  <c:v>-6.976667</c:v>
                </c:pt>
                <c:pt idx="2341">
                  <c:v>-7.0355559999999997</c:v>
                </c:pt>
                <c:pt idx="2342">
                  <c:v>-7.0961109999999996</c:v>
                </c:pt>
                <c:pt idx="2343">
                  <c:v>-7.1180560000000002</c:v>
                </c:pt>
                <c:pt idx="2344">
                  <c:v>-7.1522220000000001</c:v>
                </c:pt>
                <c:pt idx="2345">
                  <c:v>-7.2227779999999999</c:v>
                </c:pt>
                <c:pt idx="2346">
                  <c:v>-7.3155559999999999</c:v>
                </c:pt>
                <c:pt idx="2347">
                  <c:v>-7.4038890000000004</c:v>
                </c:pt>
                <c:pt idx="2348">
                  <c:v>-7.4836109999999998</c:v>
                </c:pt>
                <c:pt idx="2349">
                  <c:v>-7.5530559999999998</c:v>
                </c:pt>
                <c:pt idx="2350">
                  <c:v>-7.6147220000000004</c:v>
                </c:pt>
                <c:pt idx="2351">
                  <c:v>-7.5616669999999999</c:v>
                </c:pt>
                <c:pt idx="2352">
                  <c:v>-7.5822219999999998</c:v>
                </c:pt>
                <c:pt idx="2353">
                  <c:v>-7.6177780000000004</c:v>
                </c:pt>
                <c:pt idx="2354">
                  <c:v>-7.7052779999999998</c:v>
                </c:pt>
                <c:pt idx="2355">
                  <c:v>-7.7552779999999997</c:v>
                </c:pt>
                <c:pt idx="2356">
                  <c:v>-7.8302779999999998</c:v>
                </c:pt>
                <c:pt idx="2357">
                  <c:v>-7.8761109999999999</c:v>
                </c:pt>
                <c:pt idx="2358">
                  <c:v>-7.9147220000000003</c:v>
                </c:pt>
                <c:pt idx="2359">
                  <c:v>-7.9063889999999999</c:v>
                </c:pt>
                <c:pt idx="2360">
                  <c:v>-7.9958330000000002</c:v>
                </c:pt>
                <c:pt idx="2361">
                  <c:v>-8.0111109999999996</c:v>
                </c:pt>
                <c:pt idx="2362">
                  <c:v>-8.0983330000000002</c:v>
                </c:pt>
                <c:pt idx="2363">
                  <c:v>-8.1738890000000008</c:v>
                </c:pt>
                <c:pt idx="2364">
                  <c:v>-8.2547219999999992</c:v>
                </c:pt>
                <c:pt idx="2365">
                  <c:v>-8.2311110000000003</c:v>
                </c:pt>
                <c:pt idx="2367">
                  <c:v>-6.1033330000000001</c:v>
                </c:pt>
                <c:pt idx="2368">
                  <c:v>-6.1755560000000003</c:v>
                </c:pt>
                <c:pt idx="2369">
                  <c:v>-6.2166670000000002</c:v>
                </c:pt>
                <c:pt idx="2370">
                  <c:v>-6.1686110000000003</c:v>
                </c:pt>
                <c:pt idx="2371">
                  <c:v>-6.092778</c:v>
                </c:pt>
                <c:pt idx="2372">
                  <c:v>-6.1019439999999996</c:v>
                </c:pt>
                <c:pt idx="2373">
                  <c:v>-6.0736109999999996</c:v>
                </c:pt>
                <c:pt idx="2374">
                  <c:v>-6.0427780000000002</c:v>
                </c:pt>
                <c:pt idx="2375">
                  <c:v>-6.0333329999999998</c:v>
                </c:pt>
                <c:pt idx="2376">
                  <c:v>-6.0466670000000002</c:v>
                </c:pt>
                <c:pt idx="2377">
                  <c:v>-5.9986110000000004</c:v>
                </c:pt>
                <c:pt idx="2378">
                  <c:v>-6.0266669999999998</c:v>
                </c:pt>
                <c:pt idx="2379">
                  <c:v>-6.0655559999999999</c:v>
                </c:pt>
                <c:pt idx="2380">
                  <c:v>-6.1133329999999999</c:v>
                </c:pt>
                <c:pt idx="2381">
                  <c:v>-6.1458329999999997</c:v>
                </c:pt>
                <c:pt idx="2382">
                  <c:v>-6.1541670000000002</c:v>
                </c:pt>
                <c:pt idx="2383">
                  <c:v>-6.2008330000000003</c:v>
                </c:pt>
                <c:pt idx="2384">
                  <c:v>-6.2216670000000001</c:v>
                </c:pt>
                <c:pt idx="2385">
                  <c:v>-6.2</c:v>
                </c:pt>
                <c:pt idx="2386">
                  <c:v>-6.2275</c:v>
                </c:pt>
                <c:pt idx="2387">
                  <c:v>-6.2741670000000003</c:v>
                </c:pt>
                <c:pt idx="2388">
                  <c:v>-6.3213889999999999</c:v>
                </c:pt>
                <c:pt idx="2389">
                  <c:v>-6.3619440000000003</c:v>
                </c:pt>
                <c:pt idx="2390">
                  <c:v>-6.3708330000000002</c:v>
                </c:pt>
                <c:pt idx="2391">
                  <c:v>-6.44</c:v>
                </c:pt>
                <c:pt idx="2392">
                  <c:v>-6.4113889999999998</c:v>
                </c:pt>
                <c:pt idx="2393">
                  <c:v>-6.3758330000000001</c:v>
                </c:pt>
                <c:pt idx="2395">
                  <c:v>-4.9197220000000002</c:v>
                </c:pt>
                <c:pt idx="2396">
                  <c:v>-4.8347220000000002</c:v>
                </c:pt>
                <c:pt idx="2397">
                  <c:v>-4.7858330000000002</c:v>
                </c:pt>
                <c:pt idx="2398">
                  <c:v>-4.7686109999999999</c:v>
                </c:pt>
                <c:pt idx="2399">
                  <c:v>-4.7161109999999997</c:v>
                </c:pt>
                <c:pt idx="2400">
                  <c:v>-4.6744440000000003</c:v>
                </c:pt>
                <c:pt idx="2401">
                  <c:v>-4.7275</c:v>
                </c:pt>
                <c:pt idx="2402">
                  <c:v>-4.7530559999999999</c:v>
                </c:pt>
                <c:pt idx="2403">
                  <c:v>-4.6905559999999999</c:v>
                </c:pt>
                <c:pt idx="2404">
                  <c:v>-4.6550000000000002</c:v>
                </c:pt>
                <c:pt idx="2405">
                  <c:v>-4.6069440000000004</c:v>
                </c:pt>
                <c:pt idx="2406">
                  <c:v>-4.5519439999999998</c:v>
                </c:pt>
                <c:pt idx="2407">
                  <c:v>-4.4669439999999998</c:v>
                </c:pt>
                <c:pt idx="2408">
                  <c:v>-4.4302780000000004</c:v>
                </c:pt>
                <c:pt idx="2409">
                  <c:v>-4.4733330000000002</c:v>
                </c:pt>
                <c:pt idx="2410">
                  <c:v>-4.4672219999999996</c:v>
                </c:pt>
                <c:pt idx="2411">
                  <c:v>-4.4191669999999998</c:v>
                </c:pt>
                <c:pt idx="2412">
                  <c:v>-4.3533330000000001</c:v>
                </c:pt>
                <c:pt idx="2413">
                  <c:v>-4.2652780000000003</c:v>
                </c:pt>
                <c:pt idx="2414">
                  <c:v>-4.2286109999999999</c:v>
                </c:pt>
                <c:pt idx="2415">
                  <c:v>-4.1633329999999997</c:v>
                </c:pt>
                <c:pt idx="2416">
                  <c:v>-4.0805559999999996</c:v>
                </c:pt>
                <c:pt idx="2417">
                  <c:v>-4.0288890000000004</c:v>
                </c:pt>
                <c:pt idx="2418">
                  <c:v>-3.9808330000000001</c:v>
                </c:pt>
                <c:pt idx="2419">
                  <c:v>-3.8858329999999999</c:v>
                </c:pt>
                <c:pt idx="2420">
                  <c:v>-3.7852779999999999</c:v>
                </c:pt>
                <c:pt idx="2421">
                  <c:v>-3.7180559999999998</c:v>
                </c:pt>
                <c:pt idx="2422">
                  <c:v>-3.6319439999999998</c:v>
                </c:pt>
                <c:pt idx="2423">
                  <c:v>-3.548333</c:v>
                </c:pt>
                <c:pt idx="2424">
                  <c:v>-3.4841669999999998</c:v>
                </c:pt>
                <c:pt idx="2425">
                  <c:v>-3.3861110000000001</c:v>
                </c:pt>
                <c:pt idx="2426">
                  <c:v>-3.378889</c:v>
                </c:pt>
                <c:pt idx="2427">
                  <c:v>-3.3861110000000001</c:v>
                </c:pt>
                <c:pt idx="2428">
                  <c:v>-3.3144439999999999</c:v>
                </c:pt>
                <c:pt idx="2429">
                  <c:v>-3.2147220000000001</c:v>
                </c:pt>
                <c:pt idx="2430">
                  <c:v>-3.1305559999999999</c:v>
                </c:pt>
                <c:pt idx="2431">
                  <c:v>-3.0255559999999999</c:v>
                </c:pt>
                <c:pt idx="2432">
                  <c:v>-3.0330560000000002</c:v>
                </c:pt>
                <c:pt idx="2433">
                  <c:v>-3.0711110000000001</c:v>
                </c:pt>
                <c:pt idx="2434">
                  <c:v>-3.1274999999999999</c:v>
                </c:pt>
                <c:pt idx="2435">
                  <c:v>-3.1136110000000001</c:v>
                </c:pt>
                <c:pt idx="2436">
                  <c:v>-3.0247220000000001</c:v>
                </c:pt>
                <c:pt idx="2437">
                  <c:v>-3.0636109999999999</c:v>
                </c:pt>
                <c:pt idx="2438">
                  <c:v>-3.1066669999999998</c:v>
                </c:pt>
                <c:pt idx="2439">
                  <c:v>-3.1541670000000002</c:v>
                </c:pt>
                <c:pt idx="2440">
                  <c:v>-3.2155559999999999</c:v>
                </c:pt>
                <c:pt idx="2441">
                  <c:v>-3.2994439999999998</c:v>
                </c:pt>
                <c:pt idx="2442">
                  <c:v>-3.3858329999999999</c:v>
                </c:pt>
                <c:pt idx="2443">
                  <c:v>-3.4444439999999998</c:v>
                </c:pt>
                <c:pt idx="2444">
                  <c:v>-3.4919440000000002</c:v>
                </c:pt>
                <c:pt idx="2445">
                  <c:v>-3.5594440000000001</c:v>
                </c:pt>
                <c:pt idx="2446">
                  <c:v>-3.6302780000000001</c:v>
                </c:pt>
                <c:pt idx="2447">
                  <c:v>-3.6941670000000002</c:v>
                </c:pt>
                <c:pt idx="2448">
                  <c:v>-3.7644440000000001</c:v>
                </c:pt>
                <c:pt idx="2449">
                  <c:v>-3.8394439999999999</c:v>
                </c:pt>
                <c:pt idx="2450">
                  <c:v>-3.8919440000000001</c:v>
                </c:pt>
                <c:pt idx="2451">
                  <c:v>-3.973611</c:v>
                </c:pt>
                <c:pt idx="2452">
                  <c:v>-4.0049999999999999</c:v>
                </c:pt>
                <c:pt idx="2453">
                  <c:v>-4.0169439999999996</c:v>
                </c:pt>
                <c:pt idx="2454">
                  <c:v>-4.0908329999999999</c:v>
                </c:pt>
                <c:pt idx="2455">
                  <c:v>-4.1755560000000003</c:v>
                </c:pt>
                <c:pt idx="2456">
                  <c:v>-4.1683329999999996</c:v>
                </c:pt>
                <c:pt idx="2457">
                  <c:v>-4.0674999999999999</c:v>
                </c:pt>
                <c:pt idx="2458">
                  <c:v>-3.9824999999999999</c:v>
                </c:pt>
                <c:pt idx="2459">
                  <c:v>-3.9405559999999999</c:v>
                </c:pt>
                <c:pt idx="2460">
                  <c:v>-3.8791669999999998</c:v>
                </c:pt>
                <c:pt idx="2461">
                  <c:v>-3.8177780000000001</c:v>
                </c:pt>
                <c:pt idx="2462">
                  <c:v>-3.79</c:v>
                </c:pt>
                <c:pt idx="2463">
                  <c:v>-3.8430559999999998</c:v>
                </c:pt>
                <c:pt idx="2464">
                  <c:v>-3.9041670000000002</c:v>
                </c:pt>
                <c:pt idx="2465">
                  <c:v>-3.9538890000000002</c:v>
                </c:pt>
                <c:pt idx="2466">
                  <c:v>-4.0202780000000002</c:v>
                </c:pt>
                <c:pt idx="2467">
                  <c:v>-4.0197219999999998</c:v>
                </c:pt>
                <c:pt idx="2468">
                  <c:v>-4.1133329999999999</c:v>
                </c:pt>
                <c:pt idx="2469">
                  <c:v>-4.1749999999999998</c:v>
                </c:pt>
                <c:pt idx="2470">
                  <c:v>-4.270556</c:v>
                </c:pt>
                <c:pt idx="2471">
                  <c:v>-4.335</c:v>
                </c:pt>
                <c:pt idx="2472">
                  <c:v>-4.3972220000000002</c:v>
                </c:pt>
                <c:pt idx="2473">
                  <c:v>-4.4288889999999999</c:v>
                </c:pt>
                <c:pt idx="2474">
                  <c:v>-4.3830559999999998</c:v>
                </c:pt>
                <c:pt idx="2475">
                  <c:v>-4.3238890000000003</c:v>
                </c:pt>
                <c:pt idx="2476">
                  <c:v>-4.2541669999999998</c:v>
                </c:pt>
                <c:pt idx="2477">
                  <c:v>-4.17</c:v>
                </c:pt>
                <c:pt idx="2478">
                  <c:v>-4.0891669999999998</c:v>
                </c:pt>
                <c:pt idx="2479">
                  <c:v>-4</c:v>
                </c:pt>
                <c:pt idx="2480">
                  <c:v>-4.0597219999999998</c:v>
                </c:pt>
                <c:pt idx="2481">
                  <c:v>-4.112222</c:v>
                </c:pt>
                <c:pt idx="2482">
                  <c:v>-4.1555559999999998</c:v>
                </c:pt>
                <c:pt idx="2483">
                  <c:v>-4.2166670000000002</c:v>
                </c:pt>
                <c:pt idx="2484">
                  <c:v>-4.2105560000000004</c:v>
                </c:pt>
                <c:pt idx="2485">
                  <c:v>-4.2422219999999999</c:v>
                </c:pt>
                <c:pt idx="2486">
                  <c:v>-4.1558330000000003</c:v>
                </c:pt>
                <c:pt idx="2487">
                  <c:v>-4.0949999999999998</c:v>
                </c:pt>
                <c:pt idx="2488">
                  <c:v>-4.0405559999999996</c:v>
                </c:pt>
                <c:pt idx="2489">
                  <c:v>-4.0352779999999999</c:v>
                </c:pt>
                <c:pt idx="2490">
                  <c:v>-3.9177780000000002</c:v>
                </c:pt>
                <c:pt idx="2491">
                  <c:v>-3.8263889999999998</c:v>
                </c:pt>
                <c:pt idx="2492">
                  <c:v>-3.7547220000000001</c:v>
                </c:pt>
                <c:pt idx="2493">
                  <c:v>-3.6850000000000001</c:v>
                </c:pt>
                <c:pt idx="2494">
                  <c:v>-3.5813890000000002</c:v>
                </c:pt>
                <c:pt idx="2495">
                  <c:v>-3.5002779999999998</c:v>
                </c:pt>
                <c:pt idx="2496">
                  <c:v>-3.4183330000000001</c:v>
                </c:pt>
                <c:pt idx="2497">
                  <c:v>-3.3250000000000002</c:v>
                </c:pt>
                <c:pt idx="2498">
                  <c:v>-3.244167</c:v>
                </c:pt>
                <c:pt idx="2499">
                  <c:v>-3.146944</c:v>
                </c:pt>
                <c:pt idx="2500">
                  <c:v>-3.039444</c:v>
                </c:pt>
                <c:pt idx="2501">
                  <c:v>-2.9444439999999998</c:v>
                </c:pt>
                <c:pt idx="2502">
                  <c:v>-2.8736109999999999</c:v>
                </c:pt>
                <c:pt idx="2503">
                  <c:v>-2.795833</c:v>
                </c:pt>
                <c:pt idx="2504">
                  <c:v>-2.7144439999999999</c:v>
                </c:pt>
                <c:pt idx="2505">
                  <c:v>-2.6150000000000002</c:v>
                </c:pt>
                <c:pt idx="2506">
                  <c:v>-2.5191669999999999</c:v>
                </c:pt>
                <c:pt idx="2507">
                  <c:v>-2.4102779999999999</c:v>
                </c:pt>
                <c:pt idx="2508">
                  <c:v>-2.3149999999999999</c:v>
                </c:pt>
                <c:pt idx="2509">
                  <c:v>-2.2349999999999999</c:v>
                </c:pt>
                <c:pt idx="2510">
                  <c:v>-2.1433330000000002</c:v>
                </c:pt>
                <c:pt idx="2511">
                  <c:v>-2.048333</c:v>
                </c:pt>
                <c:pt idx="2512">
                  <c:v>-1.9630559999999999</c:v>
                </c:pt>
                <c:pt idx="2513">
                  <c:v>-1.8925000000000001</c:v>
                </c:pt>
                <c:pt idx="2514">
                  <c:v>-1.8297220000000001</c:v>
                </c:pt>
                <c:pt idx="2515">
                  <c:v>-1.818889</c:v>
                </c:pt>
                <c:pt idx="2516">
                  <c:v>-1.789444</c:v>
                </c:pt>
                <c:pt idx="2518">
                  <c:v>-1.759444</c:v>
                </c:pt>
                <c:pt idx="2519">
                  <c:v>-1.8041670000000001</c:v>
                </c:pt>
                <c:pt idx="2520">
                  <c:v>-1.8572219999999999</c:v>
                </c:pt>
                <c:pt idx="2521">
                  <c:v>-1.898056</c:v>
                </c:pt>
                <c:pt idx="2522">
                  <c:v>-1.9530559999999999</c:v>
                </c:pt>
                <c:pt idx="2523">
                  <c:v>-2.003889</c:v>
                </c:pt>
                <c:pt idx="2524">
                  <c:v>-2.0441669999999998</c:v>
                </c:pt>
                <c:pt idx="2525">
                  <c:v>-2.0713889999999999</c:v>
                </c:pt>
                <c:pt idx="2526">
                  <c:v>-2.041944</c:v>
                </c:pt>
                <c:pt idx="2527">
                  <c:v>-2.0847220000000002</c:v>
                </c:pt>
                <c:pt idx="2528">
                  <c:v>-2.131389</c:v>
                </c:pt>
                <c:pt idx="2529">
                  <c:v>-2.175278</c:v>
                </c:pt>
                <c:pt idx="2530">
                  <c:v>-2.177222</c:v>
                </c:pt>
                <c:pt idx="2531">
                  <c:v>-2.2127780000000001</c:v>
                </c:pt>
                <c:pt idx="2532">
                  <c:v>-2.2611110000000001</c:v>
                </c:pt>
                <c:pt idx="2533">
                  <c:v>-2.3199999999999998</c:v>
                </c:pt>
                <c:pt idx="2534">
                  <c:v>-2.3991669999999998</c:v>
                </c:pt>
                <c:pt idx="2535">
                  <c:v>-2.424722</c:v>
                </c:pt>
                <c:pt idx="2536">
                  <c:v>-2.431111</c:v>
                </c:pt>
                <c:pt idx="2537">
                  <c:v>-2.4963890000000002</c:v>
                </c:pt>
                <c:pt idx="2538">
                  <c:v>-2.496667</c:v>
                </c:pt>
                <c:pt idx="2539">
                  <c:v>-2.5452780000000002</c:v>
                </c:pt>
                <c:pt idx="2540">
                  <c:v>-2.6180560000000002</c:v>
                </c:pt>
                <c:pt idx="2541">
                  <c:v>-2.688056</c:v>
                </c:pt>
                <c:pt idx="2542">
                  <c:v>-2.7408329999999999</c:v>
                </c:pt>
                <c:pt idx="2543">
                  <c:v>-2.83</c:v>
                </c:pt>
                <c:pt idx="2544">
                  <c:v>-2.918056</c:v>
                </c:pt>
                <c:pt idx="2545">
                  <c:v>-2.993611</c:v>
                </c:pt>
                <c:pt idx="2546">
                  <c:v>-3.0816669999999999</c:v>
                </c:pt>
                <c:pt idx="2547">
                  <c:v>-3.1530559999999999</c:v>
                </c:pt>
                <c:pt idx="2548">
                  <c:v>-3.2180559999999998</c:v>
                </c:pt>
                <c:pt idx="2549">
                  <c:v>-3.3016670000000001</c:v>
                </c:pt>
                <c:pt idx="2550">
                  <c:v>-3.2644440000000001</c:v>
                </c:pt>
                <c:pt idx="2551">
                  <c:v>-3.1786110000000001</c:v>
                </c:pt>
                <c:pt idx="2552">
                  <c:v>-3.1013890000000002</c:v>
                </c:pt>
                <c:pt idx="2553">
                  <c:v>-3.0211109999999999</c:v>
                </c:pt>
                <c:pt idx="2554">
                  <c:v>-2.9422220000000001</c:v>
                </c:pt>
                <c:pt idx="2555">
                  <c:v>-2.86</c:v>
                </c:pt>
                <c:pt idx="2556">
                  <c:v>-2.798889</c:v>
                </c:pt>
                <c:pt idx="2557">
                  <c:v>-2.8288890000000002</c:v>
                </c:pt>
                <c:pt idx="2558">
                  <c:v>-2.795833</c:v>
                </c:pt>
                <c:pt idx="2559">
                  <c:v>-2.710556</c:v>
                </c:pt>
                <c:pt idx="2560">
                  <c:v>-2.6280559999999999</c:v>
                </c:pt>
                <c:pt idx="2561">
                  <c:v>-2.586389</c:v>
                </c:pt>
                <c:pt idx="2562">
                  <c:v>-2.6494439999999999</c:v>
                </c:pt>
                <c:pt idx="2563">
                  <c:v>-2.726667</c:v>
                </c:pt>
                <c:pt idx="2564">
                  <c:v>-2.8075000000000001</c:v>
                </c:pt>
                <c:pt idx="2565">
                  <c:v>-2.8941669999999999</c:v>
                </c:pt>
                <c:pt idx="2566">
                  <c:v>-2.9836109999999998</c:v>
                </c:pt>
                <c:pt idx="2567">
                  <c:v>-3.0491670000000002</c:v>
                </c:pt>
                <c:pt idx="2568">
                  <c:v>-3.11</c:v>
                </c:pt>
                <c:pt idx="2569">
                  <c:v>-3.15</c:v>
                </c:pt>
                <c:pt idx="2570">
                  <c:v>-3.2208329999999998</c:v>
                </c:pt>
                <c:pt idx="2571">
                  <c:v>-3.2952780000000002</c:v>
                </c:pt>
                <c:pt idx="2572">
                  <c:v>-3.3741669999999999</c:v>
                </c:pt>
                <c:pt idx="2573">
                  <c:v>-3.4466670000000001</c:v>
                </c:pt>
                <c:pt idx="2574">
                  <c:v>-3.530278</c:v>
                </c:pt>
                <c:pt idx="2575">
                  <c:v>-3.6063890000000001</c:v>
                </c:pt>
                <c:pt idx="2576">
                  <c:v>-3.6952780000000001</c:v>
                </c:pt>
                <c:pt idx="2577">
                  <c:v>-3.6433330000000002</c:v>
                </c:pt>
                <c:pt idx="2578">
                  <c:v>-3.5494439999999998</c:v>
                </c:pt>
                <c:pt idx="2579">
                  <c:v>-3.4616669999999998</c:v>
                </c:pt>
                <c:pt idx="2580">
                  <c:v>-3.365278</c:v>
                </c:pt>
                <c:pt idx="2581">
                  <c:v>-3.2908330000000001</c:v>
                </c:pt>
                <c:pt idx="2582">
                  <c:v>-3.1919439999999999</c:v>
                </c:pt>
                <c:pt idx="2583">
                  <c:v>-3.1036109999999999</c:v>
                </c:pt>
                <c:pt idx="2584">
                  <c:v>-3.0125000000000002</c:v>
                </c:pt>
                <c:pt idx="2585">
                  <c:v>-2.9416669999999998</c:v>
                </c:pt>
                <c:pt idx="2586">
                  <c:v>-2.8791669999999998</c:v>
                </c:pt>
                <c:pt idx="2587">
                  <c:v>-2.8341669999999999</c:v>
                </c:pt>
                <c:pt idx="2588">
                  <c:v>-2.7688890000000002</c:v>
                </c:pt>
                <c:pt idx="2589">
                  <c:v>-2.6705559999999999</c:v>
                </c:pt>
                <c:pt idx="2590">
                  <c:v>-2.5916670000000002</c:v>
                </c:pt>
                <c:pt idx="2591">
                  <c:v>-2.572778</c:v>
                </c:pt>
                <c:pt idx="2592">
                  <c:v>-2.4972219999999998</c:v>
                </c:pt>
                <c:pt idx="2593">
                  <c:v>-2.4191669999999998</c:v>
                </c:pt>
                <c:pt idx="2594">
                  <c:v>-2.351944</c:v>
                </c:pt>
                <c:pt idx="2595">
                  <c:v>-2.2655560000000001</c:v>
                </c:pt>
                <c:pt idx="2596">
                  <c:v>-2.1744439999999998</c:v>
                </c:pt>
                <c:pt idx="2597">
                  <c:v>-2.1202779999999999</c:v>
                </c:pt>
                <c:pt idx="2598">
                  <c:v>-2.0647220000000002</c:v>
                </c:pt>
                <c:pt idx="2599">
                  <c:v>-2.020556</c:v>
                </c:pt>
                <c:pt idx="2600">
                  <c:v>-1.9813890000000001</c:v>
                </c:pt>
                <c:pt idx="2601">
                  <c:v>-1.9288890000000001</c:v>
                </c:pt>
                <c:pt idx="2602">
                  <c:v>-1.8725000000000001</c:v>
                </c:pt>
                <c:pt idx="2603">
                  <c:v>-1.828333</c:v>
                </c:pt>
                <c:pt idx="2604">
                  <c:v>-1.7752779999999999</c:v>
                </c:pt>
                <c:pt idx="2605">
                  <c:v>-1.7669440000000001</c:v>
                </c:pt>
                <c:pt idx="2606">
                  <c:v>-1.6855560000000001</c:v>
                </c:pt>
                <c:pt idx="2607">
                  <c:v>-1.6394439999999999</c:v>
                </c:pt>
                <c:pt idx="2608">
                  <c:v>-1.614722</c:v>
                </c:pt>
                <c:pt idx="2609">
                  <c:v>-1.5805560000000001</c:v>
                </c:pt>
                <c:pt idx="2610">
                  <c:v>-1.5738890000000001</c:v>
                </c:pt>
                <c:pt idx="2611">
                  <c:v>-1.592222</c:v>
                </c:pt>
                <c:pt idx="2612">
                  <c:v>-1.555833</c:v>
                </c:pt>
                <c:pt idx="2613">
                  <c:v>-1.5677779999999999</c:v>
                </c:pt>
                <c:pt idx="2614">
                  <c:v>-1.5286109999999999</c:v>
                </c:pt>
                <c:pt idx="2615">
                  <c:v>-1.506111</c:v>
                </c:pt>
                <c:pt idx="2616">
                  <c:v>-1.4988889999999999</c:v>
                </c:pt>
                <c:pt idx="2617">
                  <c:v>-1.4808330000000001</c:v>
                </c:pt>
                <c:pt idx="2618">
                  <c:v>-1.4461109999999999</c:v>
                </c:pt>
                <c:pt idx="2619">
                  <c:v>-1.415278</c:v>
                </c:pt>
                <c:pt idx="2620">
                  <c:v>-1.3605560000000001</c:v>
                </c:pt>
                <c:pt idx="2621">
                  <c:v>-1.3525</c:v>
                </c:pt>
                <c:pt idx="2622">
                  <c:v>-1.334722</c:v>
                </c:pt>
                <c:pt idx="2623">
                  <c:v>-1.306111</c:v>
                </c:pt>
                <c:pt idx="2624">
                  <c:v>-1.2872220000000001</c:v>
                </c:pt>
                <c:pt idx="2625">
                  <c:v>-1.2350000000000001</c:v>
                </c:pt>
                <c:pt idx="2626">
                  <c:v>-1.177778</c:v>
                </c:pt>
                <c:pt idx="2627">
                  <c:v>-1.160833</c:v>
                </c:pt>
                <c:pt idx="2628">
                  <c:v>-1.1919439999999999</c:v>
                </c:pt>
                <c:pt idx="2629">
                  <c:v>-1.141667</c:v>
                </c:pt>
                <c:pt idx="2630">
                  <c:v>-1.082778</c:v>
                </c:pt>
                <c:pt idx="2631">
                  <c:v>-1.016111</c:v>
                </c:pt>
                <c:pt idx="2632">
                  <c:v>-0.92722199999999999</c:v>
                </c:pt>
                <c:pt idx="2633">
                  <c:v>-0.83722200000000002</c:v>
                </c:pt>
                <c:pt idx="2634">
                  <c:v>-0.76055600000000001</c:v>
                </c:pt>
                <c:pt idx="2635">
                  <c:v>-0.68083300000000002</c:v>
                </c:pt>
                <c:pt idx="2636">
                  <c:v>-0.61166699999999996</c:v>
                </c:pt>
                <c:pt idx="2637">
                  <c:v>-0.54500000000000004</c:v>
                </c:pt>
                <c:pt idx="2638">
                  <c:v>-0.51583299999999999</c:v>
                </c:pt>
                <c:pt idx="2639">
                  <c:v>-0.45750000000000002</c:v>
                </c:pt>
                <c:pt idx="2640">
                  <c:v>-0.42138900000000001</c:v>
                </c:pt>
                <c:pt idx="2641">
                  <c:v>-0.39888899999999999</c:v>
                </c:pt>
                <c:pt idx="2642">
                  <c:v>-0.36444399999999999</c:v>
                </c:pt>
                <c:pt idx="2643">
                  <c:v>-0.283611</c:v>
                </c:pt>
                <c:pt idx="2644">
                  <c:v>-0.26222200000000001</c:v>
                </c:pt>
                <c:pt idx="2645">
                  <c:v>-0.183056</c:v>
                </c:pt>
                <c:pt idx="2646">
                  <c:v>-9.6667000000000003E-2</c:v>
                </c:pt>
                <c:pt idx="2648">
                  <c:v>-0.14611099999999999</c:v>
                </c:pt>
                <c:pt idx="2649">
                  <c:v>-0.20277800000000001</c:v>
                </c:pt>
                <c:pt idx="2650">
                  <c:v>-0.20666699999999999</c:v>
                </c:pt>
                <c:pt idx="2651">
                  <c:v>-0.18027799999999999</c:v>
                </c:pt>
                <c:pt idx="2652">
                  <c:v>-0.155556</c:v>
                </c:pt>
                <c:pt idx="2653">
                  <c:v>-0.11833299999999999</c:v>
                </c:pt>
                <c:pt idx="2654">
                  <c:v>-6.25E-2</c:v>
                </c:pt>
                <c:pt idx="2655">
                  <c:v>-1.9167E-2</c:v>
                </c:pt>
                <c:pt idx="2656">
                  <c:v>2.6388999999999999E-2</c:v>
                </c:pt>
                <c:pt idx="2657">
                  <c:v>7.1388999999999994E-2</c:v>
                </c:pt>
                <c:pt idx="2658">
                  <c:v>0.11694400000000001</c:v>
                </c:pt>
                <c:pt idx="2659">
                  <c:v>0.1525</c:v>
                </c:pt>
                <c:pt idx="2660">
                  <c:v>0.113056</c:v>
                </c:pt>
                <c:pt idx="2661">
                  <c:v>0.126389</c:v>
                </c:pt>
                <c:pt idx="2662">
                  <c:v>5.0278000000000003E-2</c:v>
                </c:pt>
                <c:pt idx="2663">
                  <c:v>-3.4444000000000002E-2</c:v>
                </c:pt>
                <c:pt idx="2664">
                  <c:v>-0.11861099999999999</c:v>
                </c:pt>
                <c:pt idx="2665">
                  <c:v>-0.18027799999999999</c:v>
                </c:pt>
                <c:pt idx="2666">
                  <c:v>-0.23555599999999999</c:v>
                </c:pt>
                <c:pt idx="2667">
                  <c:v>-0.309722</c:v>
                </c:pt>
                <c:pt idx="2668">
                  <c:v>-0.38805600000000001</c:v>
                </c:pt>
                <c:pt idx="2669">
                  <c:v>-0.48499999999999999</c:v>
                </c:pt>
                <c:pt idx="2670">
                  <c:v>-0.57138900000000004</c:v>
                </c:pt>
                <c:pt idx="2671">
                  <c:v>-0.65694399999999997</c:v>
                </c:pt>
                <c:pt idx="2672">
                  <c:v>-0.718333</c:v>
                </c:pt>
                <c:pt idx="2673">
                  <c:v>-0.65055600000000002</c:v>
                </c:pt>
                <c:pt idx="2674">
                  <c:v>-0.58194400000000002</c:v>
                </c:pt>
                <c:pt idx="2675">
                  <c:v>-0.50277799999999995</c:v>
                </c:pt>
                <c:pt idx="2676">
                  <c:v>-0.41777799999999998</c:v>
                </c:pt>
                <c:pt idx="2677">
                  <c:v>-0.33166699999999999</c:v>
                </c:pt>
                <c:pt idx="2678">
                  <c:v>-0.26055600000000001</c:v>
                </c:pt>
                <c:pt idx="2679">
                  <c:v>-0.219167</c:v>
                </c:pt>
                <c:pt idx="2680">
                  <c:v>-0.158611</c:v>
                </c:pt>
                <c:pt idx="2681">
                  <c:v>-0.10055600000000001</c:v>
                </c:pt>
                <c:pt idx="2682">
                  <c:v>-3.0832999999999999E-2</c:v>
                </c:pt>
                <c:pt idx="2683">
                  <c:v>2.0833000000000001E-2</c:v>
                </c:pt>
                <c:pt idx="2684">
                  <c:v>8.5555999999999993E-2</c:v>
                </c:pt>
                <c:pt idx="2685">
                  <c:v>0.159722</c:v>
                </c:pt>
                <c:pt idx="2686">
                  <c:v>0.20027800000000001</c:v>
                </c:pt>
                <c:pt idx="2687">
                  <c:v>0.246111</c:v>
                </c:pt>
                <c:pt idx="2688">
                  <c:v>0.27722200000000002</c:v>
                </c:pt>
                <c:pt idx="2689">
                  <c:v>0.30277799999999999</c:v>
                </c:pt>
                <c:pt idx="2690">
                  <c:v>0.33416699999999999</c:v>
                </c:pt>
                <c:pt idx="2691">
                  <c:v>0.35277799999999998</c:v>
                </c:pt>
                <c:pt idx="2692">
                  <c:v>0.35</c:v>
                </c:pt>
                <c:pt idx="2693">
                  <c:v>0.31861099999999998</c:v>
                </c:pt>
                <c:pt idx="2694">
                  <c:v>0.255</c:v>
                </c:pt>
                <c:pt idx="2695">
                  <c:v>0.192778</c:v>
                </c:pt>
                <c:pt idx="2696">
                  <c:v>0.13888900000000001</c:v>
                </c:pt>
                <c:pt idx="2697">
                  <c:v>8.5555999999999993E-2</c:v>
                </c:pt>
                <c:pt idx="2698">
                  <c:v>2.9444000000000001E-2</c:v>
                </c:pt>
                <c:pt idx="2699">
                  <c:v>2.8056000000000001E-2</c:v>
                </c:pt>
                <c:pt idx="2700">
                  <c:v>0.106944</c:v>
                </c:pt>
                <c:pt idx="2701">
                  <c:v>0.17388899999999999</c:v>
                </c:pt>
                <c:pt idx="2702">
                  <c:v>0.214722</c:v>
                </c:pt>
                <c:pt idx="2703">
                  <c:v>0.28805599999999998</c:v>
                </c:pt>
                <c:pt idx="2704">
                  <c:v>0.36333300000000002</c:v>
                </c:pt>
                <c:pt idx="2705">
                  <c:v>0.38611099999999998</c:v>
                </c:pt>
                <c:pt idx="2706">
                  <c:v>0.436944</c:v>
                </c:pt>
                <c:pt idx="2707">
                  <c:v>0.466389</c:v>
                </c:pt>
                <c:pt idx="2708">
                  <c:v>0.50611099999999998</c:v>
                </c:pt>
                <c:pt idx="2709">
                  <c:v>0.57583300000000004</c:v>
                </c:pt>
                <c:pt idx="2710">
                  <c:v>0.656111</c:v>
                </c:pt>
                <c:pt idx="2711">
                  <c:v>0.75388900000000003</c:v>
                </c:pt>
                <c:pt idx="2712">
                  <c:v>0.848889</c:v>
                </c:pt>
                <c:pt idx="2713">
                  <c:v>0.91194399999999998</c:v>
                </c:pt>
                <c:pt idx="2714">
                  <c:v>1.006111</c:v>
                </c:pt>
                <c:pt idx="2715">
                  <c:v>0.98833300000000002</c:v>
                </c:pt>
                <c:pt idx="2716">
                  <c:v>1.075278</c:v>
                </c:pt>
                <c:pt idx="2717">
                  <c:v>1.1763889999999999</c:v>
                </c:pt>
                <c:pt idx="2718">
                  <c:v>1.282222</c:v>
                </c:pt>
                <c:pt idx="2719">
                  <c:v>1.3680559999999999</c:v>
                </c:pt>
                <c:pt idx="2720">
                  <c:v>1.4325000000000001</c:v>
                </c:pt>
                <c:pt idx="2721">
                  <c:v>1.4950000000000001</c:v>
                </c:pt>
                <c:pt idx="2722">
                  <c:v>1.561944</c:v>
                </c:pt>
                <c:pt idx="2723">
                  <c:v>1.6269439999999999</c:v>
                </c:pt>
                <c:pt idx="2724">
                  <c:v>1.6805559999999999</c:v>
                </c:pt>
                <c:pt idx="2725">
                  <c:v>1.711111</c:v>
                </c:pt>
                <c:pt idx="2726">
                  <c:v>1.7344440000000001</c:v>
                </c:pt>
                <c:pt idx="2727">
                  <c:v>1.7450000000000001</c:v>
                </c:pt>
                <c:pt idx="2728">
                  <c:v>1.7472220000000001</c:v>
                </c:pt>
                <c:pt idx="2729">
                  <c:v>1.769444</c:v>
                </c:pt>
                <c:pt idx="2730">
                  <c:v>1.7375</c:v>
                </c:pt>
                <c:pt idx="2731">
                  <c:v>1.724167</c:v>
                </c:pt>
                <c:pt idx="2732">
                  <c:v>1.6852780000000001</c:v>
                </c:pt>
                <c:pt idx="2733">
                  <c:v>1.6422220000000001</c:v>
                </c:pt>
                <c:pt idx="2734">
                  <c:v>1.6269439999999999</c:v>
                </c:pt>
                <c:pt idx="2735">
                  <c:v>1.615</c:v>
                </c:pt>
                <c:pt idx="2736">
                  <c:v>1.5916669999999999</c:v>
                </c:pt>
                <c:pt idx="2737">
                  <c:v>1.533056</c:v>
                </c:pt>
                <c:pt idx="2738">
                  <c:v>1.4658329999999999</c:v>
                </c:pt>
                <c:pt idx="2739">
                  <c:v>1.425</c:v>
                </c:pt>
                <c:pt idx="2740">
                  <c:v>1.3761110000000001</c:v>
                </c:pt>
                <c:pt idx="2741">
                  <c:v>1.325278</c:v>
                </c:pt>
                <c:pt idx="2742">
                  <c:v>1.2836110000000001</c:v>
                </c:pt>
                <c:pt idx="2743">
                  <c:v>1.2549999999999999</c:v>
                </c:pt>
                <c:pt idx="2744">
                  <c:v>1.2555559999999999</c:v>
                </c:pt>
                <c:pt idx="2745">
                  <c:v>1.1683330000000001</c:v>
                </c:pt>
                <c:pt idx="2746">
                  <c:v>1.131111</c:v>
                </c:pt>
                <c:pt idx="2747">
                  <c:v>1.2250000000000001</c:v>
                </c:pt>
                <c:pt idx="2748">
                  <c:v>1.289722</c:v>
                </c:pt>
                <c:pt idx="2749">
                  <c:v>1.233333</c:v>
                </c:pt>
                <c:pt idx="2750">
                  <c:v>1.2130559999999999</c:v>
                </c:pt>
                <c:pt idx="2751">
                  <c:v>1.273056</c:v>
                </c:pt>
                <c:pt idx="2752">
                  <c:v>1.2725</c:v>
                </c:pt>
                <c:pt idx="2753">
                  <c:v>1.2183330000000001</c:v>
                </c:pt>
                <c:pt idx="2754">
                  <c:v>1.151389</c:v>
                </c:pt>
                <c:pt idx="2755">
                  <c:v>1.068889</c:v>
                </c:pt>
                <c:pt idx="2756">
                  <c:v>1.0147219999999999</c:v>
                </c:pt>
                <c:pt idx="2757">
                  <c:v>0.93</c:v>
                </c:pt>
                <c:pt idx="2758">
                  <c:v>0.88305599999999995</c:v>
                </c:pt>
                <c:pt idx="2759">
                  <c:v>0.81555599999999995</c:v>
                </c:pt>
                <c:pt idx="2760">
                  <c:v>0.73388900000000001</c:v>
                </c:pt>
                <c:pt idx="2761">
                  <c:v>0.76777799999999996</c:v>
                </c:pt>
                <c:pt idx="2762">
                  <c:v>0.82444399999999995</c:v>
                </c:pt>
                <c:pt idx="2763">
                  <c:v>0.89666699999999999</c:v>
                </c:pt>
                <c:pt idx="2764">
                  <c:v>0.95888899999999999</c:v>
                </c:pt>
                <c:pt idx="2765">
                  <c:v>0.94805600000000001</c:v>
                </c:pt>
                <c:pt idx="2766">
                  <c:v>0.89249999999999996</c:v>
                </c:pt>
                <c:pt idx="2767">
                  <c:v>0.81833299999999998</c:v>
                </c:pt>
                <c:pt idx="2768">
                  <c:v>0.88055600000000001</c:v>
                </c:pt>
                <c:pt idx="2769">
                  <c:v>0.95555599999999996</c:v>
                </c:pt>
                <c:pt idx="2770">
                  <c:v>0.905833</c:v>
                </c:pt>
                <c:pt idx="2771">
                  <c:v>0.84527799999999997</c:v>
                </c:pt>
                <c:pt idx="2772">
                  <c:v>0.77916700000000005</c:v>
                </c:pt>
                <c:pt idx="2773">
                  <c:v>0.68055600000000005</c:v>
                </c:pt>
                <c:pt idx="2774">
                  <c:v>0.60916700000000001</c:v>
                </c:pt>
                <c:pt idx="2775">
                  <c:v>0.53749999999999998</c:v>
                </c:pt>
                <c:pt idx="2776">
                  <c:v>0.45611099999999999</c:v>
                </c:pt>
                <c:pt idx="2777">
                  <c:v>0.41222199999999998</c:v>
                </c:pt>
                <c:pt idx="2778">
                  <c:v>0.43333300000000002</c:v>
                </c:pt>
                <c:pt idx="2779">
                  <c:v>0.48916700000000002</c:v>
                </c:pt>
                <c:pt idx="2780">
                  <c:v>0.57805600000000001</c:v>
                </c:pt>
                <c:pt idx="2781">
                  <c:v>0.66583300000000001</c:v>
                </c:pt>
                <c:pt idx="2782">
                  <c:v>0.72527799999999998</c:v>
                </c:pt>
                <c:pt idx="2783">
                  <c:v>0.64</c:v>
                </c:pt>
                <c:pt idx="2784">
                  <c:v>0.57499999999999996</c:v>
                </c:pt>
                <c:pt idx="2785">
                  <c:v>0.60027799999999998</c:v>
                </c:pt>
                <c:pt idx="2786">
                  <c:v>0.66666700000000001</c:v>
                </c:pt>
                <c:pt idx="2787">
                  <c:v>0.70444399999999996</c:v>
                </c:pt>
                <c:pt idx="2788">
                  <c:v>0.74138899999999996</c:v>
                </c:pt>
                <c:pt idx="2789">
                  <c:v>0.79666700000000001</c:v>
                </c:pt>
                <c:pt idx="2790">
                  <c:v>0.89249999999999996</c:v>
                </c:pt>
                <c:pt idx="2791">
                  <c:v>0.94416699999999998</c:v>
                </c:pt>
                <c:pt idx="2792">
                  <c:v>0.89277799999999996</c:v>
                </c:pt>
                <c:pt idx="2793">
                  <c:v>0.79361099999999996</c:v>
                </c:pt>
                <c:pt idx="2794">
                  <c:v>0.88416700000000004</c:v>
                </c:pt>
                <c:pt idx="2795">
                  <c:v>0.97083299999999995</c:v>
                </c:pt>
                <c:pt idx="2796">
                  <c:v>1.046111</c:v>
                </c:pt>
                <c:pt idx="2797">
                  <c:v>1.1327780000000001</c:v>
                </c:pt>
                <c:pt idx="2798">
                  <c:v>1.2150000000000001</c:v>
                </c:pt>
                <c:pt idx="2799">
                  <c:v>1.3069440000000001</c:v>
                </c:pt>
                <c:pt idx="2800">
                  <c:v>1.3933329999999999</c:v>
                </c:pt>
                <c:pt idx="2802">
                  <c:v>1.437222</c:v>
                </c:pt>
                <c:pt idx="2803">
                  <c:v>1.3769439999999999</c:v>
                </c:pt>
                <c:pt idx="2804">
                  <c:v>1.399167</c:v>
                </c:pt>
                <c:pt idx="2805">
                  <c:v>1.411111</c:v>
                </c:pt>
                <c:pt idx="2806">
                  <c:v>1.3866670000000001</c:v>
                </c:pt>
                <c:pt idx="2807">
                  <c:v>1.3274999999999999</c:v>
                </c:pt>
                <c:pt idx="2808">
                  <c:v>1.2572220000000001</c:v>
                </c:pt>
                <c:pt idx="2809">
                  <c:v>1.1894439999999999</c:v>
                </c:pt>
                <c:pt idx="2810">
                  <c:v>1.1002780000000001</c:v>
                </c:pt>
                <c:pt idx="2811">
                  <c:v>1.0380560000000001</c:v>
                </c:pt>
                <c:pt idx="2812">
                  <c:v>0.98611099999999996</c:v>
                </c:pt>
                <c:pt idx="2813">
                  <c:v>0.96972199999999997</c:v>
                </c:pt>
                <c:pt idx="2814">
                  <c:v>0.94944399999999995</c:v>
                </c:pt>
                <c:pt idx="2815">
                  <c:v>0.85027799999999998</c:v>
                </c:pt>
                <c:pt idx="2816">
                  <c:v>0.76611099999999999</c:v>
                </c:pt>
                <c:pt idx="2817">
                  <c:v>0.70583300000000004</c:v>
                </c:pt>
                <c:pt idx="2818">
                  <c:v>0.64694399999999996</c:v>
                </c:pt>
                <c:pt idx="2819">
                  <c:v>0.57194400000000001</c:v>
                </c:pt>
                <c:pt idx="2820">
                  <c:v>0.49333300000000002</c:v>
                </c:pt>
                <c:pt idx="2821">
                  <c:v>0.41055599999999998</c:v>
                </c:pt>
                <c:pt idx="2822">
                  <c:v>0.34305600000000003</c:v>
                </c:pt>
                <c:pt idx="2823">
                  <c:v>0.29083300000000001</c:v>
                </c:pt>
                <c:pt idx="2824">
                  <c:v>0.22805600000000001</c:v>
                </c:pt>
                <c:pt idx="2825">
                  <c:v>0.14638899999999999</c:v>
                </c:pt>
                <c:pt idx="2826">
                  <c:v>6.9722000000000006E-2</c:v>
                </c:pt>
                <c:pt idx="2827">
                  <c:v>-1.3332999999999999E-2</c:v>
                </c:pt>
                <c:pt idx="2828">
                  <c:v>-0.10083300000000001</c:v>
                </c:pt>
                <c:pt idx="2829">
                  <c:v>-0.190833</c:v>
                </c:pt>
                <c:pt idx="2830">
                  <c:v>-0.27750000000000002</c:v>
                </c:pt>
                <c:pt idx="2831">
                  <c:v>-0.35055599999999998</c:v>
                </c:pt>
                <c:pt idx="2832">
                  <c:v>-0.43055599999999999</c:v>
                </c:pt>
                <c:pt idx="2833">
                  <c:v>-0.51916700000000005</c:v>
                </c:pt>
                <c:pt idx="2834">
                  <c:v>-0.60166699999999995</c:v>
                </c:pt>
                <c:pt idx="2835">
                  <c:v>-0.68500000000000005</c:v>
                </c:pt>
                <c:pt idx="2836">
                  <c:v>-0.74694400000000005</c:v>
                </c:pt>
                <c:pt idx="2837">
                  <c:v>-0.76222199999999996</c:v>
                </c:pt>
                <c:pt idx="2838">
                  <c:v>-0.83333299999999999</c:v>
                </c:pt>
                <c:pt idx="2839">
                  <c:v>-0.90416700000000005</c:v>
                </c:pt>
                <c:pt idx="2840">
                  <c:v>-0.87277800000000005</c:v>
                </c:pt>
                <c:pt idx="2841">
                  <c:v>-0.90722199999999997</c:v>
                </c:pt>
                <c:pt idx="2842">
                  <c:v>-0.93138900000000002</c:v>
                </c:pt>
                <c:pt idx="2843">
                  <c:v>-0.94916699999999998</c:v>
                </c:pt>
                <c:pt idx="2844">
                  <c:v>-0.97944399999999998</c:v>
                </c:pt>
                <c:pt idx="2845">
                  <c:v>-1.004167</c:v>
                </c:pt>
                <c:pt idx="2846">
                  <c:v>-0.99166699999999997</c:v>
                </c:pt>
                <c:pt idx="2847">
                  <c:v>-1.0375000000000001</c:v>
                </c:pt>
                <c:pt idx="2848">
                  <c:v>-1.0972219999999999</c:v>
                </c:pt>
                <c:pt idx="2849">
                  <c:v>-1.0900000000000001</c:v>
                </c:pt>
                <c:pt idx="2850">
                  <c:v>-1.1105560000000001</c:v>
                </c:pt>
                <c:pt idx="2851">
                  <c:v>-1.141389</c:v>
                </c:pt>
                <c:pt idx="2852">
                  <c:v>-1.1294439999999999</c:v>
                </c:pt>
                <c:pt idx="2853">
                  <c:v>-1.199722</c:v>
                </c:pt>
                <c:pt idx="2854">
                  <c:v>-1.263889</c:v>
                </c:pt>
                <c:pt idx="2855">
                  <c:v>-1.3280559999999999</c:v>
                </c:pt>
                <c:pt idx="2856">
                  <c:v>-1.3919440000000001</c:v>
                </c:pt>
                <c:pt idx="2857">
                  <c:v>-1.463611</c:v>
                </c:pt>
                <c:pt idx="2858">
                  <c:v>-1.4122220000000001</c:v>
                </c:pt>
                <c:pt idx="2859">
                  <c:v>-1.355278</c:v>
                </c:pt>
                <c:pt idx="2860">
                  <c:v>-1.306389</c:v>
                </c:pt>
                <c:pt idx="2861">
                  <c:v>-1.355278</c:v>
                </c:pt>
                <c:pt idx="2862">
                  <c:v>-1.4391670000000001</c:v>
                </c:pt>
                <c:pt idx="2863">
                  <c:v>-1.506111</c:v>
                </c:pt>
                <c:pt idx="2864">
                  <c:v>-1.5613889999999999</c:v>
                </c:pt>
                <c:pt idx="2865">
                  <c:v>-1.6361110000000001</c:v>
                </c:pt>
                <c:pt idx="2866">
                  <c:v>-1.723889</c:v>
                </c:pt>
                <c:pt idx="2867">
                  <c:v>-1.7408330000000001</c:v>
                </c:pt>
                <c:pt idx="2868">
                  <c:v>-1.8316669999999999</c:v>
                </c:pt>
                <c:pt idx="2869">
                  <c:v>-1.9027780000000001</c:v>
                </c:pt>
                <c:pt idx="2870">
                  <c:v>-1.940833</c:v>
                </c:pt>
                <c:pt idx="2871">
                  <c:v>-2.0150000000000001</c:v>
                </c:pt>
                <c:pt idx="2872">
                  <c:v>-2.072778</c:v>
                </c:pt>
                <c:pt idx="2873">
                  <c:v>-2.0291670000000002</c:v>
                </c:pt>
                <c:pt idx="2874">
                  <c:v>-1.988056</c:v>
                </c:pt>
                <c:pt idx="2875">
                  <c:v>-1.941667</c:v>
                </c:pt>
                <c:pt idx="2876">
                  <c:v>-1.931111</c:v>
                </c:pt>
                <c:pt idx="2877">
                  <c:v>-1.969444</c:v>
                </c:pt>
                <c:pt idx="2878">
                  <c:v>-2.0525000000000002</c:v>
                </c:pt>
                <c:pt idx="2879">
                  <c:v>-2.1202779999999999</c:v>
                </c:pt>
                <c:pt idx="2880">
                  <c:v>-2.2047219999999998</c:v>
                </c:pt>
                <c:pt idx="2881">
                  <c:v>-2.3019440000000002</c:v>
                </c:pt>
                <c:pt idx="2882">
                  <c:v>-2.3941669999999999</c:v>
                </c:pt>
                <c:pt idx="2883">
                  <c:v>-2.4444439999999998</c:v>
                </c:pt>
                <c:pt idx="2884">
                  <c:v>-2.4236110000000002</c:v>
                </c:pt>
                <c:pt idx="2885">
                  <c:v>-2.4416669999999998</c:v>
                </c:pt>
                <c:pt idx="2887">
                  <c:v>-2.4527779999999999</c:v>
                </c:pt>
                <c:pt idx="2888">
                  <c:v>-2.499444</c:v>
                </c:pt>
                <c:pt idx="2889">
                  <c:v>-2.5594440000000001</c:v>
                </c:pt>
                <c:pt idx="2890">
                  <c:v>-2.6172219999999999</c:v>
                </c:pt>
                <c:pt idx="2891">
                  <c:v>-2.6947220000000001</c:v>
                </c:pt>
                <c:pt idx="2892">
                  <c:v>-2.7605559999999998</c:v>
                </c:pt>
                <c:pt idx="2893">
                  <c:v>-2.849167</c:v>
                </c:pt>
                <c:pt idx="2894">
                  <c:v>-2.9352779999999998</c:v>
                </c:pt>
                <c:pt idx="2895">
                  <c:v>-3.0041669999999998</c:v>
                </c:pt>
                <c:pt idx="2896">
                  <c:v>-3.0897220000000001</c:v>
                </c:pt>
                <c:pt idx="2897">
                  <c:v>-3.181111</c:v>
                </c:pt>
                <c:pt idx="2898">
                  <c:v>-3.2605559999999998</c:v>
                </c:pt>
                <c:pt idx="2899">
                  <c:v>-3.3088890000000002</c:v>
                </c:pt>
                <c:pt idx="2900">
                  <c:v>-3.3772220000000002</c:v>
                </c:pt>
                <c:pt idx="2901">
                  <c:v>-3.4244439999999998</c:v>
                </c:pt>
                <c:pt idx="2902">
                  <c:v>-3.4688889999999999</c:v>
                </c:pt>
                <c:pt idx="2903">
                  <c:v>-3.4469439999999998</c:v>
                </c:pt>
                <c:pt idx="2904">
                  <c:v>-3.4519440000000001</c:v>
                </c:pt>
                <c:pt idx="2905">
                  <c:v>-3.4969440000000001</c:v>
                </c:pt>
                <c:pt idx="2906">
                  <c:v>-3.4983330000000001</c:v>
                </c:pt>
                <c:pt idx="2907">
                  <c:v>-3.5330560000000002</c:v>
                </c:pt>
                <c:pt idx="2908">
                  <c:v>-3.5358329999999998</c:v>
                </c:pt>
                <c:pt idx="2909">
                  <c:v>-3.4933329999999998</c:v>
                </c:pt>
                <c:pt idx="2910">
                  <c:v>-3.5261110000000002</c:v>
                </c:pt>
                <c:pt idx="2911">
                  <c:v>-3.5677780000000001</c:v>
                </c:pt>
                <c:pt idx="2912">
                  <c:v>-3.6138889999999999</c:v>
                </c:pt>
                <c:pt idx="2913">
                  <c:v>-3.6516670000000002</c:v>
                </c:pt>
                <c:pt idx="2914">
                  <c:v>-3.6719439999999999</c:v>
                </c:pt>
                <c:pt idx="2915">
                  <c:v>-3.7427779999999999</c:v>
                </c:pt>
                <c:pt idx="2916">
                  <c:v>-3.8094440000000001</c:v>
                </c:pt>
                <c:pt idx="2917">
                  <c:v>-3.855</c:v>
                </c:pt>
                <c:pt idx="2918">
                  <c:v>-3.9138890000000002</c:v>
                </c:pt>
                <c:pt idx="2919">
                  <c:v>-3.979444</c:v>
                </c:pt>
                <c:pt idx="2920">
                  <c:v>-4.0622220000000002</c:v>
                </c:pt>
                <c:pt idx="2921">
                  <c:v>-4.1163889999999999</c:v>
                </c:pt>
                <c:pt idx="2922">
                  <c:v>-4.1672219999999998</c:v>
                </c:pt>
                <c:pt idx="2923">
                  <c:v>-4.1988890000000003</c:v>
                </c:pt>
                <c:pt idx="2924">
                  <c:v>-4.1894439999999999</c:v>
                </c:pt>
                <c:pt idx="2925">
                  <c:v>-4.2430560000000002</c:v>
                </c:pt>
                <c:pt idx="2926">
                  <c:v>-4.3158329999999996</c:v>
                </c:pt>
                <c:pt idx="2927">
                  <c:v>-4.4144439999999996</c:v>
                </c:pt>
                <c:pt idx="2928">
                  <c:v>-4.4769439999999996</c:v>
                </c:pt>
                <c:pt idx="2929">
                  <c:v>-4.5716669999999997</c:v>
                </c:pt>
                <c:pt idx="2930">
                  <c:v>-4.6541670000000002</c:v>
                </c:pt>
                <c:pt idx="2931">
                  <c:v>-4.7019440000000001</c:v>
                </c:pt>
                <c:pt idx="2932">
                  <c:v>-4.7625000000000002</c:v>
                </c:pt>
                <c:pt idx="2933">
                  <c:v>-4.7850000000000001</c:v>
                </c:pt>
                <c:pt idx="2934">
                  <c:v>-4.7983330000000004</c:v>
                </c:pt>
                <c:pt idx="2935">
                  <c:v>-4.8669440000000002</c:v>
                </c:pt>
                <c:pt idx="2936">
                  <c:v>-4.9263890000000004</c:v>
                </c:pt>
                <c:pt idx="2937">
                  <c:v>-4.9755560000000001</c:v>
                </c:pt>
                <c:pt idx="2938">
                  <c:v>-4.9977780000000003</c:v>
                </c:pt>
                <c:pt idx="2939">
                  <c:v>-5.0163890000000002</c:v>
                </c:pt>
                <c:pt idx="2940">
                  <c:v>-5.03</c:v>
                </c:pt>
                <c:pt idx="2941">
                  <c:v>-5.0480559999999999</c:v>
                </c:pt>
                <c:pt idx="2942">
                  <c:v>-5.0533330000000003</c:v>
                </c:pt>
                <c:pt idx="2943">
                  <c:v>-5.0997219999999999</c:v>
                </c:pt>
                <c:pt idx="2944">
                  <c:v>-5.0711110000000001</c:v>
                </c:pt>
                <c:pt idx="2945">
                  <c:v>-5.07</c:v>
                </c:pt>
                <c:pt idx="2946">
                  <c:v>-5.1313890000000004</c:v>
                </c:pt>
                <c:pt idx="2947">
                  <c:v>-5.1830559999999997</c:v>
                </c:pt>
                <c:pt idx="2948">
                  <c:v>-5.2316669999999998</c:v>
                </c:pt>
                <c:pt idx="2949">
                  <c:v>-5.2508330000000001</c:v>
                </c:pt>
                <c:pt idx="2950">
                  <c:v>-5.2863889999999998</c:v>
                </c:pt>
                <c:pt idx="2951">
                  <c:v>-5.3511110000000004</c:v>
                </c:pt>
                <c:pt idx="2952">
                  <c:v>-5.4311109999999996</c:v>
                </c:pt>
                <c:pt idx="2953">
                  <c:v>-5.5061109999999998</c:v>
                </c:pt>
                <c:pt idx="2954">
                  <c:v>-5.5377780000000003</c:v>
                </c:pt>
                <c:pt idx="2955">
                  <c:v>-5.5883330000000004</c:v>
                </c:pt>
                <c:pt idx="2956">
                  <c:v>-5.6722219999999997</c:v>
                </c:pt>
                <c:pt idx="2957">
                  <c:v>-5.7147220000000001</c:v>
                </c:pt>
                <c:pt idx="2958">
                  <c:v>-5.7094440000000004</c:v>
                </c:pt>
                <c:pt idx="2959">
                  <c:v>-5.6666670000000003</c:v>
                </c:pt>
                <c:pt idx="2960">
                  <c:v>-5.5977779999999999</c:v>
                </c:pt>
                <c:pt idx="2961">
                  <c:v>-5.5297219999999996</c:v>
                </c:pt>
                <c:pt idx="2962">
                  <c:v>-5.4688889999999999</c:v>
                </c:pt>
                <c:pt idx="2963">
                  <c:v>-5.4016669999999998</c:v>
                </c:pt>
                <c:pt idx="2964">
                  <c:v>-5.3391669999999998</c:v>
                </c:pt>
                <c:pt idx="2965">
                  <c:v>-5.2813889999999999</c:v>
                </c:pt>
                <c:pt idx="2966">
                  <c:v>-5.2283330000000001</c:v>
                </c:pt>
                <c:pt idx="2967">
                  <c:v>-5.173889</c:v>
                </c:pt>
                <c:pt idx="2968">
                  <c:v>-5.1502780000000001</c:v>
                </c:pt>
                <c:pt idx="2969">
                  <c:v>-5.1036109999999999</c:v>
                </c:pt>
                <c:pt idx="2970">
                  <c:v>-5.043056</c:v>
                </c:pt>
                <c:pt idx="2971">
                  <c:v>-5.0333329999999998</c:v>
                </c:pt>
                <c:pt idx="2972">
                  <c:v>-5.0216669999999999</c:v>
                </c:pt>
                <c:pt idx="2973">
                  <c:v>-4.9647220000000001</c:v>
                </c:pt>
                <c:pt idx="2974">
                  <c:v>-4.9249999999999998</c:v>
                </c:pt>
                <c:pt idx="2975">
                  <c:v>-4.9044439999999998</c:v>
                </c:pt>
                <c:pt idx="2976">
                  <c:v>-4.8202780000000001</c:v>
                </c:pt>
                <c:pt idx="2977">
                  <c:v>-4.7605560000000002</c:v>
                </c:pt>
                <c:pt idx="2978">
                  <c:v>-4.7436109999999996</c:v>
                </c:pt>
                <c:pt idx="2979">
                  <c:v>-4.6819439999999997</c:v>
                </c:pt>
                <c:pt idx="2980">
                  <c:v>-4.6402780000000003</c:v>
                </c:pt>
                <c:pt idx="2981">
                  <c:v>-4.585</c:v>
                </c:pt>
                <c:pt idx="2982">
                  <c:v>-4.5475000000000003</c:v>
                </c:pt>
                <c:pt idx="2983">
                  <c:v>-4.5575000000000001</c:v>
                </c:pt>
                <c:pt idx="2984">
                  <c:v>-4.5413889999999997</c:v>
                </c:pt>
                <c:pt idx="2985">
                  <c:v>-4.5274999999999999</c:v>
                </c:pt>
                <c:pt idx="2987">
                  <c:v>-4.4488890000000003</c:v>
                </c:pt>
                <c:pt idx="2988">
                  <c:v>-4.375</c:v>
                </c:pt>
                <c:pt idx="2989">
                  <c:v>-4.2977780000000001</c:v>
                </c:pt>
                <c:pt idx="2990">
                  <c:v>-4.2411110000000001</c:v>
                </c:pt>
                <c:pt idx="2991">
                  <c:v>-4.2066670000000004</c:v>
                </c:pt>
                <c:pt idx="2992">
                  <c:v>-4.236389</c:v>
                </c:pt>
                <c:pt idx="2993">
                  <c:v>-4.2066670000000004</c:v>
                </c:pt>
                <c:pt idx="2994">
                  <c:v>-4.1863890000000001</c:v>
                </c:pt>
                <c:pt idx="2995">
                  <c:v>-4.104444</c:v>
                </c:pt>
                <c:pt idx="2996">
                  <c:v>-4.0180559999999996</c:v>
                </c:pt>
                <c:pt idx="2997">
                  <c:v>-3.934167</c:v>
                </c:pt>
                <c:pt idx="2998">
                  <c:v>-3.851944</c:v>
                </c:pt>
                <c:pt idx="2999">
                  <c:v>-3.7711109999999999</c:v>
                </c:pt>
                <c:pt idx="3000">
                  <c:v>-3.681667</c:v>
                </c:pt>
                <c:pt idx="3001">
                  <c:v>-3.5916670000000002</c:v>
                </c:pt>
                <c:pt idx="3002">
                  <c:v>-3.5116670000000001</c:v>
                </c:pt>
                <c:pt idx="3003">
                  <c:v>-3.4344440000000001</c:v>
                </c:pt>
                <c:pt idx="3004">
                  <c:v>-3.3611110000000002</c:v>
                </c:pt>
                <c:pt idx="3005">
                  <c:v>-3.2611110000000001</c:v>
                </c:pt>
                <c:pt idx="3006">
                  <c:v>-3.1863890000000001</c:v>
                </c:pt>
                <c:pt idx="3007">
                  <c:v>-3.0997219999999999</c:v>
                </c:pt>
                <c:pt idx="3008">
                  <c:v>-3.0188890000000002</c:v>
                </c:pt>
                <c:pt idx="3009">
                  <c:v>-3.0091670000000001</c:v>
                </c:pt>
                <c:pt idx="3010">
                  <c:v>-3.0086110000000001</c:v>
                </c:pt>
                <c:pt idx="3011">
                  <c:v>-2.9836109999999998</c:v>
                </c:pt>
                <c:pt idx="3012">
                  <c:v>-2.963889</c:v>
                </c:pt>
                <c:pt idx="3013">
                  <c:v>-2.9094440000000001</c:v>
                </c:pt>
                <c:pt idx="3014">
                  <c:v>-2.8616670000000002</c:v>
                </c:pt>
                <c:pt idx="3015">
                  <c:v>-2.8083330000000002</c:v>
                </c:pt>
                <c:pt idx="3016">
                  <c:v>-2.7319439999999999</c:v>
                </c:pt>
                <c:pt idx="3017">
                  <c:v>-2.681111</c:v>
                </c:pt>
                <c:pt idx="3018">
                  <c:v>-2.6477780000000002</c:v>
                </c:pt>
                <c:pt idx="3019">
                  <c:v>-2.5966670000000001</c:v>
                </c:pt>
                <c:pt idx="3020">
                  <c:v>-2.5558329999999998</c:v>
                </c:pt>
                <c:pt idx="3021">
                  <c:v>-2.4988890000000001</c:v>
                </c:pt>
                <c:pt idx="3022">
                  <c:v>-2.4544440000000001</c:v>
                </c:pt>
                <c:pt idx="3023">
                  <c:v>-2.3819439999999998</c:v>
                </c:pt>
                <c:pt idx="3024">
                  <c:v>-2.4022220000000001</c:v>
                </c:pt>
                <c:pt idx="3025">
                  <c:v>-2.4824999999999999</c:v>
                </c:pt>
                <c:pt idx="3026">
                  <c:v>-2.5330560000000002</c:v>
                </c:pt>
                <c:pt idx="3027">
                  <c:v>-2.5944440000000002</c:v>
                </c:pt>
                <c:pt idx="3028">
                  <c:v>-2.6430560000000001</c:v>
                </c:pt>
                <c:pt idx="3029">
                  <c:v>-2.6952780000000001</c:v>
                </c:pt>
                <c:pt idx="3030">
                  <c:v>-2.769444</c:v>
                </c:pt>
                <c:pt idx="3031">
                  <c:v>-2.8377780000000001</c:v>
                </c:pt>
                <c:pt idx="3032">
                  <c:v>-2.9261110000000001</c:v>
                </c:pt>
                <c:pt idx="3033">
                  <c:v>-2.9880559999999998</c:v>
                </c:pt>
                <c:pt idx="3034">
                  <c:v>-3.0452780000000002</c:v>
                </c:pt>
                <c:pt idx="3035">
                  <c:v>-3.1105559999999999</c:v>
                </c:pt>
                <c:pt idx="3036">
                  <c:v>-3.1580560000000002</c:v>
                </c:pt>
                <c:pt idx="3037">
                  <c:v>-3.1663890000000001</c:v>
                </c:pt>
                <c:pt idx="3038">
                  <c:v>-3.2433329999999998</c:v>
                </c:pt>
                <c:pt idx="3039">
                  <c:v>-3.3205559999999998</c:v>
                </c:pt>
                <c:pt idx="3040">
                  <c:v>-3.4105560000000001</c:v>
                </c:pt>
                <c:pt idx="3041">
                  <c:v>-3.4997220000000002</c:v>
                </c:pt>
                <c:pt idx="3042">
                  <c:v>-3.5694439999999998</c:v>
                </c:pt>
                <c:pt idx="3043">
                  <c:v>-3.6286109999999998</c:v>
                </c:pt>
                <c:pt idx="3044">
                  <c:v>-3.6897220000000002</c:v>
                </c:pt>
                <c:pt idx="3045">
                  <c:v>-3.746111</c:v>
                </c:pt>
                <c:pt idx="3046">
                  <c:v>-3.766111</c:v>
                </c:pt>
                <c:pt idx="3047">
                  <c:v>-3.8127779999999998</c:v>
                </c:pt>
                <c:pt idx="3048">
                  <c:v>-3.8636110000000001</c:v>
                </c:pt>
                <c:pt idx="3049">
                  <c:v>-3.9494440000000002</c:v>
                </c:pt>
                <c:pt idx="3050">
                  <c:v>-3.9969440000000001</c:v>
                </c:pt>
                <c:pt idx="3051">
                  <c:v>-4.01</c:v>
                </c:pt>
                <c:pt idx="3052">
                  <c:v>-4.0697219999999996</c:v>
                </c:pt>
                <c:pt idx="3053">
                  <c:v>-4.1472220000000002</c:v>
                </c:pt>
                <c:pt idx="3054">
                  <c:v>-4.2022219999999999</c:v>
                </c:pt>
                <c:pt idx="3055">
                  <c:v>-4.2711110000000003</c:v>
                </c:pt>
                <c:pt idx="3056">
                  <c:v>-4.2836109999999996</c:v>
                </c:pt>
                <c:pt idx="3057">
                  <c:v>-4.2536110000000003</c:v>
                </c:pt>
                <c:pt idx="3058">
                  <c:v>-4.2061109999999999</c:v>
                </c:pt>
                <c:pt idx="3059">
                  <c:v>-4.1277780000000002</c:v>
                </c:pt>
                <c:pt idx="3060">
                  <c:v>-4.0652780000000002</c:v>
                </c:pt>
                <c:pt idx="3061">
                  <c:v>-4.1116669999999997</c:v>
                </c:pt>
                <c:pt idx="3062">
                  <c:v>-4.1802780000000004</c:v>
                </c:pt>
                <c:pt idx="3063">
                  <c:v>-4.2727779999999997</c:v>
                </c:pt>
                <c:pt idx="3064">
                  <c:v>-4.3408329999999999</c:v>
                </c:pt>
                <c:pt idx="3065">
                  <c:v>-4.3694439999999997</c:v>
                </c:pt>
                <c:pt idx="3066">
                  <c:v>-4.329167</c:v>
                </c:pt>
                <c:pt idx="3067">
                  <c:v>-4.3605559999999999</c:v>
                </c:pt>
                <c:pt idx="3068">
                  <c:v>-4.395556</c:v>
                </c:pt>
                <c:pt idx="3069">
                  <c:v>-4.4513889999999998</c:v>
                </c:pt>
                <c:pt idx="3070">
                  <c:v>-4.4613889999999996</c:v>
                </c:pt>
                <c:pt idx="3071">
                  <c:v>-4.5533330000000003</c:v>
                </c:pt>
                <c:pt idx="3072">
                  <c:v>-4.6458329999999997</c:v>
                </c:pt>
                <c:pt idx="3073">
                  <c:v>-4.6866669999999999</c:v>
                </c:pt>
                <c:pt idx="3074">
                  <c:v>-4.7194440000000002</c:v>
                </c:pt>
                <c:pt idx="3075">
                  <c:v>-4.7894439999999996</c:v>
                </c:pt>
                <c:pt idx="3076">
                  <c:v>-4.8663889999999999</c:v>
                </c:pt>
                <c:pt idx="3077">
                  <c:v>-4.9155559999999996</c:v>
                </c:pt>
                <c:pt idx="3078">
                  <c:v>-4.9836109999999998</c:v>
                </c:pt>
                <c:pt idx="3079">
                  <c:v>-5.0475000000000003</c:v>
                </c:pt>
                <c:pt idx="3080">
                  <c:v>-5.0766669999999996</c:v>
                </c:pt>
                <c:pt idx="3081">
                  <c:v>-5.0966670000000001</c:v>
                </c:pt>
                <c:pt idx="3082">
                  <c:v>-5.0438890000000001</c:v>
                </c:pt>
                <c:pt idx="3083">
                  <c:v>-4.9605560000000004</c:v>
                </c:pt>
                <c:pt idx="3084">
                  <c:v>-4.8827780000000001</c:v>
                </c:pt>
                <c:pt idx="3085">
                  <c:v>-4.9486109999999996</c:v>
                </c:pt>
                <c:pt idx="3086">
                  <c:v>-5.0277779999999996</c:v>
                </c:pt>
                <c:pt idx="3087">
                  <c:v>-5.1052780000000002</c:v>
                </c:pt>
                <c:pt idx="3088">
                  <c:v>-5.1619440000000001</c:v>
                </c:pt>
                <c:pt idx="3089">
                  <c:v>-5.183611</c:v>
                </c:pt>
                <c:pt idx="3090">
                  <c:v>-5.2469440000000001</c:v>
                </c:pt>
                <c:pt idx="3091">
                  <c:v>-5.1769439999999998</c:v>
                </c:pt>
                <c:pt idx="3092">
                  <c:v>-5.1041670000000003</c:v>
                </c:pt>
                <c:pt idx="3093">
                  <c:v>-5.1144439999999998</c:v>
                </c:pt>
                <c:pt idx="3094">
                  <c:v>-5.1616669999999996</c:v>
                </c:pt>
                <c:pt idx="3095">
                  <c:v>-5.2411110000000001</c:v>
                </c:pt>
                <c:pt idx="3096">
                  <c:v>-5.3063890000000002</c:v>
                </c:pt>
                <c:pt idx="3097">
                  <c:v>-5.2966670000000002</c:v>
                </c:pt>
                <c:pt idx="3098">
                  <c:v>-5.2286109999999999</c:v>
                </c:pt>
                <c:pt idx="3099">
                  <c:v>-5.1577780000000004</c:v>
                </c:pt>
                <c:pt idx="3100">
                  <c:v>-5.0883330000000004</c:v>
                </c:pt>
                <c:pt idx="3101">
                  <c:v>-5.0844440000000004</c:v>
                </c:pt>
                <c:pt idx="3102">
                  <c:v>-5.0044440000000003</c:v>
                </c:pt>
                <c:pt idx="3103">
                  <c:v>-4.9505559999999997</c:v>
                </c:pt>
                <c:pt idx="3104">
                  <c:v>-4.9091670000000001</c:v>
                </c:pt>
                <c:pt idx="3105">
                  <c:v>-4.8322219999999998</c:v>
                </c:pt>
                <c:pt idx="3106">
                  <c:v>-4.8055560000000002</c:v>
                </c:pt>
                <c:pt idx="3107">
                  <c:v>-4.7502779999999998</c:v>
                </c:pt>
                <c:pt idx="3108">
                  <c:v>-4.6922220000000001</c:v>
                </c:pt>
                <c:pt idx="3109">
                  <c:v>-4.6519440000000003</c:v>
                </c:pt>
                <c:pt idx="3110">
                  <c:v>-4.5655559999999999</c:v>
                </c:pt>
                <c:pt idx="3111">
                  <c:v>-4.4922219999999999</c:v>
                </c:pt>
                <c:pt idx="3112">
                  <c:v>-4.4294440000000002</c:v>
                </c:pt>
                <c:pt idx="3113">
                  <c:v>-4.3766670000000003</c:v>
                </c:pt>
                <c:pt idx="3114">
                  <c:v>-4.2966670000000002</c:v>
                </c:pt>
                <c:pt idx="3115">
                  <c:v>-4.2316669999999998</c:v>
                </c:pt>
                <c:pt idx="3116">
                  <c:v>-4.1819439999999997</c:v>
                </c:pt>
                <c:pt idx="3117">
                  <c:v>-4.1361109999999996</c:v>
                </c:pt>
                <c:pt idx="3118">
                  <c:v>-4.1002780000000003</c:v>
                </c:pt>
                <c:pt idx="3119">
                  <c:v>-4.0827780000000002</c:v>
                </c:pt>
                <c:pt idx="3120">
                  <c:v>-4.0608329999999997</c:v>
                </c:pt>
                <c:pt idx="3121">
                  <c:v>-4.0147219999999999</c:v>
                </c:pt>
                <c:pt idx="3122">
                  <c:v>-3.9469439999999998</c:v>
                </c:pt>
                <c:pt idx="3123">
                  <c:v>-4.023333</c:v>
                </c:pt>
                <c:pt idx="3124">
                  <c:v>-4.0866670000000003</c:v>
                </c:pt>
                <c:pt idx="3125">
                  <c:v>-4.1261109999999999</c:v>
                </c:pt>
                <c:pt idx="3126">
                  <c:v>-4.0933330000000003</c:v>
                </c:pt>
                <c:pt idx="3127">
                  <c:v>-4.0513890000000004</c:v>
                </c:pt>
                <c:pt idx="3128">
                  <c:v>-3.9891670000000001</c:v>
                </c:pt>
                <c:pt idx="3129">
                  <c:v>-4.0563890000000002</c:v>
                </c:pt>
                <c:pt idx="3130">
                  <c:v>-4.101667</c:v>
                </c:pt>
                <c:pt idx="3131">
                  <c:v>-4.148333</c:v>
                </c:pt>
                <c:pt idx="3132">
                  <c:v>-4.1194439999999997</c:v>
                </c:pt>
                <c:pt idx="3133">
                  <c:v>-4.1538890000000004</c:v>
                </c:pt>
                <c:pt idx="3134">
                  <c:v>-4.2341670000000002</c:v>
                </c:pt>
                <c:pt idx="3135">
                  <c:v>-4.3197219999999996</c:v>
                </c:pt>
                <c:pt idx="3136">
                  <c:v>-4.4002780000000001</c:v>
                </c:pt>
                <c:pt idx="3137">
                  <c:v>-4.4658329999999999</c:v>
                </c:pt>
                <c:pt idx="3138">
                  <c:v>-4.4797219999999998</c:v>
                </c:pt>
                <c:pt idx="3139">
                  <c:v>-4.5280560000000003</c:v>
                </c:pt>
                <c:pt idx="3140">
                  <c:v>-4.5811109999999999</c:v>
                </c:pt>
                <c:pt idx="3141">
                  <c:v>-4.6563889999999999</c:v>
                </c:pt>
                <c:pt idx="3142">
                  <c:v>-4.7227779999999999</c:v>
                </c:pt>
                <c:pt idx="3144">
                  <c:v>-4.7261110000000004</c:v>
                </c:pt>
                <c:pt idx="3145">
                  <c:v>-4.68</c:v>
                </c:pt>
                <c:pt idx="3146">
                  <c:v>-4.6244440000000004</c:v>
                </c:pt>
                <c:pt idx="3147">
                  <c:v>-4.5672220000000001</c:v>
                </c:pt>
                <c:pt idx="3148">
                  <c:v>-4.4983329999999997</c:v>
                </c:pt>
                <c:pt idx="3149">
                  <c:v>-4.4397219999999997</c:v>
                </c:pt>
                <c:pt idx="3150">
                  <c:v>-4.3816670000000002</c:v>
                </c:pt>
                <c:pt idx="3151">
                  <c:v>-4.3438889999999999</c:v>
                </c:pt>
                <c:pt idx="3152">
                  <c:v>-4.3255559999999997</c:v>
                </c:pt>
                <c:pt idx="3153">
                  <c:v>-4.2791670000000002</c:v>
                </c:pt>
                <c:pt idx="3154">
                  <c:v>-4.2227779999999999</c:v>
                </c:pt>
                <c:pt idx="3155">
                  <c:v>-4.1788889999999999</c:v>
                </c:pt>
                <c:pt idx="3156">
                  <c:v>-4.1002780000000003</c:v>
                </c:pt>
                <c:pt idx="3157">
                  <c:v>-4.0183330000000002</c:v>
                </c:pt>
                <c:pt idx="3158">
                  <c:v>-3.9494440000000002</c:v>
                </c:pt>
                <c:pt idx="3159">
                  <c:v>-3.8688889999999998</c:v>
                </c:pt>
                <c:pt idx="3160">
                  <c:v>-3.8430559999999998</c:v>
                </c:pt>
                <c:pt idx="3161">
                  <c:v>-3.8477779999999999</c:v>
                </c:pt>
                <c:pt idx="3162">
                  <c:v>-3.7708330000000001</c:v>
                </c:pt>
                <c:pt idx="3163">
                  <c:v>-3.6986110000000001</c:v>
                </c:pt>
                <c:pt idx="3164">
                  <c:v>-3.601111</c:v>
                </c:pt>
                <c:pt idx="3165">
                  <c:v>-3.5291670000000002</c:v>
                </c:pt>
                <c:pt idx="3166">
                  <c:v>-3.4525000000000001</c:v>
                </c:pt>
                <c:pt idx="3167">
                  <c:v>-3.3761109999999999</c:v>
                </c:pt>
                <c:pt idx="3168">
                  <c:v>-3.291944</c:v>
                </c:pt>
                <c:pt idx="3169">
                  <c:v>-3.226944</c:v>
                </c:pt>
                <c:pt idx="3170">
                  <c:v>-3.16</c:v>
                </c:pt>
                <c:pt idx="3171">
                  <c:v>-3.099167</c:v>
                </c:pt>
                <c:pt idx="3172">
                  <c:v>-3.0705559999999998</c:v>
                </c:pt>
                <c:pt idx="3173">
                  <c:v>-3.092778</c:v>
                </c:pt>
                <c:pt idx="3174">
                  <c:v>-3.1452779999999998</c:v>
                </c:pt>
                <c:pt idx="3175">
                  <c:v>-3.1911109999999998</c:v>
                </c:pt>
                <c:pt idx="3176">
                  <c:v>-3.1380560000000002</c:v>
                </c:pt>
                <c:pt idx="3177">
                  <c:v>-3.0608330000000001</c:v>
                </c:pt>
                <c:pt idx="3178">
                  <c:v>-3.0049999999999999</c:v>
                </c:pt>
                <c:pt idx="3179">
                  <c:v>-2.9725000000000001</c:v>
                </c:pt>
                <c:pt idx="3180">
                  <c:v>-2.931111</c:v>
                </c:pt>
                <c:pt idx="3181">
                  <c:v>-2.8566669999999998</c:v>
                </c:pt>
                <c:pt idx="3182">
                  <c:v>-2.7786110000000002</c:v>
                </c:pt>
                <c:pt idx="3183">
                  <c:v>-2.7383329999999999</c:v>
                </c:pt>
                <c:pt idx="3184">
                  <c:v>-2.798889</c:v>
                </c:pt>
                <c:pt idx="3185">
                  <c:v>-2.8855559999999998</c:v>
                </c:pt>
                <c:pt idx="3186">
                  <c:v>-2.9583330000000001</c:v>
                </c:pt>
                <c:pt idx="3187">
                  <c:v>-3.0022220000000002</c:v>
                </c:pt>
                <c:pt idx="3188">
                  <c:v>-3.0283329999999999</c:v>
                </c:pt>
                <c:pt idx="3189">
                  <c:v>-3.0633330000000001</c:v>
                </c:pt>
                <c:pt idx="3190">
                  <c:v>-3.1072220000000002</c:v>
                </c:pt>
                <c:pt idx="3191">
                  <c:v>-3.072778</c:v>
                </c:pt>
                <c:pt idx="3192">
                  <c:v>-3.0272220000000001</c:v>
                </c:pt>
                <c:pt idx="3193">
                  <c:v>-2.976667</c:v>
                </c:pt>
                <c:pt idx="3194">
                  <c:v>-2.91</c:v>
                </c:pt>
                <c:pt idx="3195">
                  <c:v>-2.8397220000000001</c:v>
                </c:pt>
                <c:pt idx="3196">
                  <c:v>-2.92</c:v>
                </c:pt>
                <c:pt idx="3197">
                  <c:v>-3.0044439999999999</c:v>
                </c:pt>
                <c:pt idx="3198">
                  <c:v>-3.0572219999999999</c:v>
                </c:pt>
                <c:pt idx="3199">
                  <c:v>-3.0558329999999998</c:v>
                </c:pt>
                <c:pt idx="3200">
                  <c:v>-3.0441669999999998</c:v>
                </c:pt>
                <c:pt idx="3201">
                  <c:v>-3.021944</c:v>
                </c:pt>
                <c:pt idx="3202">
                  <c:v>-2.9361109999999999</c:v>
                </c:pt>
                <c:pt idx="3203">
                  <c:v>-2.87</c:v>
                </c:pt>
                <c:pt idx="3204">
                  <c:v>-2.8661110000000001</c:v>
                </c:pt>
                <c:pt idx="3205">
                  <c:v>-2.8833329999999999</c:v>
                </c:pt>
                <c:pt idx="3206">
                  <c:v>-2.9080560000000002</c:v>
                </c:pt>
                <c:pt idx="3207">
                  <c:v>-2.851944</c:v>
                </c:pt>
                <c:pt idx="3208">
                  <c:v>-2.8019440000000002</c:v>
                </c:pt>
                <c:pt idx="3209">
                  <c:v>-2.8311109999999999</c:v>
                </c:pt>
                <c:pt idx="3210">
                  <c:v>-2.8197220000000001</c:v>
                </c:pt>
                <c:pt idx="3211">
                  <c:v>-2.8952779999999998</c:v>
                </c:pt>
                <c:pt idx="3212">
                  <c:v>-2.9566669999999999</c:v>
                </c:pt>
                <c:pt idx="3213">
                  <c:v>-3.016111</c:v>
                </c:pt>
                <c:pt idx="3214">
                  <c:v>-3.0533329999999999</c:v>
                </c:pt>
                <c:pt idx="3215">
                  <c:v>-3.0941670000000001</c:v>
                </c:pt>
                <c:pt idx="3216">
                  <c:v>-3.155278</c:v>
                </c:pt>
                <c:pt idx="3217">
                  <c:v>-3.1727780000000001</c:v>
                </c:pt>
                <c:pt idx="3218">
                  <c:v>-3.236389</c:v>
                </c:pt>
                <c:pt idx="3219">
                  <c:v>-3.235833</c:v>
                </c:pt>
                <c:pt idx="3220">
                  <c:v>-3.2136110000000002</c:v>
                </c:pt>
                <c:pt idx="3221">
                  <c:v>-3.2116669999999998</c:v>
                </c:pt>
                <c:pt idx="3222">
                  <c:v>-3.2311109999999998</c:v>
                </c:pt>
                <c:pt idx="3223">
                  <c:v>-3.2625000000000002</c:v>
                </c:pt>
                <c:pt idx="3224">
                  <c:v>-3.334444</c:v>
                </c:pt>
                <c:pt idx="3225">
                  <c:v>-3.3819439999999998</c:v>
                </c:pt>
                <c:pt idx="3226">
                  <c:v>-3.4102779999999999</c:v>
                </c:pt>
                <c:pt idx="3227">
                  <c:v>-3.4294440000000002</c:v>
                </c:pt>
                <c:pt idx="3228">
                  <c:v>-3.4755560000000001</c:v>
                </c:pt>
                <c:pt idx="3229">
                  <c:v>-3.5244439999999999</c:v>
                </c:pt>
                <c:pt idx="3230">
                  <c:v>-3.576111</c:v>
                </c:pt>
                <c:pt idx="3231">
                  <c:v>-3.6269439999999999</c:v>
                </c:pt>
                <c:pt idx="3232">
                  <c:v>-3.5961110000000001</c:v>
                </c:pt>
                <c:pt idx="3233">
                  <c:v>-3.5736110000000001</c:v>
                </c:pt>
                <c:pt idx="3234">
                  <c:v>-3.5572219999999999</c:v>
                </c:pt>
                <c:pt idx="3235">
                  <c:v>-3.5150000000000001</c:v>
                </c:pt>
                <c:pt idx="3236">
                  <c:v>-3.460556</c:v>
                </c:pt>
                <c:pt idx="3237">
                  <c:v>-3.4363890000000001</c:v>
                </c:pt>
                <c:pt idx="3238">
                  <c:v>-3.4041670000000002</c:v>
                </c:pt>
                <c:pt idx="3239">
                  <c:v>-3.3602780000000001</c:v>
                </c:pt>
                <c:pt idx="3240">
                  <c:v>-3.3174999999999999</c:v>
                </c:pt>
                <c:pt idx="3241">
                  <c:v>-3.2611110000000001</c:v>
                </c:pt>
                <c:pt idx="3242">
                  <c:v>-3.2869440000000001</c:v>
                </c:pt>
                <c:pt idx="3243">
                  <c:v>-3.223611</c:v>
                </c:pt>
                <c:pt idx="3244">
                  <c:v>-3.144444</c:v>
                </c:pt>
                <c:pt idx="3245">
                  <c:v>-3.0680559999999999</c:v>
                </c:pt>
                <c:pt idx="3246">
                  <c:v>-3.0555560000000002</c:v>
                </c:pt>
                <c:pt idx="3247">
                  <c:v>-3.0225</c:v>
                </c:pt>
                <c:pt idx="3248">
                  <c:v>-3.0550000000000002</c:v>
                </c:pt>
                <c:pt idx="3249">
                  <c:v>-3.14</c:v>
                </c:pt>
                <c:pt idx="3250">
                  <c:v>-3.2383329999999999</c:v>
                </c:pt>
                <c:pt idx="3251">
                  <c:v>-3.33</c:v>
                </c:pt>
                <c:pt idx="3252">
                  <c:v>-3.4202780000000002</c:v>
                </c:pt>
                <c:pt idx="3253">
                  <c:v>-3.4977779999999998</c:v>
                </c:pt>
                <c:pt idx="3254">
                  <c:v>-3.548889</c:v>
                </c:pt>
                <c:pt idx="3255">
                  <c:v>-3.5705559999999998</c:v>
                </c:pt>
                <c:pt idx="3256">
                  <c:v>-3.5677780000000001</c:v>
                </c:pt>
                <c:pt idx="3257">
                  <c:v>-3.628889</c:v>
                </c:pt>
                <c:pt idx="3258">
                  <c:v>-3.7188889999999999</c:v>
                </c:pt>
                <c:pt idx="3259">
                  <c:v>-3.800278</c:v>
                </c:pt>
                <c:pt idx="3260">
                  <c:v>-3.8230559999999998</c:v>
                </c:pt>
                <c:pt idx="3261">
                  <c:v>-3.8461110000000001</c:v>
                </c:pt>
                <c:pt idx="3262">
                  <c:v>-3.824722</c:v>
                </c:pt>
                <c:pt idx="3263">
                  <c:v>-3.8933330000000002</c:v>
                </c:pt>
                <c:pt idx="3264">
                  <c:v>-3.9591669999999999</c:v>
                </c:pt>
                <c:pt idx="3265">
                  <c:v>-4.0513890000000004</c:v>
                </c:pt>
                <c:pt idx="3266">
                  <c:v>-4.0455560000000004</c:v>
                </c:pt>
                <c:pt idx="3267">
                  <c:v>-4.0836110000000003</c:v>
                </c:pt>
                <c:pt idx="3268">
                  <c:v>-4.12</c:v>
                </c:pt>
                <c:pt idx="3269">
                  <c:v>-4.1694440000000004</c:v>
                </c:pt>
                <c:pt idx="3270">
                  <c:v>-4.2141669999999998</c:v>
                </c:pt>
                <c:pt idx="3271">
                  <c:v>-4.2269439999999996</c:v>
                </c:pt>
                <c:pt idx="3272">
                  <c:v>-4.3005560000000003</c:v>
                </c:pt>
                <c:pt idx="3273">
                  <c:v>-4.3686109999999996</c:v>
                </c:pt>
                <c:pt idx="3274">
                  <c:v>-4.3927779999999998</c:v>
                </c:pt>
                <c:pt idx="3275">
                  <c:v>-4.4211109999999998</c:v>
                </c:pt>
                <c:pt idx="3276">
                  <c:v>-4.3775000000000004</c:v>
                </c:pt>
                <c:pt idx="3277">
                  <c:v>-4.3600000000000003</c:v>
                </c:pt>
                <c:pt idx="3278">
                  <c:v>-4.361389</c:v>
                </c:pt>
                <c:pt idx="3279">
                  <c:v>-4.3627779999999996</c:v>
                </c:pt>
                <c:pt idx="3281">
                  <c:v>-4.45</c:v>
                </c:pt>
                <c:pt idx="3282">
                  <c:v>-4.5294439999999998</c:v>
                </c:pt>
                <c:pt idx="3283">
                  <c:v>-4.5755559999999997</c:v>
                </c:pt>
                <c:pt idx="3284">
                  <c:v>-4.6422220000000003</c:v>
                </c:pt>
                <c:pt idx="3285">
                  <c:v>-4.7116670000000003</c:v>
                </c:pt>
                <c:pt idx="3286">
                  <c:v>-4.7925000000000004</c:v>
                </c:pt>
                <c:pt idx="3287">
                  <c:v>-4.8530559999999996</c:v>
                </c:pt>
                <c:pt idx="3288">
                  <c:v>-4.9291669999999996</c:v>
                </c:pt>
                <c:pt idx="3289">
                  <c:v>-4.9519440000000001</c:v>
                </c:pt>
                <c:pt idx="3290">
                  <c:v>-4.9255560000000003</c:v>
                </c:pt>
                <c:pt idx="3291">
                  <c:v>-4.8913890000000002</c:v>
                </c:pt>
                <c:pt idx="3292">
                  <c:v>-4.880833</c:v>
                </c:pt>
                <c:pt idx="3293">
                  <c:v>-4.8961110000000003</c:v>
                </c:pt>
                <c:pt idx="3294">
                  <c:v>-4.9563889999999997</c:v>
                </c:pt>
                <c:pt idx="3295">
                  <c:v>-4.9586110000000003</c:v>
                </c:pt>
                <c:pt idx="3296">
                  <c:v>-5.003889</c:v>
                </c:pt>
                <c:pt idx="3297">
                  <c:v>-5.0511109999999997</c:v>
                </c:pt>
                <c:pt idx="3298">
                  <c:v>-5.111389</c:v>
                </c:pt>
                <c:pt idx="3299">
                  <c:v>-5.1477779999999997</c:v>
                </c:pt>
                <c:pt idx="3300">
                  <c:v>-5.1844440000000001</c:v>
                </c:pt>
                <c:pt idx="3301">
                  <c:v>-5.18</c:v>
                </c:pt>
                <c:pt idx="3302">
                  <c:v>-5.1238890000000001</c:v>
                </c:pt>
                <c:pt idx="3303">
                  <c:v>-5.0655559999999999</c:v>
                </c:pt>
                <c:pt idx="3304">
                  <c:v>-5.0613890000000001</c:v>
                </c:pt>
                <c:pt idx="3305">
                  <c:v>-4.9897220000000004</c:v>
                </c:pt>
                <c:pt idx="3306">
                  <c:v>-5.019444</c:v>
                </c:pt>
                <c:pt idx="3307">
                  <c:v>-5.0508329999999999</c:v>
                </c:pt>
                <c:pt idx="3308">
                  <c:v>-5.0558329999999998</c:v>
                </c:pt>
                <c:pt idx="3309">
                  <c:v>-5.0188889999999997</c:v>
                </c:pt>
                <c:pt idx="3310">
                  <c:v>-4.9847219999999997</c:v>
                </c:pt>
                <c:pt idx="3311">
                  <c:v>-4.9263890000000004</c:v>
                </c:pt>
                <c:pt idx="3312">
                  <c:v>-4.8683329999999998</c:v>
                </c:pt>
                <c:pt idx="3313">
                  <c:v>-4.8413890000000004</c:v>
                </c:pt>
                <c:pt idx="3314">
                  <c:v>-4.8208330000000004</c:v>
                </c:pt>
                <c:pt idx="3315">
                  <c:v>-4.7725</c:v>
                </c:pt>
                <c:pt idx="3316">
                  <c:v>-4.733333</c:v>
                </c:pt>
                <c:pt idx="3317">
                  <c:v>-4.6508330000000004</c:v>
                </c:pt>
                <c:pt idx="3318">
                  <c:v>-4.6138890000000004</c:v>
                </c:pt>
                <c:pt idx="3319">
                  <c:v>-4.6461110000000003</c:v>
                </c:pt>
                <c:pt idx="3320">
                  <c:v>-4.6622219999999999</c:v>
                </c:pt>
                <c:pt idx="3321">
                  <c:v>-4.7030560000000001</c:v>
                </c:pt>
                <c:pt idx="3322">
                  <c:v>-4.7911109999999999</c:v>
                </c:pt>
                <c:pt idx="3323">
                  <c:v>-4.8363889999999996</c:v>
                </c:pt>
                <c:pt idx="3324">
                  <c:v>-4.9083329999999998</c:v>
                </c:pt>
                <c:pt idx="3325">
                  <c:v>-4.8738890000000001</c:v>
                </c:pt>
                <c:pt idx="3326">
                  <c:v>-4.8783329999999996</c:v>
                </c:pt>
                <c:pt idx="3327">
                  <c:v>-4.9022220000000001</c:v>
                </c:pt>
                <c:pt idx="3328">
                  <c:v>-4.9058330000000003</c:v>
                </c:pt>
                <c:pt idx="3329">
                  <c:v>-4.8819439999999998</c:v>
                </c:pt>
                <c:pt idx="3330">
                  <c:v>-4.8044440000000002</c:v>
                </c:pt>
                <c:pt idx="3331">
                  <c:v>-4.7213890000000003</c:v>
                </c:pt>
                <c:pt idx="3332">
                  <c:v>-4.6263889999999996</c:v>
                </c:pt>
                <c:pt idx="3333">
                  <c:v>-4.523333</c:v>
                </c:pt>
                <c:pt idx="3334">
                  <c:v>-4.5599999999999996</c:v>
                </c:pt>
                <c:pt idx="3335">
                  <c:v>-4.6544439999999998</c:v>
                </c:pt>
                <c:pt idx="3336">
                  <c:v>-4.7127780000000001</c:v>
                </c:pt>
                <c:pt idx="3337">
                  <c:v>-4.7833329999999998</c:v>
                </c:pt>
                <c:pt idx="3338">
                  <c:v>-4.8286110000000004</c:v>
                </c:pt>
                <c:pt idx="3339">
                  <c:v>-4.8152780000000002</c:v>
                </c:pt>
                <c:pt idx="3340">
                  <c:v>-4.7711110000000003</c:v>
                </c:pt>
                <c:pt idx="3341">
                  <c:v>-4.8527779999999998</c:v>
                </c:pt>
                <c:pt idx="3342">
                  <c:v>-4.8819439999999998</c:v>
                </c:pt>
                <c:pt idx="3343">
                  <c:v>-4.8508329999999997</c:v>
                </c:pt>
                <c:pt idx="3344">
                  <c:v>-4.8458329999999998</c:v>
                </c:pt>
                <c:pt idx="3345">
                  <c:v>-4.8911110000000004</c:v>
                </c:pt>
                <c:pt idx="3346">
                  <c:v>-4.9083329999999998</c:v>
                </c:pt>
                <c:pt idx="3347">
                  <c:v>-4.8863890000000003</c:v>
                </c:pt>
                <c:pt idx="3348">
                  <c:v>-4.8972220000000002</c:v>
                </c:pt>
                <c:pt idx="3349">
                  <c:v>-4.9266670000000001</c:v>
                </c:pt>
                <c:pt idx="3350">
                  <c:v>-4.9186110000000003</c:v>
                </c:pt>
                <c:pt idx="3351">
                  <c:v>-4.9538890000000002</c:v>
                </c:pt>
                <c:pt idx="3352">
                  <c:v>-4.9980560000000001</c:v>
                </c:pt>
                <c:pt idx="3353">
                  <c:v>-5.0541669999999996</c:v>
                </c:pt>
                <c:pt idx="3354">
                  <c:v>-5.0655559999999999</c:v>
                </c:pt>
                <c:pt idx="3355">
                  <c:v>-5.0980559999999997</c:v>
                </c:pt>
                <c:pt idx="3356">
                  <c:v>-5.0827780000000002</c:v>
                </c:pt>
                <c:pt idx="3357">
                  <c:v>-5.1616669999999996</c:v>
                </c:pt>
                <c:pt idx="3358">
                  <c:v>-5.1936109999999998</c:v>
                </c:pt>
                <c:pt idx="3359">
                  <c:v>-5.2213890000000003</c:v>
                </c:pt>
                <c:pt idx="3360">
                  <c:v>-5.23</c:v>
                </c:pt>
                <c:pt idx="3361">
                  <c:v>-5.2188889999999999</c:v>
                </c:pt>
                <c:pt idx="3362">
                  <c:v>-5.298889</c:v>
                </c:pt>
                <c:pt idx="3363">
                  <c:v>-5.3508329999999997</c:v>
                </c:pt>
                <c:pt idx="3364">
                  <c:v>-5.3449999999999998</c:v>
                </c:pt>
                <c:pt idx="3365">
                  <c:v>-5.3438889999999999</c:v>
                </c:pt>
                <c:pt idx="3366">
                  <c:v>-5.3069439999999997</c:v>
                </c:pt>
                <c:pt idx="3367">
                  <c:v>-5.2472219999999998</c:v>
                </c:pt>
                <c:pt idx="3368">
                  <c:v>-5.1988890000000003</c:v>
                </c:pt>
                <c:pt idx="3369">
                  <c:v>-5.1188890000000002</c:v>
                </c:pt>
                <c:pt idx="3370">
                  <c:v>-5.0738890000000003</c:v>
                </c:pt>
                <c:pt idx="3371">
                  <c:v>-5.0102779999999996</c:v>
                </c:pt>
                <c:pt idx="3372">
                  <c:v>-4.9397219999999997</c:v>
                </c:pt>
                <c:pt idx="3373">
                  <c:v>-4.9838889999999996</c:v>
                </c:pt>
                <c:pt idx="3374">
                  <c:v>-5.0655559999999999</c:v>
                </c:pt>
                <c:pt idx="3375">
                  <c:v>-5.1005560000000001</c:v>
                </c:pt>
                <c:pt idx="3376">
                  <c:v>-5.170833</c:v>
                </c:pt>
                <c:pt idx="3377">
                  <c:v>-5.2388890000000004</c:v>
                </c:pt>
                <c:pt idx="3378">
                  <c:v>-5.2933329999999996</c:v>
                </c:pt>
                <c:pt idx="3379">
                  <c:v>-5.3436110000000001</c:v>
                </c:pt>
                <c:pt idx="3380">
                  <c:v>-5.3977779999999997</c:v>
                </c:pt>
                <c:pt idx="3381">
                  <c:v>-5.450278</c:v>
                </c:pt>
                <c:pt idx="3382">
                  <c:v>-5.4524999999999997</c:v>
                </c:pt>
                <c:pt idx="3383">
                  <c:v>-5.4188890000000001</c:v>
                </c:pt>
                <c:pt idx="3384">
                  <c:v>-5.4030560000000003</c:v>
                </c:pt>
                <c:pt idx="3385">
                  <c:v>-5.3505560000000001</c:v>
                </c:pt>
                <c:pt idx="3386">
                  <c:v>-5.3172220000000001</c:v>
                </c:pt>
                <c:pt idx="3387">
                  <c:v>-5.3836110000000001</c:v>
                </c:pt>
                <c:pt idx="3388">
                  <c:v>-5.4408329999999996</c:v>
                </c:pt>
                <c:pt idx="3389">
                  <c:v>-5.4716670000000001</c:v>
                </c:pt>
                <c:pt idx="3390">
                  <c:v>-5.4908330000000003</c:v>
                </c:pt>
                <c:pt idx="3391">
                  <c:v>-5.4716670000000001</c:v>
                </c:pt>
                <c:pt idx="3392">
                  <c:v>-5.496111</c:v>
                </c:pt>
                <c:pt idx="3393">
                  <c:v>-5.5272220000000001</c:v>
                </c:pt>
                <c:pt idx="3394">
                  <c:v>-5.5647219999999997</c:v>
                </c:pt>
                <c:pt idx="3395">
                  <c:v>-5.539167</c:v>
                </c:pt>
                <c:pt idx="3396">
                  <c:v>-5.5230560000000004</c:v>
                </c:pt>
                <c:pt idx="3397">
                  <c:v>-5.5774999999999997</c:v>
                </c:pt>
                <c:pt idx="3398">
                  <c:v>-5.6683329999999996</c:v>
                </c:pt>
                <c:pt idx="3399">
                  <c:v>-5.7541669999999998</c:v>
                </c:pt>
                <c:pt idx="3400">
                  <c:v>-5.8213889999999999</c:v>
                </c:pt>
                <c:pt idx="3401">
                  <c:v>-5.808611</c:v>
                </c:pt>
                <c:pt idx="3402">
                  <c:v>-5.7686109999999999</c:v>
                </c:pt>
                <c:pt idx="3403">
                  <c:v>-5.7166670000000002</c:v>
                </c:pt>
                <c:pt idx="3404">
                  <c:v>-5.7180559999999998</c:v>
                </c:pt>
                <c:pt idx="3405">
                  <c:v>-5.7230559999999997</c:v>
                </c:pt>
                <c:pt idx="3406">
                  <c:v>-5.6841670000000004</c:v>
                </c:pt>
                <c:pt idx="3407">
                  <c:v>-5.6805560000000002</c:v>
                </c:pt>
                <c:pt idx="3408">
                  <c:v>-5.6205559999999997</c:v>
                </c:pt>
                <c:pt idx="3409">
                  <c:v>-5.5783329999999998</c:v>
                </c:pt>
                <c:pt idx="3410">
                  <c:v>-5.5133330000000003</c:v>
                </c:pt>
                <c:pt idx="3411">
                  <c:v>-5.4619439999999999</c:v>
                </c:pt>
                <c:pt idx="3412">
                  <c:v>-5.4930560000000002</c:v>
                </c:pt>
                <c:pt idx="3413">
                  <c:v>-5.5480559999999999</c:v>
                </c:pt>
                <c:pt idx="3414">
                  <c:v>-5.6108330000000004</c:v>
                </c:pt>
                <c:pt idx="3415">
                  <c:v>-5.6644439999999996</c:v>
                </c:pt>
                <c:pt idx="3416">
                  <c:v>-5.66</c:v>
                </c:pt>
                <c:pt idx="3417">
                  <c:v>-5.619167</c:v>
                </c:pt>
                <c:pt idx="3418">
                  <c:v>-5.5872219999999997</c:v>
                </c:pt>
                <c:pt idx="3419">
                  <c:v>-5.6527779999999996</c:v>
                </c:pt>
                <c:pt idx="3420">
                  <c:v>-5.6924999999999999</c:v>
                </c:pt>
                <c:pt idx="3421">
                  <c:v>-5.6480560000000004</c:v>
                </c:pt>
                <c:pt idx="3422">
                  <c:v>-5.6033330000000001</c:v>
                </c:pt>
                <c:pt idx="3423">
                  <c:v>-5.5805559999999996</c:v>
                </c:pt>
                <c:pt idx="3424">
                  <c:v>-5.6233329999999997</c:v>
                </c:pt>
                <c:pt idx="3425">
                  <c:v>-5.6722219999999997</c:v>
                </c:pt>
                <c:pt idx="3426">
                  <c:v>-5.7066670000000004</c:v>
                </c:pt>
                <c:pt idx="3427">
                  <c:v>-5.6944439999999998</c:v>
                </c:pt>
                <c:pt idx="3428">
                  <c:v>-5.6438889999999997</c:v>
                </c:pt>
                <c:pt idx="3429">
                  <c:v>-5.6077779999999997</c:v>
                </c:pt>
                <c:pt idx="3430">
                  <c:v>-5.5327780000000004</c:v>
                </c:pt>
                <c:pt idx="3431">
                  <c:v>-5.5636109999999999</c:v>
                </c:pt>
                <c:pt idx="3432">
                  <c:v>-5.5202780000000002</c:v>
                </c:pt>
                <c:pt idx="3433">
                  <c:v>-5.55</c:v>
                </c:pt>
                <c:pt idx="3434">
                  <c:v>-5.6011110000000004</c:v>
                </c:pt>
                <c:pt idx="3435">
                  <c:v>-5.6041670000000003</c:v>
                </c:pt>
                <c:pt idx="3436">
                  <c:v>-5.5672220000000001</c:v>
                </c:pt>
                <c:pt idx="3437">
                  <c:v>-5.5997219999999999</c:v>
                </c:pt>
                <c:pt idx="3438">
                  <c:v>-5.5877780000000001</c:v>
                </c:pt>
                <c:pt idx="3439">
                  <c:v>-5.5441669999999998</c:v>
                </c:pt>
                <c:pt idx="3440">
                  <c:v>-5.5047220000000001</c:v>
                </c:pt>
                <c:pt idx="3441">
                  <c:v>-5.4675000000000002</c:v>
                </c:pt>
                <c:pt idx="3442">
                  <c:v>-5.41</c:v>
                </c:pt>
                <c:pt idx="3443">
                  <c:v>-5.3169440000000003</c:v>
                </c:pt>
                <c:pt idx="3444">
                  <c:v>-5.2713890000000001</c:v>
                </c:pt>
                <c:pt idx="3445">
                  <c:v>-5.3638890000000004</c:v>
                </c:pt>
                <c:pt idx="3446">
                  <c:v>-5.424722</c:v>
                </c:pt>
                <c:pt idx="3447">
                  <c:v>-5.460833</c:v>
                </c:pt>
                <c:pt idx="3448">
                  <c:v>-5.4386109999999999</c:v>
                </c:pt>
                <c:pt idx="3449">
                  <c:v>-5.3658330000000003</c:v>
                </c:pt>
                <c:pt idx="3450">
                  <c:v>-5.293056</c:v>
                </c:pt>
                <c:pt idx="3451">
                  <c:v>-5.291944</c:v>
                </c:pt>
                <c:pt idx="3452">
                  <c:v>-5.3697220000000003</c:v>
                </c:pt>
                <c:pt idx="3453">
                  <c:v>-5.4083329999999998</c:v>
                </c:pt>
                <c:pt idx="3454">
                  <c:v>-5.37</c:v>
                </c:pt>
                <c:pt idx="3455">
                  <c:v>-5.3083330000000002</c:v>
                </c:pt>
                <c:pt idx="3456">
                  <c:v>-5.2819440000000002</c:v>
                </c:pt>
                <c:pt idx="3457">
                  <c:v>-5.1924999999999999</c:v>
                </c:pt>
                <c:pt idx="3458">
                  <c:v>-5.1033330000000001</c:v>
                </c:pt>
                <c:pt idx="3459">
                  <c:v>-5.1119440000000003</c:v>
                </c:pt>
                <c:pt idx="3460">
                  <c:v>-5.2013889999999998</c:v>
                </c:pt>
                <c:pt idx="3461">
                  <c:v>-5.2191669999999997</c:v>
                </c:pt>
                <c:pt idx="3462">
                  <c:v>-5.1691669999999998</c:v>
                </c:pt>
                <c:pt idx="3463">
                  <c:v>-5.1213889999999997</c:v>
                </c:pt>
                <c:pt idx="3464">
                  <c:v>-5.1763890000000004</c:v>
                </c:pt>
                <c:pt idx="3465">
                  <c:v>-5.2374999999999998</c:v>
                </c:pt>
                <c:pt idx="3466">
                  <c:v>-5.2686109999999999</c:v>
                </c:pt>
                <c:pt idx="3467">
                  <c:v>-5.3341669999999999</c:v>
                </c:pt>
                <c:pt idx="3468">
                  <c:v>-5.3861109999999996</c:v>
                </c:pt>
                <c:pt idx="3469">
                  <c:v>-5.4452780000000001</c:v>
                </c:pt>
                <c:pt idx="3470">
                  <c:v>-5.5036110000000003</c:v>
                </c:pt>
                <c:pt idx="3471">
                  <c:v>-5.5544440000000002</c:v>
                </c:pt>
                <c:pt idx="3472">
                  <c:v>-5.6188890000000002</c:v>
                </c:pt>
                <c:pt idx="3473">
                  <c:v>-5.6941670000000002</c:v>
                </c:pt>
                <c:pt idx="3474">
                  <c:v>-5.7672220000000003</c:v>
                </c:pt>
                <c:pt idx="3475">
                  <c:v>-5.8116669999999999</c:v>
                </c:pt>
                <c:pt idx="3476">
                  <c:v>-5.9061110000000001</c:v>
                </c:pt>
                <c:pt idx="3477">
                  <c:v>-5.9680559999999998</c:v>
                </c:pt>
                <c:pt idx="3478">
                  <c:v>-6.0116670000000001</c:v>
                </c:pt>
                <c:pt idx="3479">
                  <c:v>-5.9455559999999998</c:v>
                </c:pt>
                <c:pt idx="3480">
                  <c:v>-5.8638890000000004</c:v>
                </c:pt>
                <c:pt idx="3481">
                  <c:v>-5.7880560000000001</c:v>
                </c:pt>
                <c:pt idx="3482">
                  <c:v>-5.7088890000000001</c:v>
                </c:pt>
                <c:pt idx="3483">
                  <c:v>-5.6124999999999998</c:v>
                </c:pt>
                <c:pt idx="3484">
                  <c:v>-5.6008329999999997</c:v>
                </c:pt>
                <c:pt idx="3485">
                  <c:v>-5.6980560000000002</c:v>
                </c:pt>
                <c:pt idx="3486">
                  <c:v>-5.7880560000000001</c:v>
                </c:pt>
                <c:pt idx="3487">
                  <c:v>-5.8636109999999997</c:v>
                </c:pt>
                <c:pt idx="3488">
                  <c:v>-5.9594440000000004</c:v>
                </c:pt>
                <c:pt idx="3489">
                  <c:v>-6.0522220000000004</c:v>
                </c:pt>
                <c:pt idx="3490">
                  <c:v>-6.151389</c:v>
                </c:pt>
                <c:pt idx="3491">
                  <c:v>-6.2244440000000001</c:v>
                </c:pt>
                <c:pt idx="3493">
                  <c:v>-6.177778</c:v>
                </c:pt>
                <c:pt idx="3494">
                  <c:v>-6.0872219999999997</c:v>
                </c:pt>
                <c:pt idx="3495">
                  <c:v>-6.0019439999999999</c:v>
                </c:pt>
                <c:pt idx="3496">
                  <c:v>-5.93</c:v>
                </c:pt>
                <c:pt idx="3497">
                  <c:v>-5.8816670000000002</c:v>
                </c:pt>
                <c:pt idx="3498">
                  <c:v>-5.8355560000000004</c:v>
                </c:pt>
                <c:pt idx="3499">
                  <c:v>-5.7977780000000001</c:v>
                </c:pt>
                <c:pt idx="3500">
                  <c:v>-5.861389</c:v>
                </c:pt>
                <c:pt idx="3501">
                  <c:v>-5.7788890000000004</c:v>
                </c:pt>
                <c:pt idx="3502">
                  <c:v>-5.7008330000000003</c:v>
                </c:pt>
                <c:pt idx="3503">
                  <c:v>-5.7024999999999997</c:v>
                </c:pt>
                <c:pt idx="3504">
                  <c:v>-5.7833329999999998</c:v>
                </c:pt>
                <c:pt idx="3505">
                  <c:v>-5.7366669999999997</c:v>
                </c:pt>
                <c:pt idx="3506">
                  <c:v>-5.8397220000000001</c:v>
                </c:pt>
                <c:pt idx="3507">
                  <c:v>-5.9313890000000002</c:v>
                </c:pt>
                <c:pt idx="3508">
                  <c:v>-5.8519439999999996</c:v>
                </c:pt>
                <c:pt idx="3509">
                  <c:v>-5.8636109999999997</c:v>
                </c:pt>
                <c:pt idx="3510">
                  <c:v>-5.8375000000000004</c:v>
                </c:pt>
                <c:pt idx="3511">
                  <c:v>-5.7513889999999996</c:v>
                </c:pt>
                <c:pt idx="3512">
                  <c:v>-5.6897219999999997</c:v>
                </c:pt>
                <c:pt idx="3513">
                  <c:v>-5.6047219999999998</c:v>
                </c:pt>
                <c:pt idx="3514">
                  <c:v>-5.5230560000000004</c:v>
                </c:pt>
                <c:pt idx="3515">
                  <c:v>-5.6119440000000003</c:v>
                </c:pt>
                <c:pt idx="3516">
                  <c:v>-5.6877779999999998</c:v>
                </c:pt>
                <c:pt idx="3517">
                  <c:v>-5.7219439999999997</c:v>
                </c:pt>
                <c:pt idx="3518">
                  <c:v>-5.7908330000000001</c:v>
                </c:pt>
                <c:pt idx="3519">
                  <c:v>-5.7383329999999999</c:v>
                </c:pt>
                <c:pt idx="3520">
                  <c:v>-5.6652779999999998</c:v>
                </c:pt>
                <c:pt idx="3521">
                  <c:v>-5.5852779999999997</c:v>
                </c:pt>
                <c:pt idx="3522">
                  <c:v>-5.4983329999999997</c:v>
                </c:pt>
                <c:pt idx="3523">
                  <c:v>-5.4711109999999996</c:v>
                </c:pt>
                <c:pt idx="3524">
                  <c:v>-5.5480559999999999</c:v>
                </c:pt>
                <c:pt idx="3525">
                  <c:v>-5.6255559999999996</c:v>
                </c:pt>
                <c:pt idx="3526">
                  <c:v>-5.68</c:v>
                </c:pt>
                <c:pt idx="3527">
                  <c:v>-5.6325000000000003</c:v>
                </c:pt>
                <c:pt idx="3528">
                  <c:v>-5.6313890000000004</c:v>
                </c:pt>
                <c:pt idx="3529">
                  <c:v>-5.54</c:v>
                </c:pt>
                <c:pt idx="3530">
                  <c:v>-5.4772220000000003</c:v>
                </c:pt>
                <c:pt idx="3531">
                  <c:v>-5.3908329999999998</c:v>
                </c:pt>
                <c:pt idx="3532">
                  <c:v>-5.47</c:v>
                </c:pt>
                <c:pt idx="3533">
                  <c:v>-5.5333329999999998</c:v>
                </c:pt>
                <c:pt idx="3534">
                  <c:v>-5.6280559999999999</c:v>
                </c:pt>
                <c:pt idx="3535">
                  <c:v>-5.7283330000000001</c:v>
                </c:pt>
                <c:pt idx="3536">
                  <c:v>-5.6858329999999997</c:v>
                </c:pt>
                <c:pt idx="3537">
                  <c:v>-5.5958329999999998</c:v>
                </c:pt>
                <c:pt idx="3538">
                  <c:v>-5.5130559999999997</c:v>
                </c:pt>
                <c:pt idx="3539">
                  <c:v>-5.4483329999999999</c:v>
                </c:pt>
                <c:pt idx="3540">
                  <c:v>-5.4869440000000003</c:v>
                </c:pt>
                <c:pt idx="3541">
                  <c:v>-5.5513890000000004</c:v>
                </c:pt>
                <c:pt idx="3542">
                  <c:v>-5.6349999999999998</c:v>
                </c:pt>
                <c:pt idx="3543">
                  <c:v>-5.625</c:v>
                </c:pt>
                <c:pt idx="3544">
                  <c:v>-5.6980560000000002</c:v>
                </c:pt>
                <c:pt idx="3545">
                  <c:v>-5.7774999999999999</c:v>
                </c:pt>
                <c:pt idx="3546">
                  <c:v>-5.818333</c:v>
                </c:pt>
                <c:pt idx="3547">
                  <c:v>-5.8174999999999999</c:v>
                </c:pt>
                <c:pt idx="3548">
                  <c:v>-5.8611110000000002</c:v>
                </c:pt>
                <c:pt idx="3549">
                  <c:v>-5.8702779999999999</c:v>
                </c:pt>
                <c:pt idx="3550">
                  <c:v>-5.8497219999999999</c:v>
                </c:pt>
                <c:pt idx="3551">
                  <c:v>-5.8019439999999998</c:v>
                </c:pt>
                <c:pt idx="3552">
                  <c:v>-5.7424999999999997</c:v>
                </c:pt>
                <c:pt idx="3553">
                  <c:v>-5.6997220000000004</c:v>
                </c:pt>
                <c:pt idx="3554">
                  <c:v>-5.6469440000000004</c:v>
                </c:pt>
                <c:pt idx="3555">
                  <c:v>-5.5997219999999999</c:v>
                </c:pt>
                <c:pt idx="3556">
                  <c:v>-5.5280560000000003</c:v>
                </c:pt>
                <c:pt idx="3557">
                  <c:v>-5.6327780000000001</c:v>
                </c:pt>
                <c:pt idx="3558">
                  <c:v>-5.7</c:v>
                </c:pt>
                <c:pt idx="3559">
                  <c:v>-5.7347219999999997</c:v>
                </c:pt>
                <c:pt idx="3560">
                  <c:v>-5.7911109999999999</c:v>
                </c:pt>
                <c:pt idx="3561">
                  <c:v>-5.7877780000000003</c:v>
                </c:pt>
                <c:pt idx="3562">
                  <c:v>-5.7272220000000003</c:v>
                </c:pt>
                <c:pt idx="3563">
                  <c:v>-5.691389</c:v>
                </c:pt>
                <c:pt idx="3564">
                  <c:v>-5.7711110000000003</c:v>
                </c:pt>
                <c:pt idx="3565">
                  <c:v>-5.8030559999999998</c:v>
                </c:pt>
                <c:pt idx="3566">
                  <c:v>-5.8194439999999998</c:v>
                </c:pt>
                <c:pt idx="3567">
                  <c:v>-5.780278</c:v>
                </c:pt>
                <c:pt idx="3568">
                  <c:v>-5.6869440000000004</c:v>
                </c:pt>
                <c:pt idx="3569">
                  <c:v>-5.6647220000000003</c:v>
                </c:pt>
                <c:pt idx="3570">
                  <c:v>-5.6302779999999997</c:v>
                </c:pt>
                <c:pt idx="3571">
                  <c:v>-5.6063890000000001</c:v>
                </c:pt>
                <c:pt idx="3572">
                  <c:v>-5.5822219999999998</c:v>
                </c:pt>
                <c:pt idx="3573">
                  <c:v>-5.6341669999999997</c:v>
                </c:pt>
                <c:pt idx="3574">
                  <c:v>-5.641667</c:v>
                </c:pt>
                <c:pt idx="3575">
                  <c:v>-5.585</c:v>
                </c:pt>
                <c:pt idx="3576">
                  <c:v>-5.5513890000000004</c:v>
                </c:pt>
                <c:pt idx="3577">
                  <c:v>-5.4727779999999999</c:v>
                </c:pt>
                <c:pt idx="3578">
                  <c:v>-5.4363890000000001</c:v>
                </c:pt>
                <c:pt idx="3579">
                  <c:v>-5.3536109999999999</c:v>
                </c:pt>
                <c:pt idx="3580">
                  <c:v>-5.2805559999999998</c:v>
                </c:pt>
                <c:pt idx="3581">
                  <c:v>-5.2388890000000004</c:v>
                </c:pt>
                <c:pt idx="3582">
                  <c:v>-5.3155559999999999</c:v>
                </c:pt>
                <c:pt idx="3583">
                  <c:v>-5.3927779999999998</c:v>
                </c:pt>
                <c:pt idx="3584">
                  <c:v>-5.3397220000000001</c:v>
                </c:pt>
                <c:pt idx="3585">
                  <c:v>-5.2688889999999997</c:v>
                </c:pt>
                <c:pt idx="3586">
                  <c:v>-5.1966669999999997</c:v>
                </c:pt>
                <c:pt idx="3587">
                  <c:v>-5.1158330000000003</c:v>
                </c:pt>
                <c:pt idx="3588">
                  <c:v>-5.0769440000000001</c:v>
                </c:pt>
                <c:pt idx="3589">
                  <c:v>-5.1236110000000004</c:v>
                </c:pt>
                <c:pt idx="3590">
                  <c:v>-5.1936109999999998</c:v>
                </c:pt>
                <c:pt idx="3591">
                  <c:v>-5.1863890000000001</c:v>
                </c:pt>
                <c:pt idx="3592">
                  <c:v>-5.2675000000000001</c:v>
                </c:pt>
                <c:pt idx="3593">
                  <c:v>-5.3452780000000004</c:v>
                </c:pt>
                <c:pt idx="3594">
                  <c:v>-5.4197220000000002</c:v>
                </c:pt>
                <c:pt idx="3595">
                  <c:v>-5.4644440000000003</c:v>
                </c:pt>
                <c:pt idx="3596">
                  <c:v>-5.415</c:v>
                </c:pt>
                <c:pt idx="3597">
                  <c:v>-5.3586109999999998</c:v>
                </c:pt>
                <c:pt idx="3598">
                  <c:v>-5.2752780000000001</c:v>
                </c:pt>
                <c:pt idx="3599">
                  <c:v>-5.2661110000000004</c:v>
                </c:pt>
                <c:pt idx="3600">
                  <c:v>-5.2719440000000004</c:v>
                </c:pt>
                <c:pt idx="3601">
                  <c:v>-5.2788890000000004</c:v>
                </c:pt>
                <c:pt idx="3602">
                  <c:v>-5.3297220000000003</c:v>
                </c:pt>
                <c:pt idx="3603">
                  <c:v>-5.3624999999999998</c:v>
                </c:pt>
                <c:pt idx="3604">
                  <c:v>-5.371111</c:v>
                </c:pt>
                <c:pt idx="3605">
                  <c:v>-5.298889</c:v>
                </c:pt>
                <c:pt idx="3606">
                  <c:v>-5.2066670000000004</c:v>
                </c:pt>
                <c:pt idx="3607">
                  <c:v>-5.1336110000000001</c:v>
                </c:pt>
                <c:pt idx="3608">
                  <c:v>-5.068333</c:v>
                </c:pt>
                <c:pt idx="3609">
                  <c:v>-4.9933329999999998</c:v>
                </c:pt>
                <c:pt idx="3610">
                  <c:v>-4.9708329999999998</c:v>
                </c:pt>
                <c:pt idx="3611">
                  <c:v>-5.0005559999999996</c:v>
                </c:pt>
                <c:pt idx="3612">
                  <c:v>-5.0919439999999998</c:v>
                </c:pt>
                <c:pt idx="3613">
                  <c:v>-5.1277780000000002</c:v>
                </c:pt>
                <c:pt idx="3614">
                  <c:v>-5.1547219999999996</c:v>
                </c:pt>
                <c:pt idx="3615">
                  <c:v>-5.14</c:v>
                </c:pt>
                <c:pt idx="3616">
                  <c:v>-5.0961109999999996</c:v>
                </c:pt>
                <c:pt idx="3617">
                  <c:v>-5.0324999999999998</c:v>
                </c:pt>
                <c:pt idx="3618">
                  <c:v>-5.075278</c:v>
                </c:pt>
                <c:pt idx="3619">
                  <c:v>-5.0475000000000003</c:v>
                </c:pt>
                <c:pt idx="3620">
                  <c:v>-5.0094440000000002</c:v>
                </c:pt>
                <c:pt idx="3621">
                  <c:v>-5.0658329999999996</c:v>
                </c:pt>
                <c:pt idx="3622">
                  <c:v>-5.1069440000000004</c:v>
                </c:pt>
                <c:pt idx="3623">
                  <c:v>-5.0408330000000001</c:v>
                </c:pt>
                <c:pt idx="3624">
                  <c:v>-5.0116670000000001</c:v>
                </c:pt>
                <c:pt idx="3626">
                  <c:v>-1.6219440000000001</c:v>
                </c:pt>
                <c:pt idx="3627">
                  <c:v>-1.636944</c:v>
                </c:pt>
                <c:pt idx="3629">
                  <c:v>-2.4063889999999999</c:v>
                </c:pt>
                <c:pt idx="3630">
                  <c:v>-2.4172220000000002</c:v>
                </c:pt>
                <c:pt idx="3632">
                  <c:v>-2.473611</c:v>
                </c:pt>
                <c:pt idx="3633">
                  <c:v>-2.5172219999999998</c:v>
                </c:pt>
                <c:pt idx="3634">
                  <c:v>-2.558611</c:v>
                </c:pt>
                <c:pt idx="3635">
                  <c:v>-2.5961110000000001</c:v>
                </c:pt>
                <c:pt idx="3636">
                  <c:v>-2.657222</c:v>
                </c:pt>
                <c:pt idx="3637">
                  <c:v>-2.6924999999999999</c:v>
                </c:pt>
                <c:pt idx="3638">
                  <c:v>-2.641111</c:v>
                </c:pt>
                <c:pt idx="3639">
                  <c:v>-2.599167</c:v>
                </c:pt>
                <c:pt idx="3640">
                  <c:v>-2.5416669999999999</c:v>
                </c:pt>
                <c:pt idx="3641">
                  <c:v>-2.5669439999999999</c:v>
                </c:pt>
                <c:pt idx="3642">
                  <c:v>-2.5036109999999998</c:v>
                </c:pt>
                <c:pt idx="3643">
                  <c:v>-2.4294440000000002</c:v>
                </c:pt>
                <c:pt idx="3644">
                  <c:v>-2.39</c:v>
                </c:pt>
                <c:pt idx="3646">
                  <c:v>-2.525833</c:v>
                </c:pt>
                <c:pt idx="3647">
                  <c:v>-2.5958329999999998</c:v>
                </c:pt>
                <c:pt idx="3648">
                  <c:v>-2.6447219999999998</c:v>
                </c:pt>
                <c:pt idx="3649">
                  <c:v>-2.6724999999999999</c:v>
                </c:pt>
                <c:pt idx="3650">
                  <c:v>-2.6219440000000001</c:v>
                </c:pt>
                <c:pt idx="3651">
                  <c:v>-2.6375000000000002</c:v>
                </c:pt>
                <c:pt idx="3652">
                  <c:v>-2.5716670000000001</c:v>
                </c:pt>
                <c:pt idx="3653">
                  <c:v>-2.5555560000000002</c:v>
                </c:pt>
                <c:pt idx="3655">
                  <c:v>-2.8088890000000002</c:v>
                </c:pt>
                <c:pt idx="3656">
                  <c:v>-2.8880560000000002</c:v>
                </c:pt>
                <c:pt idx="3657">
                  <c:v>-2.9122219999999999</c:v>
                </c:pt>
                <c:pt idx="3658">
                  <c:v>-2.8397220000000001</c:v>
                </c:pt>
                <c:pt idx="3660">
                  <c:v>-2.7166670000000002</c:v>
                </c:pt>
                <c:pt idx="3661">
                  <c:v>-2.796389</c:v>
                </c:pt>
                <c:pt idx="3662">
                  <c:v>-2.8569439999999999</c:v>
                </c:pt>
                <c:pt idx="3663">
                  <c:v>-2.9308329999999998</c:v>
                </c:pt>
                <c:pt idx="3664">
                  <c:v>-2.9544440000000001</c:v>
                </c:pt>
                <c:pt idx="3665">
                  <c:v>-3.0352779999999999</c:v>
                </c:pt>
                <c:pt idx="3666">
                  <c:v>-3.1038890000000001</c:v>
                </c:pt>
                <c:pt idx="3667">
                  <c:v>-3.1766670000000001</c:v>
                </c:pt>
                <c:pt idx="3668">
                  <c:v>-3.2322220000000002</c:v>
                </c:pt>
                <c:pt idx="3669">
                  <c:v>-3.2188889999999999</c:v>
                </c:pt>
                <c:pt idx="3670">
                  <c:v>-3.2408329999999999</c:v>
                </c:pt>
                <c:pt idx="3671">
                  <c:v>-3.264167</c:v>
                </c:pt>
                <c:pt idx="3672">
                  <c:v>-3.2675000000000001</c:v>
                </c:pt>
                <c:pt idx="3673">
                  <c:v>-3.328611</c:v>
                </c:pt>
                <c:pt idx="3674">
                  <c:v>-3.3650000000000002</c:v>
                </c:pt>
                <c:pt idx="3675">
                  <c:v>-3.3438889999999999</c:v>
                </c:pt>
                <c:pt idx="3676">
                  <c:v>-3.344722</c:v>
                </c:pt>
                <c:pt idx="3677">
                  <c:v>-3.271944</c:v>
                </c:pt>
                <c:pt idx="3678">
                  <c:v>-3.1730559999999999</c:v>
                </c:pt>
                <c:pt idx="3679">
                  <c:v>-3.0897220000000001</c:v>
                </c:pt>
                <c:pt idx="3680">
                  <c:v>-3.0580560000000001</c:v>
                </c:pt>
                <c:pt idx="3681">
                  <c:v>-3.0055559999999999</c:v>
                </c:pt>
                <c:pt idx="3682">
                  <c:v>-3.0511110000000001</c:v>
                </c:pt>
                <c:pt idx="3683">
                  <c:v>-3.1077780000000002</c:v>
                </c:pt>
                <c:pt idx="3684">
                  <c:v>-3.0730559999999998</c:v>
                </c:pt>
                <c:pt idx="3685">
                  <c:v>-2.9983330000000001</c:v>
                </c:pt>
                <c:pt idx="3686">
                  <c:v>-2.9344440000000001</c:v>
                </c:pt>
                <c:pt idx="3687">
                  <c:v>-2.8769439999999999</c:v>
                </c:pt>
                <c:pt idx="3688">
                  <c:v>-2.8397220000000001</c:v>
                </c:pt>
                <c:pt idx="3689">
                  <c:v>-2.7808329999999999</c:v>
                </c:pt>
                <c:pt idx="3690">
                  <c:v>-2.8238889999999999</c:v>
                </c:pt>
                <c:pt idx="3691">
                  <c:v>-2.746667</c:v>
                </c:pt>
                <c:pt idx="3693">
                  <c:v>-2.9533330000000002</c:v>
                </c:pt>
                <c:pt idx="3694">
                  <c:v>-2.884722</c:v>
                </c:pt>
                <c:pt idx="3696">
                  <c:v>-2.9191669999999998</c:v>
                </c:pt>
                <c:pt idx="3697">
                  <c:v>-2.9258329999999999</c:v>
                </c:pt>
                <c:pt idx="3698">
                  <c:v>-2.9816669999999998</c:v>
                </c:pt>
                <c:pt idx="3699">
                  <c:v>-3.0172219999999998</c:v>
                </c:pt>
                <c:pt idx="3700">
                  <c:v>-2.9988890000000001</c:v>
                </c:pt>
                <c:pt idx="3701">
                  <c:v>-2.9913889999999999</c:v>
                </c:pt>
                <c:pt idx="3702">
                  <c:v>-2.8941669999999999</c:v>
                </c:pt>
                <c:pt idx="3704">
                  <c:v>-3.0436109999999998</c:v>
                </c:pt>
                <c:pt idx="3706">
                  <c:v>-3.1291669999999998</c:v>
                </c:pt>
                <c:pt idx="3708">
                  <c:v>-3.1549999999999998</c:v>
                </c:pt>
                <c:pt idx="3710">
                  <c:v>-3.1438890000000002</c:v>
                </c:pt>
                <c:pt idx="3711">
                  <c:v>-3.0777779999999999</c:v>
                </c:pt>
                <c:pt idx="3712">
                  <c:v>-3.0777779999999999</c:v>
                </c:pt>
                <c:pt idx="3714">
                  <c:v>-3.1697220000000002</c:v>
                </c:pt>
                <c:pt idx="3715">
                  <c:v>-3.2480560000000001</c:v>
                </c:pt>
                <c:pt idx="3716">
                  <c:v>-3.1633330000000002</c:v>
                </c:pt>
                <c:pt idx="3717">
                  <c:v>-3.175278</c:v>
                </c:pt>
                <c:pt idx="3718">
                  <c:v>-3.2752780000000001</c:v>
                </c:pt>
                <c:pt idx="3719">
                  <c:v>-3.33</c:v>
                </c:pt>
                <c:pt idx="3720">
                  <c:v>-3.3780559999999999</c:v>
                </c:pt>
                <c:pt idx="3721">
                  <c:v>-3.4305560000000002</c:v>
                </c:pt>
                <c:pt idx="3722">
                  <c:v>-3.3725000000000001</c:v>
                </c:pt>
                <c:pt idx="3723">
                  <c:v>-3.2966669999999998</c:v>
                </c:pt>
                <c:pt idx="3724">
                  <c:v>-3.2186110000000001</c:v>
                </c:pt>
                <c:pt idx="3726">
                  <c:v>-3.2741669999999998</c:v>
                </c:pt>
                <c:pt idx="3728">
                  <c:v>-2.9647220000000001</c:v>
                </c:pt>
                <c:pt idx="3730">
                  <c:v>-2.9786109999999999</c:v>
                </c:pt>
                <c:pt idx="3731">
                  <c:v>-3.0755560000000002</c:v>
                </c:pt>
                <c:pt idx="3732">
                  <c:v>-3.119167</c:v>
                </c:pt>
                <c:pt idx="3733">
                  <c:v>-3.052778</c:v>
                </c:pt>
                <c:pt idx="3734">
                  <c:v>-2.9797220000000002</c:v>
                </c:pt>
                <c:pt idx="3736">
                  <c:v>-2.9436110000000002</c:v>
                </c:pt>
                <c:pt idx="3738">
                  <c:v>-3.016667</c:v>
                </c:pt>
                <c:pt idx="3740">
                  <c:v>-2.9819439999999999</c:v>
                </c:pt>
                <c:pt idx="3741">
                  <c:v>-2.9036110000000002</c:v>
                </c:pt>
                <c:pt idx="3742">
                  <c:v>-2.8438889999999999</c:v>
                </c:pt>
                <c:pt idx="3743">
                  <c:v>-2.8774999999999999</c:v>
                </c:pt>
                <c:pt idx="3744">
                  <c:v>-2.9044439999999998</c:v>
                </c:pt>
                <c:pt idx="3745">
                  <c:v>-2.967222</c:v>
                </c:pt>
                <c:pt idx="3746">
                  <c:v>-3.0180560000000001</c:v>
                </c:pt>
                <c:pt idx="3747">
                  <c:v>-3.0613890000000001</c:v>
                </c:pt>
                <c:pt idx="3748">
                  <c:v>-3.0211109999999999</c:v>
                </c:pt>
                <c:pt idx="3749">
                  <c:v>-2.9544440000000001</c:v>
                </c:pt>
                <c:pt idx="3751">
                  <c:v>-2.8830559999999998</c:v>
                </c:pt>
                <c:pt idx="3752">
                  <c:v>-2.9122219999999999</c:v>
                </c:pt>
                <c:pt idx="3753">
                  <c:v>-2.868611</c:v>
                </c:pt>
                <c:pt idx="3755">
                  <c:v>-2.8202780000000001</c:v>
                </c:pt>
                <c:pt idx="3757">
                  <c:v>-2.7574999999999998</c:v>
                </c:pt>
                <c:pt idx="3758">
                  <c:v>-2.7741669999999998</c:v>
                </c:pt>
                <c:pt idx="3759">
                  <c:v>-2.8280560000000001</c:v>
                </c:pt>
                <c:pt idx="3760">
                  <c:v>-2.782778</c:v>
                </c:pt>
                <c:pt idx="3761">
                  <c:v>-2.7816670000000001</c:v>
                </c:pt>
                <c:pt idx="3762">
                  <c:v>-2.7322220000000002</c:v>
                </c:pt>
                <c:pt idx="3764">
                  <c:v>-2.7230560000000001</c:v>
                </c:pt>
                <c:pt idx="3766">
                  <c:v>-1.848333</c:v>
                </c:pt>
                <c:pt idx="3768">
                  <c:v>0.682222</c:v>
                </c:pt>
                <c:pt idx="3770">
                  <c:v>0.92444400000000004</c:v>
                </c:pt>
                <c:pt idx="3771">
                  <c:v>0.95583300000000004</c:v>
                </c:pt>
                <c:pt idx="3772">
                  <c:v>1.000278</c:v>
                </c:pt>
                <c:pt idx="3774">
                  <c:v>-1.139167</c:v>
                </c:pt>
                <c:pt idx="3775">
                  <c:v>-1.164444</c:v>
                </c:pt>
                <c:pt idx="3776">
                  <c:v>-1.2311110000000001</c:v>
                </c:pt>
                <c:pt idx="3777">
                  <c:v>-1.3152779999999999</c:v>
                </c:pt>
                <c:pt idx="3778">
                  <c:v>-1.3730560000000001</c:v>
                </c:pt>
                <c:pt idx="3779">
                  <c:v>-1.4466669999999999</c:v>
                </c:pt>
                <c:pt idx="3780">
                  <c:v>-1.5180560000000001</c:v>
                </c:pt>
                <c:pt idx="3781">
                  <c:v>-1.5544439999999999</c:v>
                </c:pt>
                <c:pt idx="3782">
                  <c:v>-1.5016670000000001</c:v>
                </c:pt>
                <c:pt idx="3783">
                  <c:v>-1.4322220000000001</c:v>
                </c:pt>
                <c:pt idx="3784">
                  <c:v>-1.388056</c:v>
                </c:pt>
                <c:pt idx="3785">
                  <c:v>-1.338333</c:v>
                </c:pt>
                <c:pt idx="3786">
                  <c:v>-1.27</c:v>
                </c:pt>
                <c:pt idx="3787">
                  <c:v>-1.199722</c:v>
                </c:pt>
                <c:pt idx="3788">
                  <c:v>-1.1138889999999999</c:v>
                </c:pt>
                <c:pt idx="3789">
                  <c:v>-1.072222</c:v>
                </c:pt>
                <c:pt idx="3791">
                  <c:v>-6.2936110000000003</c:v>
                </c:pt>
                <c:pt idx="3793">
                  <c:v>-6.3172220000000001</c:v>
                </c:pt>
                <c:pt idx="3795">
                  <c:v>-6.3369439999999999</c:v>
                </c:pt>
                <c:pt idx="3797">
                  <c:v>-4.6636110000000004</c:v>
                </c:pt>
                <c:pt idx="3799">
                  <c:v>-5.2938890000000001</c:v>
                </c:pt>
                <c:pt idx="3801">
                  <c:v>-5.3208330000000004</c:v>
                </c:pt>
                <c:pt idx="3803">
                  <c:v>-4.621111</c:v>
                </c:pt>
                <c:pt idx="3804">
                  <c:v>-4.5786110000000004</c:v>
                </c:pt>
                <c:pt idx="3805">
                  <c:v>-4.5930559999999998</c:v>
                </c:pt>
                <c:pt idx="3806">
                  <c:v>-4.641667</c:v>
                </c:pt>
                <c:pt idx="3807">
                  <c:v>-4.6886109999999999</c:v>
                </c:pt>
                <c:pt idx="3809">
                  <c:v>-4.333056</c:v>
                </c:pt>
                <c:pt idx="3810">
                  <c:v>-4.2680559999999996</c:v>
                </c:pt>
                <c:pt idx="3811">
                  <c:v>-4.2347219999999997</c:v>
                </c:pt>
                <c:pt idx="3812">
                  <c:v>-4.2083329999999997</c:v>
                </c:pt>
                <c:pt idx="3813">
                  <c:v>-4.134722</c:v>
                </c:pt>
                <c:pt idx="3814">
                  <c:v>-4.0422219999999998</c:v>
                </c:pt>
                <c:pt idx="3815">
                  <c:v>-4.0813889999999997</c:v>
                </c:pt>
                <c:pt idx="3816">
                  <c:v>-4.1461110000000003</c:v>
                </c:pt>
                <c:pt idx="3817">
                  <c:v>-4.2113889999999996</c:v>
                </c:pt>
                <c:pt idx="3818">
                  <c:v>-4.2580559999999998</c:v>
                </c:pt>
                <c:pt idx="3819">
                  <c:v>-4.3224999999999998</c:v>
                </c:pt>
                <c:pt idx="3820">
                  <c:v>-4.3802779999999997</c:v>
                </c:pt>
                <c:pt idx="3821">
                  <c:v>-4.4272220000000004</c:v>
                </c:pt>
                <c:pt idx="3822">
                  <c:v>-4.4888890000000004</c:v>
                </c:pt>
                <c:pt idx="3823">
                  <c:v>-4.5149999999999997</c:v>
                </c:pt>
                <c:pt idx="3824">
                  <c:v>-4.5558329999999998</c:v>
                </c:pt>
                <c:pt idx="3825">
                  <c:v>-4.5680560000000003</c:v>
                </c:pt>
                <c:pt idx="3826">
                  <c:v>-4.5605560000000001</c:v>
                </c:pt>
                <c:pt idx="3827">
                  <c:v>-4.5244439999999999</c:v>
                </c:pt>
                <c:pt idx="3828">
                  <c:v>-4.4636110000000002</c:v>
                </c:pt>
                <c:pt idx="3830">
                  <c:v>-3.2408329999999999</c:v>
                </c:pt>
                <c:pt idx="3831">
                  <c:v>-3.200278</c:v>
                </c:pt>
                <c:pt idx="3832">
                  <c:v>-3.226111</c:v>
                </c:pt>
                <c:pt idx="3833">
                  <c:v>-3.2616670000000001</c:v>
                </c:pt>
                <c:pt idx="3835">
                  <c:v>-4.3758330000000001</c:v>
                </c:pt>
                <c:pt idx="3836">
                  <c:v>-4.3413890000000004</c:v>
                </c:pt>
                <c:pt idx="3837">
                  <c:v>-4.3297220000000003</c:v>
                </c:pt>
                <c:pt idx="3838">
                  <c:v>-4.371111</c:v>
                </c:pt>
                <c:pt idx="3839">
                  <c:v>-4.394444</c:v>
                </c:pt>
                <c:pt idx="3840">
                  <c:v>-4.4630559999999999</c:v>
                </c:pt>
                <c:pt idx="3841">
                  <c:v>-4.5102779999999996</c:v>
                </c:pt>
                <c:pt idx="3842">
                  <c:v>-4.5758330000000003</c:v>
                </c:pt>
                <c:pt idx="3843">
                  <c:v>-4.6183329999999998</c:v>
                </c:pt>
                <c:pt idx="3844">
                  <c:v>-4.6775000000000002</c:v>
                </c:pt>
                <c:pt idx="3845">
                  <c:v>-4.7497220000000002</c:v>
                </c:pt>
                <c:pt idx="3846">
                  <c:v>-4.7691670000000004</c:v>
                </c:pt>
                <c:pt idx="3847">
                  <c:v>-4.737222</c:v>
                </c:pt>
                <c:pt idx="3848">
                  <c:v>-4.7249999999999996</c:v>
                </c:pt>
                <c:pt idx="3849">
                  <c:v>-4.6888889999999996</c:v>
                </c:pt>
                <c:pt idx="3850">
                  <c:v>-4.6216670000000004</c:v>
                </c:pt>
                <c:pt idx="3851">
                  <c:v>-4.5780560000000001</c:v>
                </c:pt>
                <c:pt idx="3852">
                  <c:v>-4.5472219999999997</c:v>
                </c:pt>
                <c:pt idx="3853">
                  <c:v>-4.4894439999999998</c:v>
                </c:pt>
                <c:pt idx="3854">
                  <c:v>-4.4061110000000001</c:v>
                </c:pt>
                <c:pt idx="3856">
                  <c:v>-4.8150000000000004</c:v>
                </c:pt>
                <c:pt idx="3858">
                  <c:v>-4.9611109999999998</c:v>
                </c:pt>
                <c:pt idx="3860">
                  <c:v>-5.1058329999999996</c:v>
                </c:pt>
                <c:pt idx="3861">
                  <c:v>-5.0650000000000004</c:v>
                </c:pt>
                <c:pt idx="3862">
                  <c:v>-5.0211110000000003</c:v>
                </c:pt>
                <c:pt idx="3863">
                  <c:v>-5.0244439999999999</c:v>
                </c:pt>
                <c:pt idx="3864">
                  <c:v>-5.0347220000000004</c:v>
                </c:pt>
                <c:pt idx="3865">
                  <c:v>-5.0797220000000003</c:v>
                </c:pt>
                <c:pt idx="3866">
                  <c:v>-5.1338889999999999</c:v>
                </c:pt>
                <c:pt idx="3867">
                  <c:v>-5.1658330000000001</c:v>
                </c:pt>
                <c:pt idx="3868">
                  <c:v>-5.2058330000000002</c:v>
                </c:pt>
                <c:pt idx="3870">
                  <c:v>-5.1702779999999997</c:v>
                </c:pt>
                <c:pt idx="3872">
                  <c:v>-5.0747220000000004</c:v>
                </c:pt>
                <c:pt idx="3874">
                  <c:v>-5.19</c:v>
                </c:pt>
                <c:pt idx="3875">
                  <c:v>-5.148333</c:v>
                </c:pt>
                <c:pt idx="3876">
                  <c:v>-5.1358329999999999</c:v>
                </c:pt>
                <c:pt idx="3877">
                  <c:v>-5.0925000000000002</c:v>
                </c:pt>
                <c:pt idx="3878">
                  <c:v>-5.12</c:v>
                </c:pt>
                <c:pt idx="3879">
                  <c:v>-5.0938889999999999</c:v>
                </c:pt>
                <c:pt idx="3880">
                  <c:v>-5.0897220000000001</c:v>
                </c:pt>
                <c:pt idx="3881">
                  <c:v>-5.1791669999999996</c:v>
                </c:pt>
                <c:pt idx="3882">
                  <c:v>-5.2727779999999997</c:v>
                </c:pt>
                <c:pt idx="3883">
                  <c:v>-5.3402779999999996</c:v>
                </c:pt>
                <c:pt idx="3884">
                  <c:v>-5.3541670000000003</c:v>
                </c:pt>
                <c:pt idx="3885">
                  <c:v>-5.3674999999999997</c:v>
                </c:pt>
                <c:pt idx="3886">
                  <c:v>-5.4002780000000001</c:v>
                </c:pt>
                <c:pt idx="3887">
                  <c:v>-5.3744440000000004</c:v>
                </c:pt>
                <c:pt idx="3888">
                  <c:v>-5.3094440000000001</c:v>
                </c:pt>
                <c:pt idx="3890">
                  <c:v>-5.5855560000000004</c:v>
                </c:pt>
                <c:pt idx="3892">
                  <c:v>-5.730556</c:v>
                </c:pt>
                <c:pt idx="3893">
                  <c:v>-5.7572219999999996</c:v>
                </c:pt>
                <c:pt idx="3894">
                  <c:v>-5.7730560000000004</c:v>
                </c:pt>
                <c:pt idx="3895">
                  <c:v>-5.7469440000000001</c:v>
                </c:pt>
                <c:pt idx="3897">
                  <c:v>-6.1305560000000003</c:v>
                </c:pt>
                <c:pt idx="3898">
                  <c:v>-6.1130560000000003</c:v>
                </c:pt>
                <c:pt idx="3899">
                  <c:v>-6.0719440000000002</c:v>
                </c:pt>
                <c:pt idx="3900">
                  <c:v>-6.0444440000000004</c:v>
                </c:pt>
                <c:pt idx="3901">
                  <c:v>-6.030278</c:v>
                </c:pt>
                <c:pt idx="3902">
                  <c:v>-6.0766669999999996</c:v>
                </c:pt>
                <c:pt idx="3903">
                  <c:v>-6.1594439999999997</c:v>
                </c:pt>
                <c:pt idx="3904">
                  <c:v>-6.2247219999999999</c:v>
                </c:pt>
                <c:pt idx="3905">
                  <c:v>-6.2780560000000003</c:v>
                </c:pt>
                <c:pt idx="3906">
                  <c:v>-6.342778</c:v>
                </c:pt>
                <c:pt idx="3907">
                  <c:v>-6.3102780000000003</c:v>
                </c:pt>
                <c:pt idx="3908">
                  <c:v>-6.2877780000000003</c:v>
                </c:pt>
                <c:pt idx="3909">
                  <c:v>-6.3488889999999998</c:v>
                </c:pt>
                <c:pt idx="3910">
                  <c:v>-6.2927780000000002</c:v>
                </c:pt>
                <c:pt idx="3911">
                  <c:v>-6.3174999999999999</c:v>
                </c:pt>
                <c:pt idx="3912">
                  <c:v>-6.3822219999999996</c:v>
                </c:pt>
                <c:pt idx="3913">
                  <c:v>-6.4263890000000004</c:v>
                </c:pt>
                <c:pt idx="3914">
                  <c:v>-6.4972219999999998</c:v>
                </c:pt>
                <c:pt idx="3915">
                  <c:v>-6.5280560000000003</c:v>
                </c:pt>
                <c:pt idx="3916">
                  <c:v>-6.487222</c:v>
                </c:pt>
                <c:pt idx="3917">
                  <c:v>-6.4730559999999997</c:v>
                </c:pt>
                <c:pt idx="3918">
                  <c:v>-6.4680559999999998</c:v>
                </c:pt>
                <c:pt idx="3919">
                  <c:v>-6.4244440000000003</c:v>
                </c:pt>
                <c:pt idx="3920">
                  <c:v>-6.3530559999999996</c:v>
                </c:pt>
                <c:pt idx="3921">
                  <c:v>-6.3527779999999998</c:v>
                </c:pt>
                <c:pt idx="3922">
                  <c:v>-6.3258330000000003</c:v>
                </c:pt>
                <c:pt idx="3923">
                  <c:v>-6.2738889999999996</c:v>
                </c:pt>
                <c:pt idx="3924">
                  <c:v>-6.2058330000000002</c:v>
                </c:pt>
                <c:pt idx="3925">
                  <c:v>-6.1280559999999999</c:v>
                </c:pt>
                <c:pt idx="3927">
                  <c:v>-5.8713889999999997</c:v>
                </c:pt>
                <c:pt idx="3928">
                  <c:v>-5.9066669999999997</c:v>
                </c:pt>
                <c:pt idx="3929">
                  <c:v>-5.9519440000000001</c:v>
                </c:pt>
                <c:pt idx="3930">
                  <c:v>-5.9694440000000002</c:v>
                </c:pt>
                <c:pt idx="3931">
                  <c:v>-6.0558329999999998</c:v>
                </c:pt>
                <c:pt idx="3932">
                  <c:v>-6.104444</c:v>
                </c:pt>
                <c:pt idx="3933">
                  <c:v>-6.0994440000000001</c:v>
                </c:pt>
                <c:pt idx="3934">
                  <c:v>-6.05</c:v>
                </c:pt>
                <c:pt idx="3935">
                  <c:v>-5.9466669999999997</c:v>
                </c:pt>
                <c:pt idx="3936">
                  <c:v>-5.8586109999999998</c:v>
                </c:pt>
                <c:pt idx="3938">
                  <c:v>-5.7136110000000002</c:v>
                </c:pt>
                <c:pt idx="3939">
                  <c:v>-5.7569439999999998</c:v>
                </c:pt>
                <c:pt idx="3940">
                  <c:v>-5.7986110000000002</c:v>
                </c:pt>
                <c:pt idx="3941">
                  <c:v>-5.842778</c:v>
                </c:pt>
                <c:pt idx="3942">
                  <c:v>-5.9227780000000001</c:v>
                </c:pt>
                <c:pt idx="3943">
                  <c:v>-6.0061109999999998</c:v>
                </c:pt>
                <c:pt idx="3944">
                  <c:v>-5.9727779999999999</c:v>
                </c:pt>
                <c:pt idx="3945">
                  <c:v>-5.9124999999999996</c:v>
                </c:pt>
                <c:pt idx="3946">
                  <c:v>-5.8438889999999999</c:v>
                </c:pt>
                <c:pt idx="3947">
                  <c:v>-5.7797219999999996</c:v>
                </c:pt>
                <c:pt idx="3948">
                  <c:v>-5.7238889999999998</c:v>
                </c:pt>
                <c:pt idx="3950">
                  <c:v>-5.6180560000000002</c:v>
                </c:pt>
                <c:pt idx="3952">
                  <c:v>-5.6405560000000001</c:v>
                </c:pt>
                <c:pt idx="3953">
                  <c:v>-5.668056</c:v>
                </c:pt>
                <c:pt idx="3954">
                  <c:v>-5.6661109999999999</c:v>
                </c:pt>
                <c:pt idx="3956">
                  <c:v>-5.6341669999999997</c:v>
                </c:pt>
                <c:pt idx="3957">
                  <c:v>-5.6480560000000004</c:v>
                </c:pt>
                <c:pt idx="3959">
                  <c:v>-5.5580559999999997</c:v>
                </c:pt>
                <c:pt idx="3960">
                  <c:v>-5.5713889999999999</c:v>
                </c:pt>
                <c:pt idx="3962">
                  <c:v>-5.73</c:v>
                </c:pt>
                <c:pt idx="3963">
                  <c:v>-5.7222220000000004</c:v>
                </c:pt>
                <c:pt idx="3965">
                  <c:v>-5.7055559999999996</c:v>
                </c:pt>
                <c:pt idx="3967">
                  <c:v>-6.181667</c:v>
                </c:pt>
                <c:pt idx="3968">
                  <c:v>-6.2163890000000004</c:v>
                </c:pt>
                <c:pt idx="3969">
                  <c:v>-6.282222</c:v>
                </c:pt>
                <c:pt idx="3970">
                  <c:v>-6.2561109999999998</c:v>
                </c:pt>
                <c:pt idx="3971">
                  <c:v>-6.1875</c:v>
                </c:pt>
                <c:pt idx="3973">
                  <c:v>-6.2616670000000001</c:v>
                </c:pt>
                <c:pt idx="3975">
                  <c:v>-5.674722</c:v>
                </c:pt>
                <c:pt idx="3976">
                  <c:v>-5.7247219999999999</c:v>
                </c:pt>
                <c:pt idx="3977">
                  <c:v>-5.766667</c:v>
                </c:pt>
                <c:pt idx="3978">
                  <c:v>-5.6974999999999998</c:v>
                </c:pt>
                <c:pt idx="3979">
                  <c:v>-5.7575000000000003</c:v>
                </c:pt>
                <c:pt idx="3980">
                  <c:v>-5.8383330000000004</c:v>
                </c:pt>
                <c:pt idx="3981">
                  <c:v>-5.8738890000000001</c:v>
                </c:pt>
                <c:pt idx="3982">
                  <c:v>-5.9083329999999998</c:v>
                </c:pt>
                <c:pt idx="3983">
                  <c:v>-5.9758329999999997</c:v>
                </c:pt>
                <c:pt idx="3984">
                  <c:v>-6.0516670000000001</c:v>
                </c:pt>
                <c:pt idx="3985">
                  <c:v>-6.144444</c:v>
                </c:pt>
                <c:pt idx="3986">
                  <c:v>-6.2405559999999998</c:v>
                </c:pt>
                <c:pt idx="3987">
                  <c:v>-6.298889</c:v>
                </c:pt>
                <c:pt idx="3988">
                  <c:v>-6.3458329999999998</c:v>
                </c:pt>
                <c:pt idx="3989">
                  <c:v>-6.3616669999999997</c:v>
                </c:pt>
                <c:pt idx="3990">
                  <c:v>-6.2894439999999996</c:v>
                </c:pt>
                <c:pt idx="3991">
                  <c:v>-6.255833</c:v>
                </c:pt>
                <c:pt idx="3992">
                  <c:v>-6.1841670000000004</c:v>
                </c:pt>
                <c:pt idx="3993">
                  <c:v>-6.0949999999999998</c:v>
                </c:pt>
                <c:pt idx="3994">
                  <c:v>-6.0149999999999997</c:v>
                </c:pt>
                <c:pt idx="3995">
                  <c:v>-6.0863889999999996</c:v>
                </c:pt>
                <c:pt idx="3996">
                  <c:v>-6.173889</c:v>
                </c:pt>
                <c:pt idx="3997">
                  <c:v>-6.2066670000000004</c:v>
                </c:pt>
                <c:pt idx="3998">
                  <c:v>-6.1522220000000001</c:v>
                </c:pt>
                <c:pt idx="3999">
                  <c:v>-6.081944</c:v>
                </c:pt>
                <c:pt idx="4000">
                  <c:v>-6.0102779999999996</c:v>
                </c:pt>
                <c:pt idx="4001">
                  <c:v>-6.0691670000000002</c:v>
                </c:pt>
                <c:pt idx="4002">
                  <c:v>-6.1497219999999997</c:v>
                </c:pt>
                <c:pt idx="4003">
                  <c:v>-6.2127780000000001</c:v>
                </c:pt>
                <c:pt idx="4004">
                  <c:v>-6.3016670000000001</c:v>
                </c:pt>
                <c:pt idx="4005">
                  <c:v>-6.3297220000000003</c:v>
                </c:pt>
                <c:pt idx="4006">
                  <c:v>-6.3230560000000002</c:v>
                </c:pt>
                <c:pt idx="4007">
                  <c:v>-6.2880560000000001</c:v>
                </c:pt>
                <c:pt idx="4008">
                  <c:v>-6.2219439999999997</c:v>
                </c:pt>
                <c:pt idx="4009">
                  <c:v>-6.2119439999999999</c:v>
                </c:pt>
                <c:pt idx="4010">
                  <c:v>-6.1447219999999998</c:v>
                </c:pt>
                <c:pt idx="4011">
                  <c:v>-6.0738890000000003</c:v>
                </c:pt>
                <c:pt idx="4012">
                  <c:v>-6.0241670000000003</c:v>
                </c:pt>
                <c:pt idx="4013">
                  <c:v>-5.9772220000000003</c:v>
                </c:pt>
                <c:pt idx="4014">
                  <c:v>-5.918056</c:v>
                </c:pt>
                <c:pt idx="4015">
                  <c:v>-5.8363889999999996</c:v>
                </c:pt>
                <c:pt idx="4016">
                  <c:v>-5.7747219999999997</c:v>
                </c:pt>
                <c:pt idx="4017">
                  <c:v>-5.6966669999999997</c:v>
                </c:pt>
                <c:pt idx="4019">
                  <c:v>-5.4947220000000003</c:v>
                </c:pt>
                <c:pt idx="4020">
                  <c:v>-5.5533330000000003</c:v>
                </c:pt>
                <c:pt idx="4021">
                  <c:v>-5.6158330000000003</c:v>
                </c:pt>
                <c:pt idx="4022">
                  <c:v>-5.5594440000000001</c:v>
                </c:pt>
                <c:pt idx="4023">
                  <c:v>-5.4950000000000001</c:v>
                </c:pt>
                <c:pt idx="4024">
                  <c:v>-5.44</c:v>
                </c:pt>
                <c:pt idx="4026">
                  <c:v>-6.3641670000000001</c:v>
                </c:pt>
                <c:pt idx="4028">
                  <c:v>-6.4461110000000001</c:v>
                </c:pt>
                <c:pt idx="4029">
                  <c:v>-6.4255560000000003</c:v>
                </c:pt>
                <c:pt idx="4031">
                  <c:v>-6.237222</c:v>
                </c:pt>
                <c:pt idx="4032">
                  <c:v>-6.2222220000000004</c:v>
                </c:pt>
                <c:pt idx="4034">
                  <c:v>-6.306667</c:v>
                </c:pt>
                <c:pt idx="4036">
                  <c:v>-6.4288889999999999</c:v>
                </c:pt>
                <c:pt idx="4038">
                  <c:v>-6.7966670000000002</c:v>
                </c:pt>
                <c:pt idx="4039">
                  <c:v>-6.8366670000000003</c:v>
                </c:pt>
                <c:pt idx="4040">
                  <c:v>-6.9083329999999998</c:v>
                </c:pt>
                <c:pt idx="4041">
                  <c:v>-6.9752780000000003</c:v>
                </c:pt>
                <c:pt idx="4042">
                  <c:v>-6.9922219999999999</c:v>
                </c:pt>
                <c:pt idx="4043">
                  <c:v>-6.9386109999999999</c:v>
                </c:pt>
                <c:pt idx="4044">
                  <c:v>-6.8466670000000001</c:v>
                </c:pt>
                <c:pt idx="4045">
                  <c:v>-6.7672220000000003</c:v>
                </c:pt>
                <c:pt idx="4047">
                  <c:v>-6.4977780000000003</c:v>
                </c:pt>
                <c:pt idx="4048">
                  <c:v>-6.5536110000000001</c:v>
                </c:pt>
                <c:pt idx="4049">
                  <c:v>-6.6408329999999998</c:v>
                </c:pt>
                <c:pt idx="4050">
                  <c:v>-6.7016669999999996</c:v>
                </c:pt>
                <c:pt idx="4051">
                  <c:v>-6.6716670000000002</c:v>
                </c:pt>
                <c:pt idx="4052">
                  <c:v>-6.6261109999999999</c:v>
                </c:pt>
                <c:pt idx="4053">
                  <c:v>-6.552778</c:v>
                </c:pt>
                <c:pt idx="4054">
                  <c:v>-6.4758329999999997</c:v>
                </c:pt>
                <c:pt idx="4056">
                  <c:v>-5.8638890000000004</c:v>
                </c:pt>
                <c:pt idx="4058">
                  <c:v>-6.2680559999999996</c:v>
                </c:pt>
                <c:pt idx="4060">
                  <c:v>-6.1388889999999998</c:v>
                </c:pt>
                <c:pt idx="4061">
                  <c:v>-6.213889</c:v>
                </c:pt>
                <c:pt idx="4062">
                  <c:v>-6.1658330000000001</c:v>
                </c:pt>
                <c:pt idx="4063">
                  <c:v>-6.1080560000000004</c:v>
                </c:pt>
                <c:pt idx="4065">
                  <c:v>-6.2769440000000003</c:v>
                </c:pt>
                <c:pt idx="4066">
                  <c:v>-6.3527779999999998</c:v>
                </c:pt>
                <c:pt idx="4067">
                  <c:v>-6.4152779999999998</c:v>
                </c:pt>
                <c:pt idx="4068">
                  <c:v>-6.4613889999999996</c:v>
                </c:pt>
                <c:pt idx="4069">
                  <c:v>-6.3952780000000002</c:v>
                </c:pt>
                <c:pt idx="4070">
                  <c:v>-6.3097219999999998</c:v>
                </c:pt>
                <c:pt idx="4071">
                  <c:v>-6.246111</c:v>
                </c:pt>
                <c:pt idx="4073">
                  <c:v>-6.5788890000000002</c:v>
                </c:pt>
                <c:pt idx="4074">
                  <c:v>-6.5811109999999999</c:v>
                </c:pt>
                <c:pt idx="4075">
                  <c:v>-6.4936109999999996</c:v>
                </c:pt>
                <c:pt idx="4077">
                  <c:v>-6.4708329999999998</c:v>
                </c:pt>
                <c:pt idx="4079">
                  <c:v>-6.1441670000000004</c:v>
                </c:pt>
                <c:pt idx="4080">
                  <c:v>-6.1397219999999999</c:v>
                </c:pt>
                <c:pt idx="4081">
                  <c:v>-6.181667</c:v>
                </c:pt>
                <c:pt idx="4082">
                  <c:v>-6.1361109999999996</c:v>
                </c:pt>
                <c:pt idx="4083">
                  <c:v>-6.1266670000000003</c:v>
                </c:pt>
                <c:pt idx="4084">
                  <c:v>-6.0855560000000004</c:v>
                </c:pt>
                <c:pt idx="4085">
                  <c:v>-6.0658329999999996</c:v>
                </c:pt>
                <c:pt idx="4086">
                  <c:v>-6.0069439999999998</c:v>
                </c:pt>
                <c:pt idx="4087">
                  <c:v>-5.9183329999999996</c:v>
                </c:pt>
                <c:pt idx="4088">
                  <c:v>-5.835833</c:v>
                </c:pt>
                <c:pt idx="4089">
                  <c:v>-5.755833</c:v>
                </c:pt>
                <c:pt idx="4090">
                  <c:v>-5.7024999999999997</c:v>
                </c:pt>
                <c:pt idx="4091">
                  <c:v>-5.6636110000000004</c:v>
                </c:pt>
                <c:pt idx="4092">
                  <c:v>-5.6986109999999996</c:v>
                </c:pt>
                <c:pt idx="4093">
                  <c:v>-5.7772220000000001</c:v>
                </c:pt>
                <c:pt idx="4094">
                  <c:v>-5.799722</c:v>
                </c:pt>
                <c:pt idx="4095">
                  <c:v>-5.858333</c:v>
                </c:pt>
                <c:pt idx="4096">
                  <c:v>-5.9077780000000004</c:v>
                </c:pt>
                <c:pt idx="4097">
                  <c:v>-5.9772220000000003</c:v>
                </c:pt>
                <c:pt idx="4098">
                  <c:v>-6.0333329999999998</c:v>
                </c:pt>
                <c:pt idx="4099">
                  <c:v>-6.0111109999999996</c:v>
                </c:pt>
                <c:pt idx="4100">
                  <c:v>-5.9838889999999996</c:v>
                </c:pt>
                <c:pt idx="4101">
                  <c:v>-5.9163889999999997</c:v>
                </c:pt>
                <c:pt idx="4102">
                  <c:v>-5.8372219999999997</c:v>
                </c:pt>
                <c:pt idx="4103">
                  <c:v>-5.924722</c:v>
                </c:pt>
                <c:pt idx="4104">
                  <c:v>-5.9944439999999997</c:v>
                </c:pt>
                <c:pt idx="4105">
                  <c:v>-6.0280560000000003</c:v>
                </c:pt>
                <c:pt idx="4106">
                  <c:v>-6.0661110000000003</c:v>
                </c:pt>
                <c:pt idx="4107">
                  <c:v>-6.1091670000000002</c:v>
                </c:pt>
                <c:pt idx="4108">
                  <c:v>-6.1494439999999999</c:v>
                </c:pt>
                <c:pt idx="4109">
                  <c:v>-6.2344439999999999</c:v>
                </c:pt>
                <c:pt idx="4110">
                  <c:v>-6.3250000000000002</c:v>
                </c:pt>
                <c:pt idx="4111">
                  <c:v>-6.3105560000000001</c:v>
                </c:pt>
                <c:pt idx="4112">
                  <c:v>-6.388611</c:v>
                </c:pt>
                <c:pt idx="4113">
                  <c:v>-6.3761109999999999</c:v>
                </c:pt>
                <c:pt idx="4114">
                  <c:v>-6.451111</c:v>
                </c:pt>
                <c:pt idx="4115">
                  <c:v>-6.4869440000000003</c:v>
                </c:pt>
                <c:pt idx="4116">
                  <c:v>-6.4344440000000001</c:v>
                </c:pt>
                <c:pt idx="4117">
                  <c:v>-6.3647220000000004</c:v>
                </c:pt>
                <c:pt idx="4118">
                  <c:v>-6.3580560000000004</c:v>
                </c:pt>
                <c:pt idx="4119">
                  <c:v>-6.4033329999999999</c:v>
                </c:pt>
                <c:pt idx="4120">
                  <c:v>-6.458056</c:v>
                </c:pt>
                <c:pt idx="4121">
                  <c:v>-6.4958330000000002</c:v>
                </c:pt>
                <c:pt idx="4122">
                  <c:v>-6.53</c:v>
                </c:pt>
                <c:pt idx="4123">
                  <c:v>-6.5547219999999999</c:v>
                </c:pt>
                <c:pt idx="4124">
                  <c:v>-6.5694439999999998</c:v>
                </c:pt>
                <c:pt idx="4125">
                  <c:v>-6.6263889999999996</c:v>
                </c:pt>
                <c:pt idx="4126">
                  <c:v>-6.7222220000000004</c:v>
                </c:pt>
                <c:pt idx="4127">
                  <c:v>-6.7494440000000004</c:v>
                </c:pt>
                <c:pt idx="4128">
                  <c:v>-6.7869440000000001</c:v>
                </c:pt>
                <c:pt idx="4129">
                  <c:v>-6.7355559999999999</c:v>
                </c:pt>
                <c:pt idx="4130">
                  <c:v>-6.7541669999999998</c:v>
                </c:pt>
                <c:pt idx="4131">
                  <c:v>-6.6905559999999999</c:v>
                </c:pt>
                <c:pt idx="4132">
                  <c:v>-6.6388889999999998</c:v>
                </c:pt>
                <c:pt idx="4133">
                  <c:v>-6.5913890000000004</c:v>
                </c:pt>
                <c:pt idx="4134">
                  <c:v>-6.6327780000000001</c:v>
                </c:pt>
                <c:pt idx="4135">
                  <c:v>-6.5716669999999997</c:v>
                </c:pt>
                <c:pt idx="4136">
                  <c:v>-6.6280559999999999</c:v>
                </c:pt>
                <c:pt idx="4137">
                  <c:v>-6.6458329999999997</c:v>
                </c:pt>
                <c:pt idx="4138">
                  <c:v>-6.5886110000000002</c:v>
                </c:pt>
                <c:pt idx="4139">
                  <c:v>-6.5388890000000002</c:v>
                </c:pt>
                <c:pt idx="4140">
                  <c:v>-6.4755560000000001</c:v>
                </c:pt>
                <c:pt idx="4141">
                  <c:v>-6.4444439999999998</c:v>
                </c:pt>
                <c:pt idx="4142">
                  <c:v>-6.4166670000000003</c:v>
                </c:pt>
                <c:pt idx="4143">
                  <c:v>-6.3819439999999998</c:v>
                </c:pt>
                <c:pt idx="4144">
                  <c:v>-6.3241670000000001</c:v>
                </c:pt>
                <c:pt idx="4145">
                  <c:v>-6.3855560000000002</c:v>
                </c:pt>
                <c:pt idx="4146">
                  <c:v>-6.387778</c:v>
                </c:pt>
                <c:pt idx="4147">
                  <c:v>-6.4041670000000002</c:v>
                </c:pt>
                <c:pt idx="4148">
                  <c:v>-6.4116669999999996</c:v>
                </c:pt>
                <c:pt idx="4149">
                  <c:v>-6.3522220000000003</c:v>
                </c:pt>
                <c:pt idx="4150">
                  <c:v>-6.3113890000000001</c:v>
                </c:pt>
                <c:pt idx="4151">
                  <c:v>-6.2494440000000004</c:v>
                </c:pt>
                <c:pt idx="4152">
                  <c:v>-6.1980560000000002</c:v>
                </c:pt>
                <c:pt idx="4153">
                  <c:v>-6.151389</c:v>
                </c:pt>
                <c:pt idx="4155">
                  <c:v>-5.826111</c:v>
                </c:pt>
                <c:pt idx="4157">
                  <c:v>-5.9813890000000001</c:v>
                </c:pt>
                <c:pt idx="4158">
                  <c:v>-6.0144440000000001</c:v>
                </c:pt>
                <c:pt idx="4159">
                  <c:v>-5.9249999999999998</c:v>
                </c:pt>
                <c:pt idx="4161">
                  <c:v>-5.9727779999999999</c:v>
                </c:pt>
                <c:pt idx="4162">
                  <c:v>-6.0036110000000003</c:v>
                </c:pt>
                <c:pt idx="4163">
                  <c:v>-5.9644440000000003</c:v>
                </c:pt>
                <c:pt idx="4165">
                  <c:v>-6.0172220000000003</c:v>
                </c:pt>
                <c:pt idx="4166">
                  <c:v>-6.0152780000000003</c:v>
                </c:pt>
                <c:pt idx="4167">
                  <c:v>-6.0002779999999998</c:v>
                </c:pt>
                <c:pt idx="4168">
                  <c:v>-6.0697219999999996</c:v>
                </c:pt>
                <c:pt idx="4169">
                  <c:v>-6.0741670000000001</c:v>
                </c:pt>
                <c:pt idx="4170">
                  <c:v>-6.0658329999999996</c:v>
                </c:pt>
                <c:pt idx="4171">
                  <c:v>-6.0055560000000003</c:v>
                </c:pt>
                <c:pt idx="4173">
                  <c:v>-6.387778</c:v>
                </c:pt>
                <c:pt idx="4175">
                  <c:v>-5.6394440000000001</c:v>
                </c:pt>
                <c:pt idx="4177">
                  <c:v>-5.4669439999999998</c:v>
                </c:pt>
                <c:pt idx="4179">
                  <c:v>-5.4055559999999998</c:v>
                </c:pt>
                <c:pt idx="4181">
                  <c:v>-5.4919440000000002</c:v>
                </c:pt>
                <c:pt idx="4183">
                  <c:v>-5.155278</c:v>
                </c:pt>
                <c:pt idx="4185">
                  <c:v>-6.2033329999999998</c:v>
                </c:pt>
                <c:pt idx="4186">
                  <c:v>-6.1616669999999996</c:v>
                </c:pt>
                <c:pt idx="4187">
                  <c:v>-6.2336109999999998</c:v>
                </c:pt>
                <c:pt idx="4188">
                  <c:v>-6.2852779999999999</c:v>
                </c:pt>
                <c:pt idx="4189">
                  <c:v>-6.3452780000000004</c:v>
                </c:pt>
                <c:pt idx="4190">
                  <c:v>-6.2902779999999998</c:v>
                </c:pt>
                <c:pt idx="4191">
                  <c:v>-6.2105560000000004</c:v>
                </c:pt>
                <c:pt idx="4192">
                  <c:v>-6.1388889999999998</c:v>
                </c:pt>
                <c:pt idx="4193">
                  <c:v>-6.1344440000000002</c:v>
                </c:pt>
                <c:pt idx="4194">
                  <c:v>-6.2055559999999996</c:v>
                </c:pt>
                <c:pt idx="4195">
                  <c:v>-6.2844439999999997</c:v>
                </c:pt>
                <c:pt idx="4196">
                  <c:v>-6.3558329999999996</c:v>
                </c:pt>
                <c:pt idx="4197">
                  <c:v>-6.3741669999999999</c:v>
                </c:pt>
                <c:pt idx="4198">
                  <c:v>-6.3616669999999997</c:v>
                </c:pt>
                <c:pt idx="4199">
                  <c:v>-6.441389</c:v>
                </c:pt>
                <c:pt idx="4200">
                  <c:v>-6.5280560000000003</c:v>
                </c:pt>
                <c:pt idx="4201">
                  <c:v>-6.4386109999999999</c:v>
                </c:pt>
                <c:pt idx="4202">
                  <c:v>-6.3827780000000001</c:v>
                </c:pt>
                <c:pt idx="4203">
                  <c:v>-6.3674999999999997</c:v>
                </c:pt>
                <c:pt idx="4204">
                  <c:v>-6.398333</c:v>
                </c:pt>
                <c:pt idx="4205">
                  <c:v>-6.4952779999999999</c:v>
                </c:pt>
                <c:pt idx="4206">
                  <c:v>-6.5244439999999999</c:v>
                </c:pt>
                <c:pt idx="4207">
                  <c:v>-6.4605560000000004</c:v>
                </c:pt>
                <c:pt idx="4208">
                  <c:v>-6.5172220000000003</c:v>
                </c:pt>
                <c:pt idx="4209">
                  <c:v>-6.5674999999999999</c:v>
                </c:pt>
                <c:pt idx="4210">
                  <c:v>-6.6219440000000001</c:v>
                </c:pt>
                <c:pt idx="4211">
                  <c:v>-6.6358329999999999</c:v>
                </c:pt>
                <c:pt idx="4212">
                  <c:v>-6.6980560000000002</c:v>
                </c:pt>
                <c:pt idx="4213">
                  <c:v>-6.7133330000000004</c:v>
                </c:pt>
                <c:pt idx="4214">
                  <c:v>-6.7163890000000004</c:v>
                </c:pt>
                <c:pt idx="4215">
                  <c:v>-6.7458330000000002</c:v>
                </c:pt>
                <c:pt idx="4216">
                  <c:v>-6.7180559999999998</c:v>
                </c:pt>
                <c:pt idx="4217">
                  <c:v>-6.6924999999999999</c:v>
                </c:pt>
                <c:pt idx="4218">
                  <c:v>-6.7480560000000001</c:v>
                </c:pt>
                <c:pt idx="4219">
                  <c:v>-6.8202780000000001</c:v>
                </c:pt>
                <c:pt idx="4220">
                  <c:v>-6.7686109999999999</c:v>
                </c:pt>
                <c:pt idx="4221">
                  <c:v>-6.8075000000000001</c:v>
                </c:pt>
                <c:pt idx="4222">
                  <c:v>-6.8624999999999998</c:v>
                </c:pt>
                <c:pt idx="4223">
                  <c:v>-6.8972220000000002</c:v>
                </c:pt>
                <c:pt idx="4224">
                  <c:v>-6.9572219999999998</c:v>
                </c:pt>
                <c:pt idx="4225">
                  <c:v>-7.0011109999999999</c:v>
                </c:pt>
                <c:pt idx="4226">
                  <c:v>-7.066389</c:v>
                </c:pt>
                <c:pt idx="4227">
                  <c:v>-7.1241669999999999</c:v>
                </c:pt>
                <c:pt idx="4228">
                  <c:v>-7.1327780000000001</c:v>
                </c:pt>
                <c:pt idx="4229">
                  <c:v>-7.0766669999999996</c:v>
                </c:pt>
                <c:pt idx="4230">
                  <c:v>-7.0236109999999998</c:v>
                </c:pt>
                <c:pt idx="4231">
                  <c:v>-6.9513889999999998</c:v>
                </c:pt>
                <c:pt idx="4232">
                  <c:v>-6.9691669999999997</c:v>
                </c:pt>
                <c:pt idx="4233">
                  <c:v>-6.8961110000000003</c:v>
                </c:pt>
                <c:pt idx="4234">
                  <c:v>-6.861389</c:v>
                </c:pt>
                <c:pt idx="4235">
                  <c:v>-6.9066669999999997</c:v>
                </c:pt>
                <c:pt idx="4236">
                  <c:v>-6.9974999999999996</c:v>
                </c:pt>
                <c:pt idx="4237">
                  <c:v>-7.0797220000000003</c:v>
                </c:pt>
                <c:pt idx="4238">
                  <c:v>-7.1261109999999999</c:v>
                </c:pt>
                <c:pt idx="4239">
                  <c:v>-7.0630559999999996</c:v>
                </c:pt>
                <c:pt idx="4240">
                  <c:v>-7.0425000000000004</c:v>
                </c:pt>
                <c:pt idx="4241">
                  <c:v>-7.0688890000000004</c:v>
                </c:pt>
                <c:pt idx="4242">
                  <c:v>-7.1091670000000002</c:v>
                </c:pt>
                <c:pt idx="4243">
                  <c:v>-7.1091670000000002</c:v>
                </c:pt>
                <c:pt idx="4244">
                  <c:v>-7.0655559999999999</c:v>
                </c:pt>
                <c:pt idx="4245">
                  <c:v>-7.0386110000000004</c:v>
                </c:pt>
                <c:pt idx="4246">
                  <c:v>-7.0333329999999998</c:v>
                </c:pt>
                <c:pt idx="4247">
                  <c:v>-6.9647220000000001</c:v>
                </c:pt>
                <c:pt idx="4248">
                  <c:v>-6.9113889999999998</c:v>
                </c:pt>
                <c:pt idx="4249">
                  <c:v>-6.9188890000000001</c:v>
                </c:pt>
                <c:pt idx="4250">
                  <c:v>-6.8552780000000002</c:v>
                </c:pt>
                <c:pt idx="4251">
                  <c:v>-6.7649999999999997</c:v>
                </c:pt>
                <c:pt idx="4252">
                  <c:v>-6.7024999999999997</c:v>
                </c:pt>
                <c:pt idx="4253">
                  <c:v>-6.759722</c:v>
                </c:pt>
                <c:pt idx="4254">
                  <c:v>-6.8047219999999999</c:v>
                </c:pt>
                <c:pt idx="4255">
                  <c:v>-6.7947220000000002</c:v>
                </c:pt>
                <c:pt idx="4256">
                  <c:v>-6.740278</c:v>
                </c:pt>
                <c:pt idx="4257">
                  <c:v>-6.6713889999999996</c:v>
                </c:pt>
                <c:pt idx="4258">
                  <c:v>-6.6005560000000001</c:v>
                </c:pt>
                <c:pt idx="4259">
                  <c:v>-6.5313889999999999</c:v>
                </c:pt>
                <c:pt idx="4260">
                  <c:v>-6.4850000000000003</c:v>
                </c:pt>
                <c:pt idx="4261">
                  <c:v>-6.4175000000000004</c:v>
                </c:pt>
                <c:pt idx="4262">
                  <c:v>-6.3397220000000001</c:v>
                </c:pt>
                <c:pt idx="4263">
                  <c:v>-6.2741670000000003</c:v>
                </c:pt>
                <c:pt idx="4264">
                  <c:v>-6.2186110000000001</c:v>
                </c:pt>
                <c:pt idx="4265">
                  <c:v>-6.1780559999999998</c:v>
                </c:pt>
                <c:pt idx="4266">
                  <c:v>-6.1602779999999999</c:v>
                </c:pt>
                <c:pt idx="4268">
                  <c:v>-6.8336110000000003</c:v>
                </c:pt>
                <c:pt idx="4269">
                  <c:v>-6.8863890000000003</c:v>
                </c:pt>
                <c:pt idx="4270">
                  <c:v>-6.8208330000000004</c:v>
                </c:pt>
                <c:pt idx="4272">
                  <c:v>-7.1825000000000001</c:v>
                </c:pt>
                <c:pt idx="4273">
                  <c:v>-7.1208330000000002</c:v>
                </c:pt>
                <c:pt idx="4275">
                  <c:v>-7.0583330000000002</c:v>
                </c:pt>
                <c:pt idx="4276">
                  <c:v>-7.041944</c:v>
                </c:pt>
                <c:pt idx="4277">
                  <c:v>-6.9861110000000002</c:v>
                </c:pt>
                <c:pt idx="4279">
                  <c:v>-7.2808330000000003</c:v>
                </c:pt>
                <c:pt idx="4281">
                  <c:v>-7.2252780000000003</c:v>
                </c:pt>
                <c:pt idx="4282">
                  <c:v>-7.1858329999999997</c:v>
                </c:pt>
                <c:pt idx="4284">
                  <c:v>-7.2933329999999996</c:v>
                </c:pt>
                <c:pt idx="4286">
                  <c:v>-8.6122219999999992</c:v>
                </c:pt>
                <c:pt idx="4287">
                  <c:v>-8.5547219999999999</c:v>
                </c:pt>
                <c:pt idx="4289">
                  <c:v>-7.1322219999999996</c:v>
                </c:pt>
                <c:pt idx="4290">
                  <c:v>-7.2086110000000003</c:v>
                </c:pt>
                <c:pt idx="4291">
                  <c:v>-7.155278</c:v>
                </c:pt>
                <c:pt idx="4292">
                  <c:v>-7.1297220000000001</c:v>
                </c:pt>
                <c:pt idx="4293">
                  <c:v>-7.2194440000000002</c:v>
                </c:pt>
                <c:pt idx="4294">
                  <c:v>-7.2933329999999996</c:v>
                </c:pt>
                <c:pt idx="4295">
                  <c:v>-7.3002779999999996</c:v>
                </c:pt>
                <c:pt idx="4296">
                  <c:v>-7.3380559999999999</c:v>
                </c:pt>
                <c:pt idx="4297">
                  <c:v>-7.3888889999999998</c:v>
                </c:pt>
                <c:pt idx="4298">
                  <c:v>-7.456944</c:v>
                </c:pt>
                <c:pt idx="4299">
                  <c:v>-7.5333329999999998</c:v>
                </c:pt>
                <c:pt idx="4300">
                  <c:v>-7.5333329999999998</c:v>
                </c:pt>
                <c:pt idx="4301">
                  <c:v>-7.4958330000000002</c:v>
                </c:pt>
                <c:pt idx="4302">
                  <c:v>-7.4122219999999999</c:v>
                </c:pt>
                <c:pt idx="4303">
                  <c:v>-7.4144439999999996</c:v>
                </c:pt>
                <c:pt idx="4304">
                  <c:v>-7.361389</c:v>
                </c:pt>
                <c:pt idx="4305">
                  <c:v>-7.3352779999999997</c:v>
                </c:pt>
                <c:pt idx="4306">
                  <c:v>-7.2936110000000003</c:v>
                </c:pt>
                <c:pt idx="4307">
                  <c:v>-7.2549999999999999</c:v>
                </c:pt>
                <c:pt idx="4308">
                  <c:v>-7.1869440000000004</c:v>
                </c:pt>
                <c:pt idx="4309">
                  <c:v>-7.1702779999999997</c:v>
                </c:pt>
                <c:pt idx="4310">
                  <c:v>-7.0841669999999999</c:v>
                </c:pt>
                <c:pt idx="4312">
                  <c:v>-7.4388889999999996</c:v>
                </c:pt>
                <c:pt idx="4314">
                  <c:v>-7.6488889999999996</c:v>
                </c:pt>
                <c:pt idx="4316">
                  <c:v>-7.6058329999999996</c:v>
                </c:pt>
                <c:pt idx="4318">
                  <c:v>-7.3919439999999996</c:v>
                </c:pt>
                <c:pt idx="4319">
                  <c:v>-7.3922220000000003</c:v>
                </c:pt>
                <c:pt idx="4321">
                  <c:v>-7.2780560000000003</c:v>
                </c:pt>
                <c:pt idx="4322">
                  <c:v>-7.3569440000000004</c:v>
                </c:pt>
                <c:pt idx="4323">
                  <c:v>-7.4233330000000004</c:v>
                </c:pt>
                <c:pt idx="4324">
                  <c:v>-7.3941670000000004</c:v>
                </c:pt>
                <c:pt idx="4325">
                  <c:v>-7.3047219999999999</c:v>
                </c:pt>
                <c:pt idx="4326">
                  <c:v>-7.2430560000000002</c:v>
                </c:pt>
                <c:pt idx="4328">
                  <c:v>-7.3397220000000001</c:v>
                </c:pt>
                <c:pt idx="4329">
                  <c:v>-7.4038890000000004</c:v>
                </c:pt>
                <c:pt idx="4330">
                  <c:v>-7.3577779999999997</c:v>
                </c:pt>
                <c:pt idx="4331">
                  <c:v>-7.29</c:v>
                </c:pt>
                <c:pt idx="4333">
                  <c:v>-7.2652780000000003</c:v>
                </c:pt>
                <c:pt idx="4334">
                  <c:v>-7.3216669999999997</c:v>
                </c:pt>
                <c:pt idx="4335">
                  <c:v>-7.3433330000000003</c:v>
                </c:pt>
                <c:pt idx="4336">
                  <c:v>-7.2819440000000002</c:v>
                </c:pt>
                <c:pt idx="4337">
                  <c:v>-7.2961109999999998</c:v>
                </c:pt>
                <c:pt idx="4338">
                  <c:v>-7.3552780000000002</c:v>
                </c:pt>
                <c:pt idx="4339">
                  <c:v>-7.276389</c:v>
                </c:pt>
                <c:pt idx="4340">
                  <c:v>-7.2422219999999999</c:v>
                </c:pt>
                <c:pt idx="4341">
                  <c:v>-7.3286110000000004</c:v>
                </c:pt>
                <c:pt idx="4342">
                  <c:v>-7.411111</c:v>
                </c:pt>
                <c:pt idx="4343">
                  <c:v>-7.43</c:v>
                </c:pt>
                <c:pt idx="4344">
                  <c:v>-7.4486109999999996</c:v>
                </c:pt>
                <c:pt idx="4345">
                  <c:v>-7.4474999999999998</c:v>
                </c:pt>
                <c:pt idx="4346">
                  <c:v>-7.4144439999999996</c:v>
                </c:pt>
                <c:pt idx="4347">
                  <c:v>-7.4363890000000001</c:v>
                </c:pt>
                <c:pt idx="4348">
                  <c:v>-7.391667</c:v>
                </c:pt>
                <c:pt idx="4349">
                  <c:v>-7.3044440000000002</c:v>
                </c:pt>
                <c:pt idx="4350">
                  <c:v>-7.2430560000000002</c:v>
                </c:pt>
                <c:pt idx="4352">
                  <c:v>-7.3302779999999998</c:v>
                </c:pt>
                <c:pt idx="4353">
                  <c:v>-7.2874999999999996</c:v>
                </c:pt>
                <c:pt idx="4355">
                  <c:v>-7.3891669999999996</c:v>
                </c:pt>
                <c:pt idx="4357">
                  <c:v>-7.4216670000000002</c:v>
                </c:pt>
                <c:pt idx="4358">
                  <c:v>-7.4188890000000001</c:v>
                </c:pt>
                <c:pt idx="4359">
                  <c:v>-7.4788889999999997</c:v>
                </c:pt>
                <c:pt idx="4360">
                  <c:v>-7.5727779999999996</c:v>
                </c:pt>
                <c:pt idx="4361">
                  <c:v>-7.526389</c:v>
                </c:pt>
                <c:pt idx="4362">
                  <c:v>-7.5055560000000003</c:v>
                </c:pt>
                <c:pt idx="4363">
                  <c:v>-7.47</c:v>
                </c:pt>
                <c:pt idx="4365">
                  <c:v>-7.5452779999999997</c:v>
                </c:pt>
                <c:pt idx="4366">
                  <c:v>-7.5780560000000001</c:v>
                </c:pt>
                <c:pt idx="4367">
                  <c:v>-7.503889</c:v>
                </c:pt>
                <c:pt idx="4369">
                  <c:v>-7.5238889999999996</c:v>
                </c:pt>
                <c:pt idx="4371">
                  <c:v>-7.5833329999999997</c:v>
                </c:pt>
                <c:pt idx="4373">
                  <c:v>-7.6727780000000001</c:v>
                </c:pt>
                <c:pt idx="4374">
                  <c:v>-7.6541670000000002</c:v>
                </c:pt>
                <c:pt idx="4376">
                  <c:v>-7.2169439999999998</c:v>
                </c:pt>
                <c:pt idx="4378">
                  <c:v>-7.2758330000000004</c:v>
                </c:pt>
                <c:pt idx="4380">
                  <c:v>-7.2119439999999999</c:v>
                </c:pt>
                <c:pt idx="4382">
                  <c:v>-7.2511109999999999</c:v>
                </c:pt>
                <c:pt idx="4383">
                  <c:v>-7.2491669999999999</c:v>
                </c:pt>
                <c:pt idx="4385">
                  <c:v>-7.1861110000000004</c:v>
                </c:pt>
                <c:pt idx="4386">
                  <c:v>-7.1825000000000001</c:v>
                </c:pt>
                <c:pt idx="4388">
                  <c:v>-4.9147220000000003</c:v>
                </c:pt>
                <c:pt idx="4389">
                  <c:v>-4.9375</c:v>
                </c:pt>
                <c:pt idx="4391">
                  <c:v>-0.838611</c:v>
                </c:pt>
                <c:pt idx="4392">
                  <c:v>-0.89222199999999996</c:v>
                </c:pt>
                <c:pt idx="4393">
                  <c:v>-0.86416700000000002</c:v>
                </c:pt>
                <c:pt idx="4394">
                  <c:v>-0.91888899999999996</c:v>
                </c:pt>
                <c:pt idx="4395">
                  <c:v>-0.92833299999999996</c:v>
                </c:pt>
                <c:pt idx="4396">
                  <c:v>-0.937778</c:v>
                </c:pt>
                <c:pt idx="4397">
                  <c:v>-0.96277800000000002</c:v>
                </c:pt>
                <c:pt idx="4398">
                  <c:v>-0.87194400000000005</c:v>
                </c:pt>
                <c:pt idx="4399">
                  <c:v>-0.83972199999999997</c:v>
                </c:pt>
                <c:pt idx="4400">
                  <c:v>-0.80222199999999999</c:v>
                </c:pt>
                <c:pt idx="4401">
                  <c:v>-0.81111100000000003</c:v>
                </c:pt>
                <c:pt idx="4402">
                  <c:v>-0.78805599999999998</c:v>
                </c:pt>
                <c:pt idx="4403">
                  <c:v>-0.79472200000000004</c:v>
                </c:pt>
                <c:pt idx="4405">
                  <c:v>-1.0111110000000001</c:v>
                </c:pt>
                <c:pt idx="4407">
                  <c:v>-0.80583300000000002</c:v>
                </c:pt>
                <c:pt idx="4408">
                  <c:v>-0.88805599999999996</c:v>
                </c:pt>
                <c:pt idx="4409">
                  <c:v>-0.91694399999999998</c:v>
                </c:pt>
                <c:pt idx="4410">
                  <c:v>-0.86750000000000005</c:v>
                </c:pt>
                <c:pt idx="4411">
                  <c:v>-0.82472199999999996</c:v>
                </c:pt>
                <c:pt idx="4413">
                  <c:v>-0.75388900000000003</c:v>
                </c:pt>
                <c:pt idx="4415">
                  <c:v>-0.95055599999999996</c:v>
                </c:pt>
                <c:pt idx="4416">
                  <c:v>-1.010278</c:v>
                </c:pt>
                <c:pt idx="4417">
                  <c:v>-0.95166700000000004</c:v>
                </c:pt>
                <c:pt idx="4419">
                  <c:v>-1.0625</c:v>
                </c:pt>
                <c:pt idx="4420">
                  <c:v>-1.1269439999999999</c:v>
                </c:pt>
                <c:pt idx="4421">
                  <c:v>-1.1058330000000001</c:v>
                </c:pt>
                <c:pt idx="4422">
                  <c:v>-1.048611</c:v>
                </c:pt>
                <c:pt idx="4424">
                  <c:v>-1.2350000000000001</c:v>
                </c:pt>
                <c:pt idx="4425">
                  <c:v>-1.2780560000000001</c:v>
                </c:pt>
                <c:pt idx="4426">
                  <c:v>-1.236389</c:v>
                </c:pt>
                <c:pt idx="4427">
                  <c:v>-1.3274999999999999</c:v>
                </c:pt>
                <c:pt idx="4428">
                  <c:v>-1.3566670000000001</c:v>
                </c:pt>
                <c:pt idx="4429">
                  <c:v>-1.316667</c:v>
                </c:pt>
                <c:pt idx="4430">
                  <c:v>-1.3136110000000001</c:v>
                </c:pt>
                <c:pt idx="4431">
                  <c:v>-1.3174999999999999</c:v>
                </c:pt>
                <c:pt idx="4432">
                  <c:v>-1.3155559999999999</c:v>
                </c:pt>
                <c:pt idx="4433">
                  <c:v>-1.298333</c:v>
                </c:pt>
                <c:pt idx="4434">
                  <c:v>-1.306667</c:v>
                </c:pt>
                <c:pt idx="4435">
                  <c:v>-1.326389</c:v>
                </c:pt>
                <c:pt idx="4436">
                  <c:v>-1.41</c:v>
                </c:pt>
                <c:pt idx="4437">
                  <c:v>-1.4566669999999999</c:v>
                </c:pt>
                <c:pt idx="4438">
                  <c:v>-1.4444440000000001</c:v>
                </c:pt>
                <c:pt idx="4439">
                  <c:v>-1.4058330000000001</c:v>
                </c:pt>
                <c:pt idx="4440">
                  <c:v>-1.4969440000000001</c:v>
                </c:pt>
                <c:pt idx="4441">
                  <c:v>-1.5475000000000001</c:v>
                </c:pt>
                <c:pt idx="4442">
                  <c:v>-1.595</c:v>
                </c:pt>
                <c:pt idx="4443">
                  <c:v>-1.5536110000000001</c:v>
                </c:pt>
                <c:pt idx="4444">
                  <c:v>-1.4819439999999999</c:v>
                </c:pt>
                <c:pt idx="4445">
                  <c:v>-1.4644440000000001</c:v>
                </c:pt>
                <c:pt idx="4446">
                  <c:v>-1.441389</c:v>
                </c:pt>
                <c:pt idx="4447">
                  <c:v>-1.3836109999999999</c:v>
                </c:pt>
                <c:pt idx="4448">
                  <c:v>-1.3666670000000001</c:v>
                </c:pt>
                <c:pt idx="4449">
                  <c:v>-1.325556</c:v>
                </c:pt>
                <c:pt idx="4450">
                  <c:v>-1.2875000000000001</c:v>
                </c:pt>
                <c:pt idx="4451">
                  <c:v>-1.3402780000000001</c:v>
                </c:pt>
                <c:pt idx="4452">
                  <c:v>-1.348333</c:v>
                </c:pt>
                <c:pt idx="4453">
                  <c:v>-1.3963890000000001</c:v>
                </c:pt>
                <c:pt idx="4454">
                  <c:v>-1.4550000000000001</c:v>
                </c:pt>
                <c:pt idx="4455">
                  <c:v>-1.4675</c:v>
                </c:pt>
                <c:pt idx="4456">
                  <c:v>-1.5311110000000001</c:v>
                </c:pt>
                <c:pt idx="4457">
                  <c:v>-1.5655559999999999</c:v>
                </c:pt>
                <c:pt idx="4458">
                  <c:v>-1.648333</c:v>
                </c:pt>
                <c:pt idx="4459">
                  <c:v>-1.6766669999999999</c:v>
                </c:pt>
                <c:pt idx="4460">
                  <c:v>-1.6394439999999999</c:v>
                </c:pt>
                <c:pt idx="4461">
                  <c:v>-1.5636110000000001</c:v>
                </c:pt>
                <c:pt idx="4462">
                  <c:v>-1.516389</c:v>
                </c:pt>
                <c:pt idx="4463">
                  <c:v>-1.486389</c:v>
                </c:pt>
                <c:pt idx="4464">
                  <c:v>-1.526667</c:v>
                </c:pt>
                <c:pt idx="4465">
                  <c:v>-1.459444</c:v>
                </c:pt>
                <c:pt idx="4466">
                  <c:v>-1.4183330000000001</c:v>
                </c:pt>
                <c:pt idx="4467">
                  <c:v>-1.387778</c:v>
                </c:pt>
                <c:pt idx="4468">
                  <c:v>-1.3633329999999999</c:v>
                </c:pt>
                <c:pt idx="4469">
                  <c:v>-1.397222</c:v>
                </c:pt>
                <c:pt idx="4470">
                  <c:v>-1.336667</c:v>
                </c:pt>
                <c:pt idx="4471">
                  <c:v>-1.299722</c:v>
                </c:pt>
                <c:pt idx="4472">
                  <c:v>-1.2933330000000001</c:v>
                </c:pt>
                <c:pt idx="4473">
                  <c:v>-1.299444</c:v>
                </c:pt>
                <c:pt idx="4474">
                  <c:v>-1.286667</c:v>
                </c:pt>
                <c:pt idx="4475">
                  <c:v>-1.2644439999999999</c:v>
                </c:pt>
                <c:pt idx="4476">
                  <c:v>-1.2952779999999999</c:v>
                </c:pt>
                <c:pt idx="4477">
                  <c:v>-1.3302780000000001</c:v>
                </c:pt>
                <c:pt idx="4478">
                  <c:v>-1.326111</c:v>
                </c:pt>
                <c:pt idx="4479">
                  <c:v>-1.3572219999999999</c:v>
                </c:pt>
                <c:pt idx="4480">
                  <c:v>-1.338333</c:v>
                </c:pt>
                <c:pt idx="4481">
                  <c:v>-1.3108329999999999</c:v>
                </c:pt>
                <c:pt idx="4482">
                  <c:v>-1.260278</c:v>
                </c:pt>
                <c:pt idx="4483">
                  <c:v>-1.2686109999999999</c:v>
                </c:pt>
                <c:pt idx="4484">
                  <c:v>-1.240556</c:v>
                </c:pt>
                <c:pt idx="4485">
                  <c:v>-1.2166669999999999</c:v>
                </c:pt>
                <c:pt idx="4486">
                  <c:v>-1.217778</c:v>
                </c:pt>
                <c:pt idx="4487">
                  <c:v>-1.1658329999999999</c:v>
                </c:pt>
                <c:pt idx="4488">
                  <c:v>-1.1924999999999999</c:v>
                </c:pt>
                <c:pt idx="4489">
                  <c:v>-1.187222</c:v>
                </c:pt>
                <c:pt idx="4490">
                  <c:v>-1.149167</c:v>
                </c:pt>
                <c:pt idx="4491">
                  <c:v>-1.1475</c:v>
                </c:pt>
                <c:pt idx="4492">
                  <c:v>-1.1950000000000001</c:v>
                </c:pt>
                <c:pt idx="4493">
                  <c:v>-1.1719440000000001</c:v>
                </c:pt>
                <c:pt idx="4494">
                  <c:v>-1.1805559999999999</c:v>
                </c:pt>
                <c:pt idx="4495">
                  <c:v>-1.1844440000000001</c:v>
                </c:pt>
                <c:pt idx="4496">
                  <c:v>-1.1661109999999999</c:v>
                </c:pt>
                <c:pt idx="4497">
                  <c:v>-1.0933330000000001</c:v>
                </c:pt>
                <c:pt idx="4498">
                  <c:v>-1.135556</c:v>
                </c:pt>
                <c:pt idx="4499">
                  <c:v>-1.0794440000000001</c:v>
                </c:pt>
                <c:pt idx="4500">
                  <c:v>-1.1622220000000001</c:v>
                </c:pt>
                <c:pt idx="4501">
                  <c:v>-1.08</c:v>
                </c:pt>
                <c:pt idx="4502">
                  <c:v>-1.0958330000000001</c:v>
                </c:pt>
                <c:pt idx="4503">
                  <c:v>-1.101389</c:v>
                </c:pt>
                <c:pt idx="4504">
                  <c:v>-1.0377780000000001</c:v>
                </c:pt>
                <c:pt idx="4505">
                  <c:v>-1.0977779999999999</c:v>
                </c:pt>
                <c:pt idx="4506">
                  <c:v>-1.1458330000000001</c:v>
                </c:pt>
                <c:pt idx="4507">
                  <c:v>-1.1927779999999999</c:v>
                </c:pt>
                <c:pt idx="4508">
                  <c:v>-1.2208330000000001</c:v>
                </c:pt>
                <c:pt idx="4509">
                  <c:v>-1.1594439999999999</c:v>
                </c:pt>
                <c:pt idx="4511">
                  <c:v>-2.0825</c:v>
                </c:pt>
                <c:pt idx="4512">
                  <c:v>-2.0436109999999998</c:v>
                </c:pt>
                <c:pt idx="4514">
                  <c:v>-1.5475000000000001</c:v>
                </c:pt>
                <c:pt idx="4516">
                  <c:v>-1.6761109999999999</c:v>
                </c:pt>
                <c:pt idx="4517">
                  <c:v>-1.691389</c:v>
                </c:pt>
                <c:pt idx="4519">
                  <c:v>-1.3633329999999999</c:v>
                </c:pt>
                <c:pt idx="4521">
                  <c:v>-1.4547220000000001</c:v>
                </c:pt>
                <c:pt idx="4522">
                  <c:v>-1.3897219999999999</c:v>
                </c:pt>
                <c:pt idx="4524">
                  <c:v>-1.075556</c:v>
                </c:pt>
                <c:pt idx="4525">
                  <c:v>-1.1230560000000001</c:v>
                </c:pt>
                <c:pt idx="4526">
                  <c:v>-1.1219440000000001</c:v>
                </c:pt>
                <c:pt idx="4527">
                  <c:v>-1.1319440000000001</c:v>
                </c:pt>
                <c:pt idx="4528">
                  <c:v>-1.1794439999999999</c:v>
                </c:pt>
                <c:pt idx="4529">
                  <c:v>-1.1730560000000001</c:v>
                </c:pt>
                <c:pt idx="4530">
                  <c:v>-1.1622220000000001</c:v>
                </c:pt>
                <c:pt idx="4531">
                  <c:v>-1.0977779999999999</c:v>
                </c:pt>
                <c:pt idx="4532">
                  <c:v>-1.0697220000000001</c:v>
                </c:pt>
                <c:pt idx="4533">
                  <c:v>-1.0280560000000001</c:v>
                </c:pt>
                <c:pt idx="4534">
                  <c:v>-1.004167</c:v>
                </c:pt>
                <c:pt idx="4535">
                  <c:v>-1.066667</c:v>
                </c:pt>
                <c:pt idx="4536">
                  <c:v>-1.040278</c:v>
                </c:pt>
                <c:pt idx="4537">
                  <c:v>-1.0286109999999999</c:v>
                </c:pt>
                <c:pt idx="4538">
                  <c:v>-0.98944399999999999</c:v>
                </c:pt>
                <c:pt idx="4539">
                  <c:v>-0.99083299999999996</c:v>
                </c:pt>
                <c:pt idx="4541">
                  <c:v>8.6072220000000002</c:v>
                </c:pt>
                <c:pt idx="4543">
                  <c:v>8.6302780000000006</c:v>
                </c:pt>
                <c:pt idx="4545">
                  <c:v>8.2130559999999999</c:v>
                </c:pt>
                <c:pt idx="4547">
                  <c:v>8.4611110000000007</c:v>
                </c:pt>
                <c:pt idx="4548">
                  <c:v>8.4733330000000002</c:v>
                </c:pt>
                <c:pt idx="4549">
                  <c:v>8.4</c:v>
                </c:pt>
                <c:pt idx="4550">
                  <c:v>8.3602779999999992</c:v>
                </c:pt>
                <c:pt idx="4552">
                  <c:v>8.5416670000000003</c:v>
                </c:pt>
                <c:pt idx="4554">
                  <c:v>8.8644440000000007</c:v>
                </c:pt>
                <c:pt idx="4555">
                  <c:v>8.8705560000000006</c:v>
                </c:pt>
                <c:pt idx="4556">
                  <c:v>8.8324999999999996</c:v>
                </c:pt>
                <c:pt idx="4557">
                  <c:v>8.7536109999999994</c:v>
                </c:pt>
                <c:pt idx="4558">
                  <c:v>8.6238890000000001</c:v>
                </c:pt>
                <c:pt idx="4559">
                  <c:v>8.5336110000000005</c:v>
                </c:pt>
                <c:pt idx="4560">
                  <c:v>8.5649999999999995</c:v>
                </c:pt>
                <c:pt idx="4561">
                  <c:v>8.6555560000000007</c:v>
                </c:pt>
                <c:pt idx="4562">
                  <c:v>8.6486110000000007</c:v>
                </c:pt>
                <c:pt idx="4563">
                  <c:v>8.7913890000000006</c:v>
                </c:pt>
                <c:pt idx="4564">
                  <c:v>8.8947219999999998</c:v>
                </c:pt>
                <c:pt idx="4566">
                  <c:v>7.8663889999999999</c:v>
                </c:pt>
                <c:pt idx="4568">
                  <c:v>7.6563889999999999</c:v>
                </c:pt>
                <c:pt idx="4569">
                  <c:v>7.5308330000000003</c:v>
                </c:pt>
                <c:pt idx="4570">
                  <c:v>7.3930559999999996</c:v>
                </c:pt>
                <c:pt idx="4572">
                  <c:v>6.9016669999999998</c:v>
                </c:pt>
                <c:pt idx="4573">
                  <c:v>6.7677779999999998</c:v>
                </c:pt>
                <c:pt idx="4574">
                  <c:v>6.8213889999999999</c:v>
                </c:pt>
                <c:pt idx="4576">
                  <c:v>7.2233330000000002</c:v>
                </c:pt>
                <c:pt idx="4578">
                  <c:v>6.7580559999999998</c:v>
                </c:pt>
                <c:pt idx="4579">
                  <c:v>6.6588890000000003</c:v>
                </c:pt>
                <c:pt idx="4580">
                  <c:v>6.7308329999999996</c:v>
                </c:pt>
                <c:pt idx="4581">
                  <c:v>6.8891669999999996</c:v>
                </c:pt>
                <c:pt idx="4583">
                  <c:v>6.5125000000000002</c:v>
                </c:pt>
                <c:pt idx="4584">
                  <c:v>6.6255559999999996</c:v>
                </c:pt>
                <c:pt idx="4586">
                  <c:v>6.4249999999999998</c:v>
                </c:pt>
                <c:pt idx="4588">
                  <c:v>6.3986109999999998</c:v>
                </c:pt>
                <c:pt idx="4590">
                  <c:v>6.2336109999999998</c:v>
                </c:pt>
                <c:pt idx="4591">
                  <c:v>6.3391669999999998</c:v>
                </c:pt>
                <c:pt idx="4593">
                  <c:v>6.1908329999999996</c:v>
                </c:pt>
                <c:pt idx="4595">
                  <c:v>6.1294440000000003</c:v>
                </c:pt>
                <c:pt idx="4597">
                  <c:v>6.0425000000000004</c:v>
                </c:pt>
                <c:pt idx="4598">
                  <c:v>6.0547219999999999</c:v>
                </c:pt>
                <c:pt idx="4600">
                  <c:v>6.1069440000000004</c:v>
                </c:pt>
                <c:pt idx="4602">
                  <c:v>6.2166670000000002</c:v>
                </c:pt>
                <c:pt idx="4603">
                  <c:v>6.2827780000000004</c:v>
                </c:pt>
                <c:pt idx="4604">
                  <c:v>6.3849999999999998</c:v>
                </c:pt>
                <c:pt idx="4606">
                  <c:v>6.1480560000000004</c:v>
                </c:pt>
                <c:pt idx="4607">
                  <c:v>6.0230560000000004</c:v>
                </c:pt>
                <c:pt idx="4608">
                  <c:v>6.2063889999999997</c:v>
                </c:pt>
                <c:pt idx="4609">
                  <c:v>6.3174999999999999</c:v>
                </c:pt>
                <c:pt idx="4611">
                  <c:v>5.9422220000000001</c:v>
                </c:pt>
                <c:pt idx="4612">
                  <c:v>5.8122220000000002</c:v>
                </c:pt>
                <c:pt idx="4613">
                  <c:v>5.8411109999999997</c:v>
                </c:pt>
                <c:pt idx="4614">
                  <c:v>5.8197219999999996</c:v>
                </c:pt>
                <c:pt idx="4615">
                  <c:v>5.9372220000000002</c:v>
                </c:pt>
                <c:pt idx="4616">
                  <c:v>6.0094440000000002</c:v>
                </c:pt>
                <c:pt idx="4618">
                  <c:v>5.7641669999999996</c:v>
                </c:pt>
                <c:pt idx="4619">
                  <c:v>5.5811109999999999</c:v>
                </c:pt>
                <c:pt idx="4620">
                  <c:v>5.5530559999999998</c:v>
                </c:pt>
                <c:pt idx="4621">
                  <c:v>5.5169439999999996</c:v>
                </c:pt>
                <c:pt idx="4622">
                  <c:v>5.6050000000000004</c:v>
                </c:pt>
                <c:pt idx="4623">
                  <c:v>5.7730560000000004</c:v>
                </c:pt>
                <c:pt idx="4625">
                  <c:v>5.3069439999999997</c:v>
                </c:pt>
                <c:pt idx="4627">
                  <c:v>5.947222</c:v>
                </c:pt>
                <c:pt idx="4629">
                  <c:v>6.11</c:v>
                </c:pt>
                <c:pt idx="4631">
                  <c:v>5.8002779999999996</c:v>
                </c:pt>
                <c:pt idx="4633">
                  <c:v>5.6322219999999996</c:v>
                </c:pt>
                <c:pt idx="4635">
                  <c:v>5.5052779999999997</c:v>
                </c:pt>
                <c:pt idx="4637">
                  <c:v>5.6333330000000004</c:v>
                </c:pt>
                <c:pt idx="4639">
                  <c:v>5.4558330000000002</c:v>
                </c:pt>
                <c:pt idx="4641">
                  <c:v>5.0480559999999999</c:v>
                </c:pt>
                <c:pt idx="4642">
                  <c:v>5.0444440000000004</c:v>
                </c:pt>
                <c:pt idx="4643">
                  <c:v>4.9588890000000001</c:v>
                </c:pt>
                <c:pt idx="4644">
                  <c:v>5.0674999999999999</c:v>
                </c:pt>
                <c:pt idx="4646">
                  <c:v>5.0538889999999999</c:v>
                </c:pt>
                <c:pt idx="4648">
                  <c:v>5.2405559999999998</c:v>
                </c:pt>
                <c:pt idx="4650">
                  <c:v>5.1316670000000002</c:v>
                </c:pt>
                <c:pt idx="4651">
                  <c:v>5.0605560000000001</c:v>
                </c:pt>
                <c:pt idx="4652">
                  <c:v>4.9225000000000003</c:v>
                </c:pt>
                <c:pt idx="4653">
                  <c:v>4.9136110000000004</c:v>
                </c:pt>
                <c:pt idx="4654">
                  <c:v>4.816389</c:v>
                </c:pt>
                <c:pt idx="4655">
                  <c:v>4.9261109999999997</c:v>
                </c:pt>
                <c:pt idx="4656">
                  <c:v>5.0880559999999999</c:v>
                </c:pt>
                <c:pt idx="4658">
                  <c:v>4.8011109999999997</c:v>
                </c:pt>
                <c:pt idx="4660">
                  <c:v>4.8316670000000004</c:v>
                </c:pt>
                <c:pt idx="4662">
                  <c:v>4.9866669999999997</c:v>
                </c:pt>
                <c:pt idx="4664">
                  <c:v>5.104444</c:v>
                </c:pt>
                <c:pt idx="4666">
                  <c:v>4.8277780000000003</c:v>
                </c:pt>
                <c:pt idx="4668">
                  <c:v>4.8386110000000002</c:v>
                </c:pt>
                <c:pt idx="4670">
                  <c:v>4.9152779999999998</c:v>
                </c:pt>
                <c:pt idx="4672">
                  <c:v>5.0274999999999999</c:v>
                </c:pt>
                <c:pt idx="4674">
                  <c:v>4.9091670000000001</c:v>
                </c:pt>
                <c:pt idx="4675">
                  <c:v>4.8724999999999996</c:v>
                </c:pt>
                <c:pt idx="4677">
                  <c:v>5.0022219999999997</c:v>
                </c:pt>
                <c:pt idx="4679">
                  <c:v>4.7172219999999996</c:v>
                </c:pt>
                <c:pt idx="4681">
                  <c:v>4.983333</c:v>
                </c:pt>
                <c:pt idx="4682">
                  <c:v>4.8905560000000001</c:v>
                </c:pt>
                <c:pt idx="4683">
                  <c:v>4.8177779999999997</c:v>
                </c:pt>
                <c:pt idx="4684">
                  <c:v>4.8013890000000004</c:v>
                </c:pt>
                <c:pt idx="4685">
                  <c:v>4.8363889999999996</c:v>
                </c:pt>
                <c:pt idx="4686">
                  <c:v>4.8574999999999999</c:v>
                </c:pt>
                <c:pt idx="4687">
                  <c:v>4.8827780000000001</c:v>
                </c:pt>
                <c:pt idx="4688">
                  <c:v>4.9297219999999999</c:v>
                </c:pt>
                <c:pt idx="4690">
                  <c:v>4.7316669999999998</c:v>
                </c:pt>
                <c:pt idx="4692">
                  <c:v>4.719722</c:v>
                </c:pt>
                <c:pt idx="4693">
                  <c:v>4.6375000000000002</c:v>
                </c:pt>
                <c:pt idx="4694">
                  <c:v>4.6624999999999996</c:v>
                </c:pt>
                <c:pt idx="4696">
                  <c:v>4.9452780000000001</c:v>
                </c:pt>
                <c:pt idx="4698">
                  <c:v>4.994167</c:v>
                </c:pt>
                <c:pt idx="4699">
                  <c:v>4.9375</c:v>
                </c:pt>
                <c:pt idx="4701">
                  <c:v>5.6830559999999997</c:v>
                </c:pt>
                <c:pt idx="4702">
                  <c:v>5.677778</c:v>
                </c:pt>
                <c:pt idx="4703">
                  <c:v>5.5922219999999996</c:v>
                </c:pt>
                <c:pt idx="4704">
                  <c:v>5.4597220000000002</c:v>
                </c:pt>
                <c:pt idx="4705">
                  <c:v>5.3733329999999997</c:v>
                </c:pt>
                <c:pt idx="4706">
                  <c:v>5.4038890000000004</c:v>
                </c:pt>
                <c:pt idx="4707">
                  <c:v>5.4977780000000003</c:v>
                </c:pt>
                <c:pt idx="4708">
                  <c:v>5.5908329999999999</c:v>
                </c:pt>
                <c:pt idx="4709">
                  <c:v>5.6891670000000003</c:v>
                </c:pt>
                <c:pt idx="4711">
                  <c:v>4.862222</c:v>
                </c:pt>
                <c:pt idx="4713">
                  <c:v>4.8730560000000001</c:v>
                </c:pt>
                <c:pt idx="4715">
                  <c:v>4.6677780000000002</c:v>
                </c:pt>
                <c:pt idx="4717">
                  <c:v>4.9155559999999996</c:v>
                </c:pt>
                <c:pt idx="4718">
                  <c:v>4.8547219999999998</c:v>
                </c:pt>
                <c:pt idx="4720">
                  <c:v>5.0025000000000004</c:v>
                </c:pt>
                <c:pt idx="4721">
                  <c:v>5.0930559999999998</c:v>
                </c:pt>
                <c:pt idx="4722">
                  <c:v>5.1413890000000002</c:v>
                </c:pt>
                <c:pt idx="4723">
                  <c:v>5.0175000000000001</c:v>
                </c:pt>
                <c:pt idx="4724">
                  <c:v>4.916944</c:v>
                </c:pt>
                <c:pt idx="4725">
                  <c:v>4.8680560000000002</c:v>
                </c:pt>
                <c:pt idx="4727">
                  <c:v>4.8769439999999999</c:v>
                </c:pt>
                <c:pt idx="4729">
                  <c:v>4.7633330000000003</c:v>
                </c:pt>
                <c:pt idx="4731">
                  <c:v>4.835</c:v>
                </c:pt>
                <c:pt idx="4733">
                  <c:v>5.0911109999999997</c:v>
                </c:pt>
                <c:pt idx="4734">
                  <c:v>5.1969440000000002</c:v>
                </c:pt>
                <c:pt idx="4735">
                  <c:v>5.101667</c:v>
                </c:pt>
                <c:pt idx="4736">
                  <c:v>4.9769439999999996</c:v>
                </c:pt>
                <c:pt idx="4738">
                  <c:v>4.914167</c:v>
                </c:pt>
                <c:pt idx="4740">
                  <c:v>5.056667</c:v>
                </c:pt>
                <c:pt idx="4741">
                  <c:v>5.0975000000000001</c:v>
                </c:pt>
                <c:pt idx="4742">
                  <c:v>5.1008329999999997</c:v>
                </c:pt>
                <c:pt idx="4743">
                  <c:v>5.0636109999999999</c:v>
                </c:pt>
                <c:pt idx="4744">
                  <c:v>5.0216669999999999</c:v>
                </c:pt>
                <c:pt idx="4745">
                  <c:v>4.9386109999999999</c:v>
                </c:pt>
                <c:pt idx="4746">
                  <c:v>5.0272220000000001</c:v>
                </c:pt>
                <c:pt idx="4747">
                  <c:v>4.9691669999999997</c:v>
                </c:pt>
                <c:pt idx="4748">
                  <c:v>4.943333</c:v>
                </c:pt>
                <c:pt idx="4750">
                  <c:v>5.0338890000000003</c:v>
                </c:pt>
                <c:pt idx="4752">
                  <c:v>5.0891669999999998</c:v>
                </c:pt>
                <c:pt idx="4754">
                  <c:v>5.2633330000000003</c:v>
                </c:pt>
                <c:pt idx="4755">
                  <c:v>5.2230559999999997</c:v>
                </c:pt>
                <c:pt idx="4756">
                  <c:v>5.1627780000000003</c:v>
                </c:pt>
                <c:pt idx="4757">
                  <c:v>5.1938890000000004</c:v>
                </c:pt>
                <c:pt idx="4759">
                  <c:v>5.0247219999999997</c:v>
                </c:pt>
                <c:pt idx="4761">
                  <c:v>5.0991669999999996</c:v>
                </c:pt>
                <c:pt idx="4762">
                  <c:v>5.1425000000000001</c:v>
                </c:pt>
                <c:pt idx="4764">
                  <c:v>5.2452779999999999</c:v>
                </c:pt>
                <c:pt idx="4766">
                  <c:v>5.0930559999999998</c:v>
                </c:pt>
                <c:pt idx="4767">
                  <c:v>5.2016669999999996</c:v>
                </c:pt>
                <c:pt idx="4768">
                  <c:v>5.138611</c:v>
                </c:pt>
                <c:pt idx="4769">
                  <c:v>5.0808330000000002</c:v>
                </c:pt>
                <c:pt idx="4770">
                  <c:v>5.0266669999999998</c:v>
                </c:pt>
                <c:pt idx="4771">
                  <c:v>4.9588890000000001</c:v>
                </c:pt>
                <c:pt idx="4773">
                  <c:v>5.1052780000000002</c:v>
                </c:pt>
                <c:pt idx="4775">
                  <c:v>6.1516669999999998</c:v>
                </c:pt>
                <c:pt idx="4777">
                  <c:v>5.3969440000000004</c:v>
                </c:pt>
                <c:pt idx="4778">
                  <c:v>5.3402779999999996</c:v>
                </c:pt>
                <c:pt idx="4780">
                  <c:v>5.6408329999999998</c:v>
                </c:pt>
                <c:pt idx="4781">
                  <c:v>5.6355560000000002</c:v>
                </c:pt>
                <c:pt idx="4782">
                  <c:v>5.5522220000000004</c:v>
                </c:pt>
                <c:pt idx="4783">
                  <c:v>5.4838889999999996</c:v>
                </c:pt>
                <c:pt idx="4784">
                  <c:v>5.387778</c:v>
                </c:pt>
                <c:pt idx="4785">
                  <c:v>5.4494439999999997</c:v>
                </c:pt>
                <c:pt idx="4786">
                  <c:v>5.5061109999999998</c:v>
                </c:pt>
                <c:pt idx="4787">
                  <c:v>5.6580560000000002</c:v>
                </c:pt>
                <c:pt idx="4789">
                  <c:v>5.9988890000000001</c:v>
                </c:pt>
                <c:pt idx="4790">
                  <c:v>5.915</c:v>
                </c:pt>
                <c:pt idx="4792">
                  <c:v>5.82</c:v>
                </c:pt>
                <c:pt idx="4794">
                  <c:v>5.588889</c:v>
                </c:pt>
                <c:pt idx="4796">
                  <c:v>5.7630559999999997</c:v>
                </c:pt>
                <c:pt idx="4797">
                  <c:v>5.706944</c:v>
                </c:pt>
                <c:pt idx="4798">
                  <c:v>5.6116669999999997</c:v>
                </c:pt>
                <c:pt idx="4799">
                  <c:v>5.6863890000000001</c:v>
                </c:pt>
                <c:pt idx="4801">
                  <c:v>5.6255559999999996</c:v>
                </c:pt>
                <c:pt idx="4803">
                  <c:v>5.5355559999999997</c:v>
                </c:pt>
                <c:pt idx="4805">
                  <c:v>5.3247220000000004</c:v>
                </c:pt>
                <c:pt idx="4807">
                  <c:v>6.0030559999999999</c:v>
                </c:pt>
                <c:pt idx="4808">
                  <c:v>5.9033329999999999</c:v>
                </c:pt>
                <c:pt idx="4809">
                  <c:v>6.0291670000000002</c:v>
                </c:pt>
                <c:pt idx="4811">
                  <c:v>5.9791670000000003</c:v>
                </c:pt>
                <c:pt idx="4813">
                  <c:v>5.9233330000000004</c:v>
                </c:pt>
                <c:pt idx="4815">
                  <c:v>5.8525</c:v>
                </c:pt>
                <c:pt idx="4817">
                  <c:v>5.1833330000000002</c:v>
                </c:pt>
                <c:pt idx="4819">
                  <c:v>5.0244439999999999</c:v>
                </c:pt>
                <c:pt idx="4821">
                  <c:v>5.4458330000000004</c:v>
                </c:pt>
                <c:pt idx="4822">
                  <c:v>5.4933329999999998</c:v>
                </c:pt>
                <c:pt idx="4823">
                  <c:v>5.4424999999999999</c:v>
                </c:pt>
                <c:pt idx="4824">
                  <c:v>5.4033329999999999</c:v>
                </c:pt>
                <c:pt idx="4825">
                  <c:v>5.3052780000000004</c:v>
                </c:pt>
                <c:pt idx="4826">
                  <c:v>5.2586110000000001</c:v>
                </c:pt>
                <c:pt idx="4827">
                  <c:v>5.2980559999999999</c:v>
                </c:pt>
                <c:pt idx="4828">
                  <c:v>5.3449999999999998</c:v>
                </c:pt>
                <c:pt idx="4830">
                  <c:v>5.2230559999999997</c:v>
                </c:pt>
                <c:pt idx="4831">
                  <c:v>5.3091670000000004</c:v>
                </c:pt>
                <c:pt idx="4832">
                  <c:v>5.3113890000000001</c:v>
                </c:pt>
                <c:pt idx="4833">
                  <c:v>5.2975000000000003</c:v>
                </c:pt>
                <c:pt idx="4834">
                  <c:v>5.233333</c:v>
                </c:pt>
                <c:pt idx="4835">
                  <c:v>5.1825000000000001</c:v>
                </c:pt>
                <c:pt idx="4836">
                  <c:v>5.1905559999999999</c:v>
                </c:pt>
                <c:pt idx="4837">
                  <c:v>5.1994439999999997</c:v>
                </c:pt>
                <c:pt idx="4838">
                  <c:v>5.1266670000000003</c:v>
                </c:pt>
                <c:pt idx="4839">
                  <c:v>5.1236110000000004</c:v>
                </c:pt>
                <c:pt idx="4840">
                  <c:v>5.1730559999999999</c:v>
                </c:pt>
                <c:pt idx="4841">
                  <c:v>5.076111</c:v>
                </c:pt>
                <c:pt idx="4842">
                  <c:v>5.1180560000000002</c:v>
                </c:pt>
                <c:pt idx="4843">
                  <c:v>5.1188890000000002</c:v>
                </c:pt>
                <c:pt idx="4845">
                  <c:v>5.2586110000000001</c:v>
                </c:pt>
                <c:pt idx="4846">
                  <c:v>5.2913889999999997</c:v>
                </c:pt>
                <c:pt idx="4847">
                  <c:v>5.2688889999999997</c:v>
                </c:pt>
                <c:pt idx="4848">
                  <c:v>5.1605559999999997</c:v>
                </c:pt>
                <c:pt idx="4849">
                  <c:v>5.1336110000000001</c:v>
                </c:pt>
                <c:pt idx="4850">
                  <c:v>5.1983329999999999</c:v>
                </c:pt>
                <c:pt idx="4851">
                  <c:v>5.1702779999999997</c:v>
                </c:pt>
                <c:pt idx="4852">
                  <c:v>5.1775000000000002</c:v>
                </c:pt>
                <c:pt idx="4854">
                  <c:v>5.4191669999999998</c:v>
                </c:pt>
                <c:pt idx="4855">
                  <c:v>5.3430559999999998</c:v>
                </c:pt>
                <c:pt idx="4857">
                  <c:v>5.4430560000000003</c:v>
                </c:pt>
                <c:pt idx="4859">
                  <c:v>5.7852779999999999</c:v>
                </c:pt>
                <c:pt idx="4860">
                  <c:v>5.770556</c:v>
                </c:pt>
                <c:pt idx="4862">
                  <c:v>5.7324999999999999</c:v>
                </c:pt>
                <c:pt idx="4863">
                  <c:v>5.6369439999999997</c:v>
                </c:pt>
                <c:pt idx="4864">
                  <c:v>5.5733329999999999</c:v>
                </c:pt>
                <c:pt idx="4866">
                  <c:v>5.6516669999999998</c:v>
                </c:pt>
                <c:pt idx="4868">
                  <c:v>5.9236110000000002</c:v>
                </c:pt>
                <c:pt idx="4869">
                  <c:v>5.855556</c:v>
                </c:pt>
                <c:pt idx="4871">
                  <c:v>6.5713889999999999</c:v>
                </c:pt>
                <c:pt idx="4872">
                  <c:v>6.4838889999999996</c:v>
                </c:pt>
                <c:pt idx="4874">
                  <c:v>8.3519439999999996</c:v>
                </c:pt>
                <c:pt idx="4876">
                  <c:v>8.7613889999999994</c:v>
                </c:pt>
                <c:pt idx="4878">
                  <c:v>8.8180560000000003</c:v>
                </c:pt>
                <c:pt idx="4879">
                  <c:v>8.8175000000000008</c:v>
                </c:pt>
                <c:pt idx="4881">
                  <c:v>8.9444440000000007</c:v>
                </c:pt>
                <c:pt idx="4883">
                  <c:v>5.6694440000000004</c:v>
                </c:pt>
                <c:pt idx="4885">
                  <c:v>-6.8055560000000002</c:v>
                </c:pt>
                <c:pt idx="4886">
                  <c:v>-6.9061110000000001</c:v>
                </c:pt>
                <c:pt idx="4887">
                  <c:v>-6.8811109999999998</c:v>
                </c:pt>
                <c:pt idx="4888">
                  <c:v>-6.9122219999999999</c:v>
                </c:pt>
                <c:pt idx="4889">
                  <c:v>-6.9533329999999998</c:v>
                </c:pt>
                <c:pt idx="4890">
                  <c:v>-6.924722</c:v>
                </c:pt>
                <c:pt idx="4891">
                  <c:v>-6.8677780000000004</c:v>
                </c:pt>
                <c:pt idx="4892">
                  <c:v>-6.8480559999999997</c:v>
                </c:pt>
                <c:pt idx="4893">
                  <c:v>-6.7755559999999999</c:v>
                </c:pt>
                <c:pt idx="4894">
                  <c:v>-6.7050000000000001</c:v>
                </c:pt>
                <c:pt idx="4895">
                  <c:v>-6.6461110000000003</c:v>
                </c:pt>
                <c:pt idx="4896">
                  <c:v>-6.6855560000000001</c:v>
                </c:pt>
                <c:pt idx="4897">
                  <c:v>-6.7549999999999999</c:v>
                </c:pt>
                <c:pt idx="4898">
                  <c:v>-6.7244440000000001</c:v>
                </c:pt>
                <c:pt idx="4899">
                  <c:v>-6.7111109999999998</c:v>
                </c:pt>
                <c:pt idx="4900">
                  <c:v>-6.7544440000000003</c:v>
                </c:pt>
                <c:pt idx="4901">
                  <c:v>-6.7913889999999997</c:v>
                </c:pt>
                <c:pt idx="4902">
                  <c:v>-6.7094440000000004</c:v>
                </c:pt>
                <c:pt idx="4904">
                  <c:v>-6.723611</c:v>
                </c:pt>
                <c:pt idx="4906">
                  <c:v>-6.8280560000000001</c:v>
                </c:pt>
                <c:pt idx="4907">
                  <c:v>-6.7677779999999998</c:v>
                </c:pt>
                <c:pt idx="4909">
                  <c:v>-6.6502780000000001</c:v>
                </c:pt>
                <c:pt idx="4910">
                  <c:v>-6.6208330000000002</c:v>
                </c:pt>
                <c:pt idx="4911">
                  <c:v>-6.6327780000000001</c:v>
                </c:pt>
                <c:pt idx="4912">
                  <c:v>-6.6944439999999998</c:v>
                </c:pt>
                <c:pt idx="4913">
                  <c:v>-6.7391670000000001</c:v>
                </c:pt>
                <c:pt idx="4914">
                  <c:v>-6.8283329999999998</c:v>
                </c:pt>
                <c:pt idx="4915">
                  <c:v>-6.875</c:v>
                </c:pt>
                <c:pt idx="4916">
                  <c:v>-6.9083329999999998</c:v>
                </c:pt>
                <c:pt idx="4917">
                  <c:v>-6.8174999999999999</c:v>
                </c:pt>
                <c:pt idx="4919">
                  <c:v>-6.6511110000000002</c:v>
                </c:pt>
                <c:pt idx="4920">
                  <c:v>-6.6341669999999997</c:v>
                </c:pt>
                <c:pt idx="4921">
                  <c:v>-6.5797220000000003</c:v>
                </c:pt>
                <c:pt idx="4923">
                  <c:v>-6.9611109999999998</c:v>
                </c:pt>
                <c:pt idx="4924">
                  <c:v>-7.0513890000000004</c:v>
                </c:pt>
                <c:pt idx="4925">
                  <c:v>-7.0533330000000003</c:v>
                </c:pt>
                <c:pt idx="4926">
                  <c:v>-7.0213890000000001</c:v>
                </c:pt>
                <c:pt idx="4927">
                  <c:v>-6.9641669999999998</c:v>
                </c:pt>
                <c:pt idx="4928">
                  <c:v>-6.8919439999999996</c:v>
                </c:pt>
                <c:pt idx="4929">
                  <c:v>-6.8105560000000001</c:v>
                </c:pt>
                <c:pt idx="4930">
                  <c:v>-6.7438890000000002</c:v>
                </c:pt>
                <c:pt idx="4931">
                  <c:v>-6.7358330000000004</c:v>
                </c:pt>
                <c:pt idx="4932">
                  <c:v>-6.8047219999999999</c:v>
                </c:pt>
                <c:pt idx="4933">
                  <c:v>-6.7419440000000002</c:v>
                </c:pt>
                <c:pt idx="4934">
                  <c:v>-6.6966669999999997</c:v>
                </c:pt>
                <c:pt idx="4935">
                  <c:v>-6.6944439999999998</c:v>
                </c:pt>
                <c:pt idx="4936">
                  <c:v>-6.6494439999999999</c:v>
                </c:pt>
                <c:pt idx="4937">
                  <c:v>-6.5922219999999996</c:v>
                </c:pt>
                <c:pt idx="4938">
                  <c:v>-6.6663889999999997</c:v>
                </c:pt>
                <c:pt idx="4939">
                  <c:v>-6.5672220000000001</c:v>
                </c:pt>
                <c:pt idx="4940">
                  <c:v>-6.6583329999999998</c:v>
                </c:pt>
                <c:pt idx="4941">
                  <c:v>-6.7058330000000002</c:v>
                </c:pt>
                <c:pt idx="4942">
                  <c:v>-6.5983330000000002</c:v>
                </c:pt>
                <c:pt idx="4943">
                  <c:v>-6.6883330000000001</c:v>
                </c:pt>
                <c:pt idx="4944">
                  <c:v>-6.7766669999999998</c:v>
                </c:pt>
                <c:pt idx="4945">
                  <c:v>-6.7350000000000003</c:v>
                </c:pt>
                <c:pt idx="4946">
                  <c:v>-6.8091670000000004</c:v>
                </c:pt>
                <c:pt idx="4947">
                  <c:v>-6.8775000000000004</c:v>
                </c:pt>
                <c:pt idx="4948">
                  <c:v>-6.9063889999999999</c:v>
                </c:pt>
                <c:pt idx="4949">
                  <c:v>-6.9347219999999998</c:v>
                </c:pt>
                <c:pt idx="4950">
                  <c:v>-6.8872220000000004</c:v>
                </c:pt>
                <c:pt idx="4952">
                  <c:v>-6.509722</c:v>
                </c:pt>
                <c:pt idx="4953">
                  <c:v>-6.4411110000000003</c:v>
                </c:pt>
                <c:pt idx="4954">
                  <c:v>-6.4127780000000003</c:v>
                </c:pt>
                <c:pt idx="4955">
                  <c:v>-6.4836109999999998</c:v>
                </c:pt>
                <c:pt idx="4956">
                  <c:v>-6.4155559999999996</c:v>
                </c:pt>
                <c:pt idx="4957">
                  <c:v>-6.4747219999999999</c:v>
                </c:pt>
                <c:pt idx="4958">
                  <c:v>-6.5336109999999996</c:v>
                </c:pt>
                <c:pt idx="4959">
                  <c:v>-6.5047220000000001</c:v>
                </c:pt>
                <c:pt idx="4960">
                  <c:v>-6.5622220000000002</c:v>
                </c:pt>
                <c:pt idx="4961">
                  <c:v>-6.5655559999999999</c:v>
                </c:pt>
                <c:pt idx="4962">
                  <c:v>-6.5494440000000003</c:v>
                </c:pt>
                <c:pt idx="4963">
                  <c:v>-6.5750000000000002</c:v>
                </c:pt>
                <c:pt idx="4965">
                  <c:v>-6.3005560000000003</c:v>
                </c:pt>
                <c:pt idx="4966">
                  <c:v>-6.3166669999999998</c:v>
                </c:pt>
                <c:pt idx="4967">
                  <c:v>-6.3702779999999999</c:v>
                </c:pt>
                <c:pt idx="4968">
                  <c:v>-6.2994440000000003</c:v>
                </c:pt>
                <c:pt idx="4970">
                  <c:v>-6.2883329999999997</c:v>
                </c:pt>
                <c:pt idx="4971">
                  <c:v>-6.22</c:v>
                </c:pt>
                <c:pt idx="4973">
                  <c:v>-6.4680559999999998</c:v>
                </c:pt>
                <c:pt idx="4974">
                  <c:v>-6.4258329999999999</c:v>
                </c:pt>
                <c:pt idx="4975">
                  <c:v>-6.3852779999999996</c:v>
                </c:pt>
                <c:pt idx="4976">
                  <c:v>-6.4802780000000002</c:v>
                </c:pt>
                <c:pt idx="4977">
                  <c:v>-6.5144440000000001</c:v>
                </c:pt>
                <c:pt idx="4978">
                  <c:v>-6.536111</c:v>
                </c:pt>
                <c:pt idx="4980">
                  <c:v>-6.6019439999999996</c:v>
                </c:pt>
                <c:pt idx="4981">
                  <c:v>-6.5616669999999999</c:v>
                </c:pt>
                <c:pt idx="4982">
                  <c:v>-6.6261109999999999</c:v>
                </c:pt>
                <c:pt idx="4983">
                  <c:v>-6.6658330000000001</c:v>
                </c:pt>
                <c:pt idx="4984">
                  <c:v>-6.6322219999999996</c:v>
                </c:pt>
                <c:pt idx="4986">
                  <c:v>-6.7044439999999996</c:v>
                </c:pt>
                <c:pt idx="4987">
                  <c:v>-6.6538890000000004</c:v>
                </c:pt>
                <c:pt idx="4988">
                  <c:v>-6.6322219999999996</c:v>
                </c:pt>
                <c:pt idx="4989">
                  <c:v>-6.6883330000000001</c:v>
                </c:pt>
                <c:pt idx="4990">
                  <c:v>-6.7369440000000003</c:v>
                </c:pt>
                <c:pt idx="4991">
                  <c:v>-6.7713890000000001</c:v>
                </c:pt>
                <c:pt idx="4993">
                  <c:v>-7.0816670000000004</c:v>
                </c:pt>
                <c:pt idx="4994">
                  <c:v>-7.0425000000000004</c:v>
                </c:pt>
                <c:pt idx="4995">
                  <c:v>-6.9883329999999999</c:v>
                </c:pt>
                <c:pt idx="4996">
                  <c:v>-6.9363890000000001</c:v>
                </c:pt>
                <c:pt idx="4997">
                  <c:v>-6.8452780000000004</c:v>
                </c:pt>
                <c:pt idx="4998">
                  <c:v>-6.9016669999999998</c:v>
                </c:pt>
                <c:pt idx="4999">
                  <c:v>-6.8058329999999998</c:v>
                </c:pt>
                <c:pt idx="5000">
                  <c:v>-6.8102780000000003</c:v>
                </c:pt>
                <c:pt idx="5001">
                  <c:v>-6.7738889999999996</c:v>
                </c:pt>
                <c:pt idx="5002">
                  <c:v>-6.7261110000000004</c:v>
                </c:pt>
                <c:pt idx="5003">
                  <c:v>-6.6961110000000001</c:v>
                </c:pt>
                <c:pt idx="5004">
                  <c:v>-6.7297219999999998</c:v>
                </c:pt>
                <c:pt idx="5005">
                  <c:v>-6.8033330000000003</c:v>
                </c:pt>
                <c:pt idx="5006">
                  <c:v>-6.8783329999999996</c:v>
                </c:pt>
                <c:pt idx="5007">
                  <c:v>-6.9480560000000002</c:v>
                </c:pt>
                <c:pt idx="5008">
                  <c:v>-6.9869440000000003</c:v>
                </c:pt>
                <c:pt idx="5009">
                  <c:v>-7.0833329999999997</c:v>
                </c:pt>
                <c:pt idx="5010">
                  <c:v>-7.1219440000000001</c:v>
                </c:pt>
                <c:pt idx="5011">
                  <c:v>-7.1947219999999996</c:v>
                </c:pt>
                <c:pt idx="5012">
                  <c:v>-7.2291670000000003</c:v>
                </c:pt>
                <c:pt idx="5013">
                  <c:v>-7.2013889999999998</c:v>
                </c:pt>
                <c:pt idx="5014">
                  <c:v>-7.1950000000000003</c:v>
                </c:pt>
                <c:pt idx="5016">
                  <c:v>-7.3219440000000002</c:v>
                </c:pt>
                <c:pt idx="5017">
                  <c:v>-7.2391670000000001</c:v>
                </c:pt>
                <c:pt idx="5018">
                  <c:v>-7.165</c:v>
                </c:pt>
                <c:pt idx="5019">
                  <c:v>-7.0794439999999996</c:v>
                </c:pt>
                <c:pt idx="5020">
                  <c:v>-7.058611</c:v>
                </c:pt>
                <c:pt idx="5021">
                  <c:v>-7.1480560000000004</c:v>
                </c:pt>
                <c:pt idx="5022">
                  <c:v>-7.1652779999999998</c:v>
                </c:pt>
                <c:pt idx="5023">
                  <c:v>-7.2027780000000003</c:v>
                </c:pt>
                <c:pt idx="5024">
                  <c:v>-7.2066670000000004</c:v>
                </c:pt>
                <c:pt idx="5025">
                  <c:v>-7.2916670000000003</c:v>
                </c:pt>
                <c:pt idx="5026">
                  <c:v>-7.3780559999999999</c:v>
                </c:pt>
                <c:pt idx="5027">
                  <c:v>-7.3038889999999999</c:v>
                </c:pt>
                <c:pt idx="5028">
                  <c:v>-7.4027779999999996</c:v>
                </c:pt>
                <c:pt idx="5029">
                  <c:v>-7.4086109999999996</c:v>
                </c:pt>
                <c:pt idx="5031">
                  <c:v>-7.6330559999999998</c:v>
                </c:pt>
                <c:pt idx="5032">
                  <c:v>-7.5091669999999997</c:v>
                </c:pt>
                <c:pt idx="5034">
                  <c:v>-6.9705560000000002</c:v>
                </c:pt>
                <c:pt idx="5036">
                  <c:v>-6.8558329999999996</c:v>
                </c:pt>
                <c:pt idx="5037">
                  <c:v>-6.887778</c:v>
                </c:pt>
                <c:pt idx="5039">
                  <c:v>6.9097220000000004</c:v>
                </c:pt>
                <c:pt idx="5040">
                  <c:v>6.9055559999999998</c:v>
                </c:pt>
                <c:pt idx="5041">
                  <c:v>6.865278</c:v>
                </c:pt>
                <c:pt idx="5043">
                  <c:v>8.1486110000000007</c:v>
                </c:pt>
                <c:pt idx="5044">
                  <c:v>8.1619440000000001</c:v>
                </c:pt>
                <c:pt idx="5045">
                  <c:v>8.0936109999999992</c:v>
                </c:pt>
                <c:pt idx="5046">
                  <c:v>8.0933329999999994</c:v>
                </c:pt>
                <c:pt idx="5047">
                  <c:v>8.0525000000000002</c:v>
                </c:pt>
                <c:pt idx="5049">
                  <c:v>8.3519439999999996</c:v>
                </c:pt>
                <c:pt idx="5050">
                  <c:v>8.3130559999999996</c:v>
                </c:pt>
                <c:pt idx="5051">
                  <c:v>8.3277780000000003</c:v>
                </c:pt>
                <c:pt idx="5053">
                  <c:v>5.9566670000000004</c:v>
                </c:pt>
                <c:pt idx="5054">
                  <c:v>5.9061110000000001</c:v>
                </c:pt>
                <c:pt idx="5055">
                  <c:v>5.9347219999999998</c:v>
                </c:pt>
                <c:pt idx="5056">
                  <c:v>5.9827779999999997</c:v>
                </c:pt>
                <c:pt idx="5057">
                  <c:v>6.0155560000000001</c:v>
                </c:pt>
                <c:pt idx="5059">
                  <c:v>6.0774999999999997</c:v>
                </c:pt>
                <c:pt idx="5060">
                  <c:v>6.0422219999999998</c:v>
                </c:pt>
                <c:pt idx="5061">
                  <c:v>6.0705559999999998</c:v>
                </c:pt>
                <c:pt idx="5063">
                  <c:v>6.0286109999999997</c:v>
                </c:pt>
                <c:pt idx="5064">
                  <c:v>6.0238889999999996</c:v>
                </c:pt>
                <c:pt idx="5066">
                  <c:v>6.092778</c:v>
                </c:pt>
                <c:pt idx="5068">
                  <c:v>6.6861110000000004</c:v>
                </c:pt>
                <c:pt idx="5069">
                  <c:v>6.6930560000000003</c:v>
                </c:pt>
                <c:pt idx="5071">
                  <c:v>6.0519439999999998</c:v>
                </c:pt>
                <c:pt idx="5073">
                  <c:v>6.0291670000000002</c:v>
                </c:pt>
                <c:pt idx="5075">
                  <c:v>6.2758330000000004</c:v>
                </c:pt>
                <c:pt idx="5076">
                  <c:v>6.2741670000000003</c:v>
                </c:pt>
                <c:pt idx="5077">
                  <c:v>6.2130559999999999</c:v>
                </c:pt>
                <c:pt idx="5078">
                  <c:v>6.164167</c:v>
                </c:pt>
                <c:pt idx="5079">
                  <c:v>6.1550000000000002</c:v>
                </c:pt>
                <c:pt idx="5080">
                  <c:v>6.1630560000000001</c:v>
                </c:pt>
                <c:pt idx="5081">
                  <c:v>6.2225000000000001</c:v>
                </c:pt>
                <c:pt idx="5082">
                  <c:v>6.2850000000000001</c:v>
                </c:pt>
                <c:pt idx="5084">
                  <c:v>6.8061109999999996</c:v>
                </c:pt>
                <c:pt idx="5086">
                  <c:v>7.282222</c:v>
                </c:pt>
                <c:pt idx="5088">
                  <c:v>7.2949999999999999</c:v>
                </c:pt>
                <c:pt idx="5089">
                  <c:v>7.2986110000000002</c:v>
                </c:pt>
                <c:pt idx="5091">
                  <c:v>7.9950000000000001</c:v>
                </c:pt>
                <c:pt idx="5092">
                  <c:v>8.0347220000000004</c:v>
                </c:pt>
                <c:pt idx="5094">
                  <c:v>8.7805560000000007</c:v>
                </c:pt>
                <c:pt idx="5095">
                  <c:v>8.7902780000000007</c:v>
                </c:pt>
                <c:pt idx="5096">
                  <c:v>8.8141669999999994</c:v>
                </c:pt>
                <c:pt idx="5098">
                  <c:v>8.4044439999999998</c:v>
                </c:pt>
                <c:pt idx="5099">
                  <c:v>8.3186110000000006</c:v>
                </c:pt>
                <c:pt idx="5100">
                  <c:v>8.3275000000000006</c:v>
                </c:pt>
                <c:pt idx="5101">
                  <c:v>8.3466670000000001</c:v>
                </c:pt>
                <c:pt idx="5102">
                  <c:v>8.4024999999999999</c:v>
                </c:pt>
                <c:pt idx="5103">
                  <c:v>8.4291669999999996</c:v>
                </c:pt>
                <c:pt idx="5104">
                  <c:v>8.4163890000000006</c:v>
                </c:pt>
                <c:pt idx="5105">
                  <c:v>8.4752779999999994</c:v>
                </c:pt>
                <c:pt idx="5107">
                  <c:v>8.1227780000000003</c:v>
                </c:pt>
                <c:pt idx="5108">
                  <c:v>8.1649999999999991</c:v>
                </c:pt>
                <c:pt idx="5110">
                  <c:v>8.2636109999999992</c:v>
                </c:pt>
                <c:pt idx="5112">
                  <c:v>8.1958330000000004</c:v>
                </c:pt>
                <c:pt idx="5113">
                  <c:v>8.2219440000000006</c:v>
                </c:pt>
                <c:pt idx="5115">
                  <c:v>8.4772219999999994</c:v>
                </c:pt>
                <c:pt idx="5116">
                  <c:v>8.4630559999999999</c:v>
                </c:pt>
                <c:pt idx="5117">
                  <c:v>8.5044439999999994</c:v>
                </c:pt>
                <c:pt idx="5118">
                  <c:v>8.4916669999999996</c:v>
                </c:pt>
                <c:pt idx="5119">
                  <c:v>8.5186109999999999</c:v>
                </c:pt>
                <c:pt idx="5121">
                  <c:v>8.6608330000000002</c:v>
                </c:pt>
                <c:pt idx="5122">
                  <c:v>8.5958330000000007</c:v>
                </c:pt>
                <c:pt idx="5123">
                  <c:v>8.56</c:v>
                </c:pt>
                <c:pt idx="5124">
                  <c:v>8.5336110000000005</c:v>
                </c:pt>
                <c:pt idx="5125">
                  <c:v>8.5716669999999997</c:v>
                </c:pt>
                <c:pt idx="5126">
                  <c:v>8.6163889999999999</c:v>
                </c:pt>
                <c:pt idx="5127">
                  <c:v>8.6794440000000002</c:v>
                </c:pt>
                <c:pt idx="5128">
                  <c:v>8.7447219999999994</c:v>
                </c:pt>
                <c:pt idx="5129">
                  <c:v>8.8055559999999993</c:v>
                </c:pt>
                <c:pt idx="5130">
                  <c:v>8.7358329999999995</c:v>
                </c:pt>
                <c:pt idx="5132">
                  <c:v>8.6488890000000005</c:v>
                </c:pt>
                <c:pt idx="5133">
                  <c:v>8.6933330000000009</c:v>
                </c:pt>
                <c:pt idx="5135">
                  <c:v>8.7830560000000002</c:v>
                </c:pt>
                <c:pt idx="5137">
                  <c:v>8.9716670000000001</c:v>
                </c:pt>
                <c:pt idx="5138">
                  <c:v>8.9788890000000006</c:v>
                </c:pt>
                <c:pt idx="5139">
                  <c:v>8.9636110000000002</c:v>
                </c:pt>
                <c:pt idx="5140">
                  <c:v>8.9886110000000006</c:v>
                </c:pt>
                <c:pt idx="5141">
                  <c:v>8.9558330000000002</c:v>
                </c:pt>
                <c:pt idx="5142">
                  <c:v>8.8833330000000004</c:v>
                </c:pt>
                <c:pt idx="5144">
                  <c:v>8.8327779999999994</c:v>
                </c:pt>
                <c:pt idx="5145">
                  <c:v>8.8175000000000008</c:v>
                </c:pt>
                <c:pt idx="5146">
                  <c:v>8.8941669999999995</c:v>
                </c:pt>
                <c:pt idx="5147">
                  <c:v>8.9133329999999997</c:v>
                </c:pt>
                <c:pt idx="5149">
                  <c:v>8.6033329999999992</c:v>
                </c:pt>
                <c:pt idx="5151">
                  <c:v>4.3411109999999997</c:v>
                </c:pt>
                <c:pt idx="5152">
                  <c:v>4.3058329999999998</c:v>
                </c:pt>
                <c:pt idx="5153">
                  <c:v>4.3322219999999998</c:v>
                </c:pt>
                <c:pt idx="5154">
                  <c:v>4.3813890000000004</c:v>
                </c:pt>
                <c:pt idx="5156">
                  <c:v>3.888611</c:v>
                </c:pt>
                <c:pt idx="5158">
                  <c:v>-2.4424999999999999</c:v>
                </c:pt>
                <c:pt idx="5160">
                  <c:v>6.987222</c:v>
                </c:pt>
                <c:pt idx="5162">
                  <c:v>7.1869440000000004</c:v>
                </c:pt>
                <c:pt idx="5163">
                  <c:v>7.1283329999999996</c:v>
                </c:pt>
                <c:pt idx="5164">
                  <c:v>7.0925000000000002</c:v>
                </c:pt>
                <c:pt idx="5165">
                  <c:v>7.1522220000000001</c:v>
                </c:pt>
                <c:pt idx="5166">
                  <c:v>7.2105560000000004</c:v>
                </c:pt>
                <c:pt idx="5168">
                  <c:v>3.8011110000000001</c:v>
                </c:pt>
                <c:pt idx="5169">
                  <c:v>3.7330559999999999</c:v>
                </c:pt>
                <c:pt idx="5170">
                  <c:v>3.6852779999999998</c:v>
                </c:pt>
                <c:pt idx="5171">
                  <c:v>3.6344439999999998</c:v>
                </c:pt>
                <c:pt idx="5172">
                  <c:v>3.6944439999999998</c:v>
                </c:pt>
                <c:pt idx="5173">
                  <c:v>3.737778</c:v>
                </c:pt>
                <c:pt idx="5174">
                  <c:v>3.8191670000000002</c:v>
                </c:pt>
                <c:pt idx="5176">
                  <c:v>4.545833</c:v>
                </c:pt>
                <c:pt idx="5177">
                  <c:v>4.5691670000000002</c:v>
                </c:pt>
                <c:pt idx="5179">
                  <c:v>4.6516669999999998</c:v>
                </c:pt>
                <c:pt idx="5181">
                  <c:v>4.7772220000000001</c:v>
                </c:pt>
                <c:pt idx="5183">
                  <c:v>4.9844439999999999</c:v>
                </c:pt>
                <c:pt idx="5185">
                  <c:v>4.9527780000000003</c:v>
                </c:pt>
                <c:pt idx="5187">
                  <c:v>4.7016669999999996</c:v>
                </c:pt>
                <c:pt idx="5188">
                  <c:v>4.7319440000000004</c:v>
                </c:pt>
                <c:pt idx="5190">
                  <c:v>5.0591670000000004</c:v>
                </c:pt>
                <c:pt idx="5191">
                  <c:v>5.045833</c:v>
                </c:pt>
                <c:pt idx="5193">
                  <c:v>5.0472219999999997</c:v>
                </c:pt>
                <c:pt idx="5195">
                  <c:v>5.1058329999999996</c:v>
                </c:pt>
                <c:pt idx="5197">
                  <c:v>5.0575000000000001</c:v>
                </c:pt>
                <c:pt idx="5199">
                  <c:v>4.8172220000000001</c:v>
                </c:pt>
                <c:pt idx="5200">
                  <c:v>4.8536109999999999</c:v>
                </c:pt>
                <c:pt idx="5202">
                  <c:v>4.7644440000000001</c:v>
                </c:pt>
                <c:pt idx="5203">
                  <c:v>4.7549999999999999</c:v>
                </c:pt>
                <c:pt idx="5205">
                  <c:v>4.9097220000000004</c:v>
                </c:pt>
                <c:pt idx="5207">
                  <c:v>5.0608329999999997</c:v>
                </c:pt>
                <c:pt idx="5208">
                  <c:v>5.0969439999999997</c:v>
                </c:pt>
                <c:pt idx="5209">
                  <c:v>5.1252779999999998</c:v>
                </c:pt>
                <c:pt idx="5210">
                  <c:v>5.1233329999999997</c:v>
                </c:pt>
                <c:pt idx="5211">
                  <c:v>5.1736110000000002</c:v>
                </c:pt>
                <c:pt idx="5212">
                  <c:v>5.2583330000000004</c:v>
                </c:pt>
                <c:pt idx="5213">
                  <c:v>5.2986110000000002</c:v>
                </c:pt>
                <c:pt idx="5214">
                  <c:v>5.2522219999999997</c:v>
                </c:pt>
                <c:pt idx="5215">
                  <c:v>5.2013889999999998</c:v>
                </c:pt>
                <c:pt idx="5216">
                  <c:v>5.1325000000000003</c:v>
                </c:pt>
                <c:pt idx="5217">
                  <c:v>5.0666669999999998</c:v>
                </c:pt>
                <c:pt idx="5218">
                  <c:v>5.0333329999999998</c:v>
                </c:pt>
                <c:pt idx="5219">
                  <c:v>5.058611</c:v>
                </c:pt>
                <c:pt idx="5220">
                  <c:v>5.0905560000000003</c:v>
                </c:pt>
                <c:pt idx="5221">
                  <c:v>5.0686109999999998</c:v>
                </c:pt>
                <c:pt idx="5222">
                  <c:v>5.08</c:v>
                </c:pt>
                <c:pt idx="5223">
                  <c:v>5.0475000000000003</c:v>
                </c:pt>
                <c:pt idx="5224">
                  <c:v>4.9880560000000003</c:v>
                </c:pt>
                <c:pt idx="5225">
                  <c:v>4.9924999999999997</c:v>
                </c:pt>
                <c:pt idx="5226">
                  <c:v>5.0650000000000004</c:v>
                </c:pt>
                <c:pt idx="5227">
                  <c:v>5.1422220000000003</c:v>
                </c:pt>
                <c:pt idx="5228">
                  <c:v>5.2202780000000004</c:v>
                </c:pt>
                <c:pt idx="5229">
                  <c:v>5.3030559999999998</c:v>
                </c:pt>
                <c:pt idx="5230">
                  <c:v>5.3755559999999996</c:v>
                </c:pt>
                <c:pt idx="5231">
                  <c:v>5.4463889999999999</c:v>
                </c:pt>
                <c:pt idx="5232">
                  <c:v>5.5294439999999998</c:v>
                </c:pt>
                <c:pt idx="5233">
                  <c:v>5.5702780000000001</c:v>
                </c:pt>
                <c:pt idx="5234">
                  <c:v>5.6219440000000001</c:v>
                </c:pt>
                <c:pt idx="5235">
                  <c:v>5.6891670000000003</c:v>
                </c:pt>
                <c:pt idx="5236">
                  <c:v>5.7608329999999999</c:v>
                </c:pt>
                <c:pt idx="5237">
                  <c:v>5.8202780000000001</c:v>
                </c:pt>
                <c:pt idx="5238">
                  <c:v>5.861389</c:v>
                </c:pt>
                <c:pt idx="5239">
                  <c:v>5.871111</c:v>
                </c:pt>
                <c:pt idx="5240">
                  <c:v>5.8269440000000001</c:v>
                </c:pt>
                <c:pt idx="5241">
                  <c:v>5.8511110000000004</c:v>
                </c:pt>
                <c:pt idx="5242">
                  <c:v>5.7844439999999997</c:v>
                </c:pt>
                <c:pt idx="5243">
                  <c:v>5.6855560000000001</c:v>
                </c:pt>
                <c:pt idx="5244">
                  <c:v>5.6305560000000003</c:v>
                </c:pt>
                <c:pt idx="5245">
                  <c:v>5.6</c:v>
                </c:pt>
                <c:pt idx="5246">
                  <c:v>5.5958329999999998</c:v>
                </c:pt>
                <c:pt idx="5247">
                  <c:v>5.6325000000000003</c:v>
                </c:pt>
                <c:pt idx="5248">
                  <c:v>5.6833330000000002</c:v>
                </c:pt>
                <c:pt idx="5249">
                  <c:v>5.668056</c:v>
                </c:pt>
                <c:pt idx="5250">
                  <c:v>5.5952780000000004</c:v>
                </c:pt>
                <c:pt idx="5251">
                  <c:v>5.5238889999999996</c:v>
                </c:pt>
                <c:pt idx="5252">
                  <c:v>5.433611</c:v>
                </c:pt>
                <c:pt idx="5253">
                  <c:v>5.3672219999999999</c:v>
                </c:pt>
                <c:pt idx="5254">
                  <c:v>5.414167</c:v>
                </c:pt>
                <c:pt idx="5255">
                  <c:v>5.4205560000000004</c:v>
                </c:pt>
                <c:pt idx="5256">
                  <c:v>5.4122219999999999</c:v>
                </c:pt>
                <c:pt idx="5257">
                  <c:v>5.3797220000000001</c:v>
                </c:pt>
                <c:pt idx="5259">
                  <c:v>5.8091670000000004</c:v>
                </c:pt>
                <c:pt idx="5260">
                  <c:v>5.7727779999999997</c:v>
                </c:pt>
                <c:pt idx="5261">
                  <c:v>5.8138889999999996</c:v>
                </c:pt>
                <c:pt idx="5263">
                  <c:v>5.7</c:v>
                </c:pt>
                <c:pt idx="5265">
                  <c:v>5.6872220000000002</c:v>
                </c:pt>
                <c:pt idx="5267">
                  <c:v>5.723611</c:v>
                </c:pt>
                <c:pt idx="5269">
                  <c:v>5.8061109999999996</c:v>
                </c:pt>
                <c:pt idx="5271">
                  <c:v>5.7605560000000002</c:v>
                </c:pt>
                <c:pt idx="5272">
                  <c:v>5.762778</c:v>
                </c:pt>
                <c:pt idx="5274">
                  <c:v>5.9213889999999996</c:v>
                </c:pt>
                <c:pt idx="5275">
                  <c:v>5.9352780000000003</c:v>
                </c:pt>
                <c:pt idx="5277">
                  <c:v>5.6136109999999997</c:v>
                </c:pt>
                <c:pt idx="5278">
                  <c:v>5.6461110000000003</c:v>
                </c:pt>
                <c:pt idx="5280">
                  <c:v>5.5594440000000001</c:v>
                </c:pt>
                <c:pt idx="5281">
                  <c:v>5.503889</c:v>
                </c:pt>
                <c:pt idx="5282">
                  <c:v>5.4888890000000004</c:v>
                </c:pt>
                <c:pt idx="5283">
                  <c:v>5.5505560000000003</c:v>
                </c:pt>
                <c:pt idx="5284">
                  <c:v>5.6238890000000001</c:v>
                </c:pt>
                <c:pt idx="5286">
                  <c:v>5.5425000000000004</c:v>
                </c:pt>
                <c:pt idx="5288">
                  <c:v>5.5080559999999998</c:v>
                </c:pt>
                <c:pt idx="5289">
                  <c:v>5.539167</c:v>
                </c:pt>
                <c:pt idx="5291">
                  <c:v>5.4536110000000004</c:v>
                </c:pt>
                <c:pt idx="5293">
                  <c:v>5.9647220000000001</c:v>
                </c:pt>
                <c:pt idx="5295">
                  <c:v>-6.4897220000000004</c:v>
                </c:pt>
                <c:pt idx="5297">
                  <c:v>-6.2797219999999996</c:v>
                </c:pt>
                <c:pt idx="5298">
                  <c:v>-6.3205559999999998</c:v>
                </c:pt>
                <c:pt idx="5299">
                  <c:v>-6.2747219999999997</c:v>
                </c:pt>
                <c:pt idx="5300">
                  <c:v>-6.329167</c:v>
                </c:pt>
                <c:pt idx="5301">
                  <c:v>-6.3638890000000004</c:v>
                </c:pt>
                <c:pt idx="5302">
                  <c:v>-6.3677780000000004</c:v>
                </c:pt>
                <c:pt idx="5303">
                  <c:v>-6.4322220000000003</c:v>
                </c:pt>
                <c:pt idx="5304">
                  <c:v>-6.5083330000000004</c:v>
                </c:pt>
                <c:pt idx="5305">
                  <c:v>-6.5763889999999998</c:v>
                </c:pt>
                <c:pt idx="5306">
                  <c:v>-6.6086109999999998</c:v>
                </c:pt>
                <c:pt idx="5307">
                  <c:v>-6.548889</c:v>
                </c:pt>
                <c:pt idx="5308">
                  <c:v>-6.5163890000000002</c:v>
                </c:pt>
                <c:pt idx="5309">
                  <c:v>-6.5358330000000002</c:v>
                </c:pt>
                <c:pt idx="5310">
                  <c:v>-6.5191670000000004</c:v>
                </c:pt>
                <c:pt idx="5311">
                  <c:v>-6.4813890000000001</c:v>
                </c:pt>
                <c:pt idx="5312">
                  <c:v>-6.401389</c:v>
                </c:pt>
                <c:pt idx="5313">
                  <c:v>-6.3138889999999996</c:v>
                </c:pt>
                <c:pt idx="5314">
                  <c:v>-6.2397220000000004</c:v>
                </c:pt>
                <c:pt idx="5316">
                  <c:v>-7.73</c:v>
                </c:pt>
                <c:pt idx="5317">
                  <c:v>-7.7247219999999999</c:v>
                </c:pt>
                <c:pt idx="5318">
                  <c:v>-7.6783330000000003</c:v>
                </c:pt>
                <c:pt idx="5319">
                  <c:v>-7.651389</c:v>
                </c:pt>
                <c:pt idx="5320">
                  <c:v>-7.6855560000000001</c:v>
                </c:pt>
                <c:pt idx="5321">
                  <c:v>-7.7452779999999999</c:v>
                </c:pt>
                <c:pt idx="5322">
                  <c:v>-7.8122220000000002</c:v>
                </c:pt>
                <c:pt idx="5323">
                  <c:v>-7.8994439999999999</c:v>
                </c:pt>
                <c:pt idx="5324">
                  <c:v>-7.9530560000000001</c:v>
                </c:pt>
                <c:pt idx="5325">
                  <c:v>-7.9161109999999999</c:v>
                </c:pt>
                <c:pt idx="5326">
                  <c:v>-7.8355560000000004</c:v>
                </c:pt>
                <c:pt idx="5327">
                  <c:v>-7.7516670000000003</c:v>
                </c:pt>
                <c:pt idx="5329">
                  <c:v>-7.4616670000000003</c:v>
                </c:pt>
                <c:pt idx="5330">
                  <c:v>-7.4480560000000002</c:v>
                </c:pt>
                <c:pt idx="5331">
                  <c:v>-7.4738889999999998</c:v>
                </c:pt>
                <c:pt idx="5332">
                  <c:v>-7.5141669999999996</c:v>
                </c:pt>
                <c:pt idx="5333">
                  <c:v>-7.5661110000000003</c:v>
                </c:pt>
                <c:pt idx="5334">
                  <c:v>-7.5897220000000001</c:v>
                </c:pt>
                <c:pt idx="5335">
                  <c:v>-7.5222220000000002</c:v>
                </c:pt>
                <c:pt idx="5336">
                  <c:v>-7.4880560000000003</c:v>
                </c:pt>
                <c:pt idx="5338">
                  <c:v>-8.3930559999999996</c:v>
                </c:pt>
                <c:pt idx="5339">
                  <c:v>-8.4494439999999997</c:v>
                </c:pt>
                <c:pt idx="5340">
                  <c:v>-8.4091670000000001</c:v>
                </c:pt>
                <c:pt idx="5341">
                  <c:v>-8.3249999999999993</c:v>
                </c:pt>
                <c:pt idx="5343">
                  <c:v>-8.0297219999999996</c:v>
                </c:pt>
                <c:pt idx="5344">
                  <c:v>-8.0474999999999994</c:v>
                </c:pt>
                <c:pt idx="5345">
                  <c:v>-8.079167</c:v>
                </c:pt>
                <c:pt idx="5346">
                  <c:v>-8.0977779999999999</c:v>
                </c:pt>
                <c:pt idx="5347">
                  <c:v>-8.0394439999999996</c:v>
                </c:pt>
                <c:pt idx="5349">
                  <c:v>-8.2758330000000004</c:v>
                </c:pt>
                <c:pt idx="5350">
                  <c:v>-8.2627780000000008</c:v>
                </c:pt>
                <c:pt idx="5352">
                  <c:v>-8.4422219999999992</c:v>
                </c:pt>
                <c:pt idx="5353">
                  <c:v>-8.4824999999999999</c:v>
                </c:pt>
                <c:pt idx="5354">
                  <c:v>-8.4700000000000006</c:v>
                </c:pt>
                <c:pt idx="5355">
                  <c:v>-8.4338890000000006</c:v>
                </c:pt>
                <c:pt idx="5357">
                  <c:v>-9.2005560000000006</c:v>
                </c:pt>
                <c:pt idx="5358">
                  <c:v>-9.1466670000000008</c:v>
                </c:pt>
                <c:pt idx="5360">
                  <c:v>-9.2261109999999995</c:v>
                </c:pt>
                <c:pt idx="5361">
                  <c:v>-9.1863890000000001</c:v>
                </c:pt>
                <c:pt idx="5362">
                  <c:v>-9.269444</c:v>
                </c:pt>
                <c:pt idx="5363">
                  <c:v>-9.2952779999999997</c:v>
                </c:pt>
                <c:pt idx="5364">
                  <c:v>-9.2650000000000006</c:v>
                </c:pt>
                <c:pt idx="5365">
                  <c:v>-9.3019440000000007</c:v>
                </c:pt>
                <c:pt idx="5366">
                  <c:v>-9.240278</c:v>
                </c:pt>
                <c:pt idx="5368">
                  <c:v>-9.766667</c:v>
                </c:pt>
                <c:pt idx="5369">
                  <c:v>-9.8211110000000001</c:v>
                </c:pt>
                <c:pt idx="5371">
                  <c:v>-9.2411110000000001</c:v>
                </c:pt>
                <c:pt idx="5372">
                  <c:v>-9.2633329999999994</c:v>
                </c:pt>
                <c:pt idx="5373">
                  <c:v>-9.276389</c:v>
                </c:pt>
                <c:pt idx="5374">
                  <c:v>-9.2438889999999994</c:v>
                </c:pt>
                <c:pt idx="5376">
                  <c:v>-9.2811109999999992</c:v>
                </c:pt>
                <c:pt idx="5377">
                  <c:v>-9.2983329999999995</c:v>
                </c:pt>
                <c:pt idx="5378">
                  <c:v>-9.3163889999999991</c:v>
                </c:pt>
                <c:pt idx="5379">
                  <c:v>-9.4055560000000007</c:v>
                </c:pt>
                <c:pt idx="5380">
                  <c:v>-9.4613890000000005</c:v>
                </c:pt>
                <c:pt idx="5381">
                  <c:v>-9.4172220000000006</c:v>
                </c:pt>
                <c:pt idx="5382">
                  <c:v>-9.3588889999999996</c:v>
                </c:pt>
                <c:pt idx="5383">
                  <c:v>-9.3133330000000001</c:v>
                </c:pt>
                <c:pt idx="5385">
                  <c:v>-9.1844439999999992</c:v>
                </c:pt>
                <c:pt idx="5386">
                  <c:v>-9.1130560000000003</c:v>
                </c:pt>
                <c:pt idx="5387">
                  <c:v>-9.0291669999999993</c:v>
                </c:pt>
                <c:pt idx="5388">
                  <c:v>-9.0736109999999996</c:v>
                </c:pt>
                <c:pt idx="5389">
                  <c:v>-9.0438890000000001</c:v>
                </c:pt>
                <c:pt idx="5390">
                  <c:v>-9.0727779999999996</c:v>
                </c:pt>
                <c:pt idx="5391">
                  <c:v>-9.1297219999999992</c:v>
                </c:pt>
                <c:pt idx="5392">
                  <c:v>-9.125</c:v>
                </c:pt>
                <c:pt idx="5393">
                  <c:v>-9.14</c:v>
                </c:pt>
                <c:pt idx="5394">
                  <c:v>-9.2280560000000005</c:v>
                </c:pt>
                <c:pt idx="5395">
                  <c:v>-9.2780559999999994</c:v>
                </c:pt>
                <c:pt idx="5396">
                  <c:v>-9.3369440000000008</c:v>
                </c:pt>
                <c:pt idx="5397">
                  <c:v>-9.4175000000000004</c:v>
                </c:pt>
                <c:pt idx="5398">
                  <c:v>-9.4422219999999992</c:v>
                </c:pt>
                <c:pt idx="5399">
                  <c:v>-9.3844440000000002</c:v>
                </c:pt>
                <c:pt idx="5400">
                  <c:v>-9.3475000000000001</c:v>
                </c:pt>
                <c:pt idx="5401">
                  <c:v>-9.2680559999999996</c:v>
                </c:pt>
                <c:pt idx="5402">
                  <c:v>-9.2247219999999999</c:v>
                </c:pt>
                <c:pt idx="5403">
                  <c:v>-9.2027780000000003</c:v>
                </c:pt>
                <c:pt idx="5405">
                  <c:v>-8.0030560000000008</c:v>
                </c:pt>
                <c:pt idx="5406">
                  <c:v>-7.967778</c:v>
                </c:pt>
                <c:pt idx="5407">
                  <c:v>-7.9327779999999999</c:v>
                </c:pt>
                <c:pt idx="5408">
                  <c:v>-7.8819439999999998</c:v>
                </c:pt>
                <c:pt idx="5409">
                  <c:v>-7.8525</c:v>
                </c:pt>
                <c:pt idx="5410">
                  <c:v>-7.9036109999999997</c:v>
                </c:pt>
                <c:pt idx="5411">
                  <c:v>-7.9127780000000003</c:v>
                </c:pt>
                <c:pt idx="5412">
                  <c:v>-7.9272220000000004</c:v>
                </c:pt>
                <c:pt idx="5413">
                  <c:v>-7.9761110000000004</c:v>
                </c:pt>
                <c:pt idx="5414">
                  <c:v>-7.9983329999999997</c:v>
                </c:pt>
                <c:pt idx="5415">
                  <c:v>-7.99</c:v>
                </c:pt>
                <c:pt idx="5416">
                  <c:v>-8.0355559999999997</c:v>
                </c:pt>
                <c:pt idx="5417">
                  <c:v>-8.0413890000000006</c:v>
                </c:pt>
                <c:pt idx="5418">
                  <c:v>-8.0433330000000005</c:v>
                </c:pt>
                <c:pt idx="5420">
                  <c:v>-7.3702779999999999</c:v>
                </c:pt>
                <c:pt idx="5421">
                  <c:v>-7.4172219999999998</c:v>
                </c:pt>
                <c:pt idx="5423">
                  <c:v>-7.3097219999999998</c:v>
                </c:pt>
                <c:pt idx="5424">
                  <c:v>-7.3238890000000003</c:v>
                </c:pt>
                <c:pt idx="5425">
                  <c:v>-7.3994439999999999</c:v>
                </c:pt>
                <c:pt idx="5426">
                  <c:v>-7.3658330000000003</c:v>
                </c:pt>
                <c:pt idx="5428">
                  <c:v>-7.3258330000000003</c:v>
                </c:pt>
                <c:pt idx="5429">
                  <c:v>-7.3663889999999999</c:v>
                </c:pt>
                <c:pt idx="5430">
                  <c:v>-7.3041669999999996</c:v>
                </c:pt>
                <c:pt idx="5432">
                  <c:v>-7.3958329999999997</c:v>
                </c:pt>
                <c:pt idx="5433">
                  <c:v>-7.4225000000000003</c:v>
                </c:pt>
                <c:pt idx="5434">
                  <c:v>-7.358333</c:v>
                </c:pt>
                <c:pt idx="5436">
                  <c:v>-8.2327779999999997</c:v>
                </c:pt>
                <c:pt idx="5437">
                  <c:v>-8.2783329999999999</c:v>
                </c:pt>
                <c:pt idx="5438">
                  <c:v>-8.2650000000000006</c:v>
                </c:pt>
                <c:pt idx="5439">
                  <c:v>-8.2772220000000001</c:v>
                </c:pt>
                <c:pt idx="5440">
                  <c:v>-8.2969439999999999</c:v>
                </c:pt>
                <c:pt idx="5441">
                  <c:v>-8.3849999999999998</c:v>
                </c:pt>
                <c:pt idx="5442">
                  <c:v>-8.418056</c:v>
                </c:pt>
                <c:pt idx="5443">
                  <c:v>-8.4561109999999999</c:v>
                </c:pt>
                <c:pt idx="5444">
                  <c:v>-8.4330560000000006</c:v>
                </c:pt>
                <c:pt idx="5445">
                  <c:v>-8.4947219999999994</c:v>
                </c:pt>
                <c:pt idx="5446">
                  <c:v>-8.4361110000000004</c:v>
                </c:pt>
                <c:pt idx="5447">
                  <c:v>-8.3494440000000001</c:v>
                </c:pt>
                <c:pt idx="5448">
                  <c:v>-8.3344439999999995</c:v>
                </c:pt>
                <c:pt idx="5449">
                  <c:v>-8.3247219999999995</c:v>
                </c:pt>
                <c:pt idx="5450">
                  <c:v>-8.2825000000000006</c:v>
                </c:pt>
                <c:pt idx="5451">
                  <c:v>-8.2616669999999992</c:v>
                </c:pt>
                <c:pt idx="5452">
                  <c:v>-8.1974999999999998</c:v>
                </c:pt>
                <c:pt idx="5454">
                  <c:v>-9.5583329999999993</c:v>
                </c:pt>
                <c:pt idx="5455">
                  <c:v>-9.5824999999999996</c:v>
                </c:pt>
                <c:pt idx="5456">
                  <c:v>-9.5119439999999997</c:v>
                </c:pt>
                <c:pt idx="5458">
                  <c:v>-2.9194439999999999</c:v>
                </c:pt>
                <c:pt idx="5459">
                  <c:v>-2.9449999999999998</c:v>
                </c:pt>
                <c:pt idx="5460">
                  <c:v>-2.9525000000000001</c:v>
                </c:pt>
                <c:pt idx="5461">
                  <c:v>-2.9366669999999999</c:v>
                </c:pt>
                <c:pt idx="5462">
                  <c:v>-2.9586109999999999</c:v>
                </c:pt>
                <c:pt idx="5464">
                  <c:v>-3.1672220000000002</c:v>
                </c:pt>
                <c:pt idx="5466">
                  <c:v>-4.3819439999999998</c:v>
                </c:pt>
                <c:pt idx="5467">
                  <c:v>-4.3724999999999996</c:v>
                </c:pt>
                <c:pt idx="5469">
                  <c:v>-4.6688890000000001</c:v>
                </c:pt>
                <c:pt idx="5470">
                  <c:v>-4.6422220000000003</c:v>
                </c:pt>
                <c:pt idx="5471">
                  <c:v>-4.5911109999999997</c:v>
                </c:pt>
                <c:pt idx="5472">
                  <c:v>-4.5352779999999999</c:v>
                </c:pt>
                <c:pt idx="5473">
                  <c:v>-4.5513890000000004</c:v>
                </c:pt>
                <c:pt idx="5474">
                  <c:v>-4.5769440000000001</c:v>
                </c:pt>
                <c:pt idx="5475">
                  <c:v>-4.6344440000000002</c:v>
                </c:pt>
                <c:pt idx="5476">
                  <c:v>-4.63</c:v>
                </c:pt>
                <c:pt idx="5477">
                  <c:v>-4.6563889999999999</c:v>
                </c:pt>
                <c:pt idx="5478">
                  <c:v>-4.6880559999999996</c:v>
                </c:pt>
                <c:pt idx="5479">
                  <c:v>-4.6944439999999998</c:v>
                </c:pt>
                <c:pt idx="5481">
                  <c:v>-4.5436110000000003</c:v>
                </c:pt>
                <c:pt idx="5482">
                  <c:v>-4.6097219999999997</c:v>
                </c:pt>
                <c:pt idx="5483">
                  <c:v>-4.5705559999999998</c:v>
                </c:pt>
                <c:pt idx="5484">
                  <c:v>-4.4977780000000003</c:v>
                </c:pt>
                <c:pt idx="5485">
                  <c:v>-4.4363890000000001</c:v>
                </c:pt>
                <c:pt idx="5487">
                  <c:v>-4.2094440000000004</c:v>
                </c:pt>
                <c:pt idx="5488">
                  <c:v>-4.2388890000000004</c:v>
                </c:pt>
                <c:pt idx="5489">
                  <c:v>-4.1327780000000001</c:v>
                </c:pt>
                <c:pt idx="5491">
                  <c:v>-4.0886110000000002</c:v>
                </c:pt>
                <c:pt idx="5492">
                  <c:v>-4.1408329999999998</c:v>
                </c:pt>
                <c:pt idx="5493">
                  <c:v>-4.2222220000000004</c:v>
                </c:pt>
                <c:pt idx="5494">
                  <c:v>-4.2752780000000001</c:v>
                </c:pt>
                <c:pt idx="5495">
                  <c:v>-4.1958330000000004</c:v>
                </c:pt>
                <c:pt idx="5496">
                  <c:v>-4.13</c:v>
                </c:pt>
                <c:pt idx="5497">
                  <c:v>-4.0708330000000004</c:v>
                </c:pt>
                <c:pt idx="5498">
                  <c:v>-4.0055560000000003</c:v>
                </c:pt>
                <c:pt idx="5500">
                  <c:v>-4.2941669999999998</c:v>
                </c:pt>
                <c:pt idx="5501">
                  <c:v>-4.4030560000000003</c:v>
                </c:pt>
                <c:pt idx="5502">
                  <c:v>-4.3283329999999998</c:v>
                </c:pt>
                <c:pt idx="5503">
                  <c:v>-4.2319440000000004</c:v>
                </c:pt>
                <c:pt idx="5505">
                  <c:v>-4.3308330000000002</c:v>
                </c:pt>
                <c:pt idx="5506">
                  <c:v>-4.3741669999999999</c:v>
                </c:pt>
                <c:pt idx="5507">
                  <c:v>-4.42</c:v>
                </c:pt>
                <c:pt idx="5508">
                  <c:v>-4.4488890000000003</c:v>
                </c:pt>
                <c:pt idx="5509">
                  <c:v>-4.4461110000000001</c:v>
                </c:pt>
                <c:pt idx="5510">
                  <c:v>-4.3936109999999999</c:v>
                </c:pt>
                <c:pt idx="5511">
                  <c:v>-4.3502780000000003</c:v>
                </c:pt>
                <c:pt idx="5512">
                  <c:v>-4.2983330000000004</c:v>
                </c:pt>
                <c:pt idx="5514">
                  <c:v>-4.7619439999999997</c:v>
                </c:pt>
                <c:pt idx="5515">
                  <c:v>-4.8658330000000003</c:v>
                </c:pt>
                <c:pt idx="5516">
                  <c:v>-4.7855559999999997</c:v>
                </c:pt>
                <c:pt idx="5517">
                  <c:v>-4.6844440000000001</c:v>
                </c:pt>
                <c:pt idx="5519">
                  <c:v>-4.8397220000000001</c:v>
                </c:pt>
                <c:pt idx="5520">
                  <c:v>-4.8049999999999997</c:v>
                </c:pt>
                <c:pt idx="5522">
                  <c:v>-5.0994440000000001</c:v>
                </c:pt>
                <c:pt idx="5523">
                  <c:v>-5.1775000000000002</c:v>
                </c:pt>
                <c:pt idx="5524">
                  <c:v>-5.2219439999999997</c:v>
                </c:pt>
                <c:pt idx="5525">
                  <c:v>-5.2750000000000004</c:v>
                </c:pt>
                <c:pt idx="5526">
                  <c:v>-5.3308330000000002</c:v>
                </c:pt>
                <c:pt idx="5527">
                  <c:v>-5.4083329999999998</c:v>
                </c:pt>
                <c:pt idx="5528">
                  <c:v>-5.354444</c:v>
                </c:pt>
                <c:pt idx="5529">
                  <c:v>-5.2955560000000004</c:v>
                </c:pt>
                <c:pt idx="5530">
                  <c:v>-5.2511109999999999</c:v>
                </c:pt>
                <c:pt idx="5531">
                  <c:v>-5.2030560000000001</c:v>
                </c:pt>
                <c:pt idx="5532">
                  <c:v>-5.1236110000000004</c:v>
                </c:pt>
                <c:pt idx="5533">
                  <c:v>-5.0680560000000003</c:v>
                </c:pt>
                <c:pt idx="5535">
                  <c:v>-5.1088889999999996</c:v>
                </c:pt>
                <c:pt idx="5536">
                  <c:v>-5.1661109999999999</c:v>
                </c:pt>
                <c:pt idx="5537">
                  <c:v>-5.2383329999999999</c:v>
                </c:pt>
                <c:pt idx="5538">
                  <c:v>-5.1952780000000001</c:v>
                </c:pt>
                <c:pt idx="5539">
                  <c:v>-5.1380559999999997</c:v>
                </c:pt>
                <c:pt idx="5540">
                  <c:v>-5.0891669999999998</c:v>
                </c:pt>
                <c:pt idx="5542">
                  <c:v>-4.8952780000000002</c:v>
                </c:pt>
                <c:pt idx="5543">
                  <c:v>-4.9566670000000004</c:v>
                </c:pt>
                <c:pt idx="5544">
                  <c:v>-4.9427779999999997</c:v>
                </c:pt>
                <c:pt idx="5545">
                  <c:v>-4.8844440000000002</c:v>
                </c:pt>
                <c:pt idx="5546">
                  <c:v>-4.844722</c:v>
                </c:pt>
                <c:pt idx="5548">
                  <c:v>-4.3911110000000004</c:v>
                </c:pt>
                <c:pt idx="5549">
                  <c:v>-4.4441670000000002</c:v>
                </c:pt>
                <c:pt idx="5550">
                  <c:v>-4.4933329999999998</c:v>
                </c:pt>
                <c:pt idx="5551">
                  <c:v>-4.5538889999999999</c:v>
                </c:pt>
                <c:pt idx="5552">
                  <c:v>-4.6088889999999996</c:v>
                </c:pt>
                <c:pt idx="5553">
                  <c:v>-4.67</c:v>
                </c:pt>
                <c:pt idx="5554">
                  <c:v>-4.6402780000000003</c:v>
                </c:pt>
                <c:pt idx="5555">
                  <c:v>-4.5852779999999997</c:v>
                </c:pt>
                <c:pt idx="5556">
                  <c:v>-4.5230560000000004</c:v>
                </c:pt>
                <c:pt idx="5557">
                  <c:v>-4.4702780000000004</c:v>
                </c:pt>
                <c:pt idx="5558">
                  <c:v>-4.4233330000000004</c:v>
                </c:pt>
                <c:pt idx="5559">
                  <c:v>-4.3683329999999998</c:v>
                </c:pt>
                <c:pt idx="5561">
                  <c:v>-4.3552780000000002</c:v>
                </c:pt>
                <c:pt idx="5562">
                  <c:v>-4.4516669999999996</c:v>
                </c:pt>
                <c:pt idx="5563">
                  <c:v>-4.3758330000000001</c:v>
                </c:pt>
                <c:pt idx="5564">
                  <c:v>-4.2669439999999996</c:v>
                </c:pt>
                <c:pt idx="5566">
                  <c:v>-3.6269439999999999</c:v>
                </c:pt>
                <c:pt idx="5567">
                  <c:v>-3.5805560000000001</c:v>
                </c:pt>
                <c:pt idx="5569">
                  <c:v>-2.4750000000000001</c:v>
                </c:pt>
                <c:pt idx="5570">
                  <c:v>-2.4727779999999999</c:v>
                </c:pt>
                <c:pt idx="5572">
                  <c:v>-4.9647220000000001</c:v>
                </c:pt>
                <c:pt idx="5573">
                  <c:v>-4.9036109999999997</c:v>
                </c:pt>
                <c:pt idx="5575">
                  <c:v>-5.2833329999999998</c:v>
                </c:pt>
                <c:pt idx="5576">
                  <c:v>-5.3697220000000003</c:v>
                </c:pt>
                <c:pt idx="5577">
                  <c:v>-5.3216669999999997</c:v>
                </c:pt>
                <c:pt idx="5578">
                  <c:v>-5.2588889999999999</c:v>
                </c:pt>
                <c:pt idx="5580">
                  <c:v>-5.6494439999999999</c:v>
                </c:pt>
                <c:pt idx="5581">
                  <c:v>-5.7569439999999998</c:v>
                </c:pt>
                <c:pt idx="5582">
                  <c:v>-5.789167</c:v>
                </c:pt>
                <c:pt idx="5583">
                  <c:v>-5.7016669999999996</c:v>
                </c:pt>
                <c:pt idx="5584">
                  <c:v>-5.6019439999999996</c:v>
                </c:pt>
                <c:pt idx="5585">
                  <c:v>-5.5333329999999998</c:v>
                </c:pt>
                <c:pt idx="5587">
                  <c:v>-5.0877780000000001</c:v>
                </c:pt>
                <c:pt idx="5588">
                  <c:v>-5.12</c:v>
                </c:pt>
                <c:pt idx="5589">
                  <c:v>-5.0255559999999999</c:v>
                </c:pt>
                <c:pt idx="5591">
                  <c:v>-5.0030559999999999</c:v>
                </c:pt>
                <c:pt idx="5592">
                  <c:v>-5.0594440000000001</c:v>
                </c:pt>
                <c:pt idx="5593">
                  <c:v>-4.9488890000000003</c:v>
                </c:pt>
                <c:pt idx="5595">
                  <c:v>-5.4386109999999999</c:v>
                </c:pt>
                <c:pt idx="5596">
                  <c:v>-5.5313889999999999</c:v>
                </c:pt>
                <c:pt idx="5597">
                  <c:v>-5.5605560000000001</c:v>
                </c:pt>
                <c:pt idx="5598">
                  <c:v>-5.6105559999999999</c:v>
                </c:pt>
                <c:pt idx="5599">
                  <c:v>-5.5533330000000003</c:v>
                </c:pt>
                <c:pt idx="5600">
                  <c:v>-5.4775</c:v>
                </c:pt>
                <c:pt idx="5601">
                  <c:v>-5.4077780000000004</c:v>
                </c:pt>
                <c:pt idx="5602">
                  <c:v>-5.3305559999999996</c:v>
                </c:pt>
                <c:pt idx="5604">
                  <c:v>-5.4733330000000002</c:v>
                </c:pt>
                <c:pt idx="5605">
                  <c:v>-5.4577780000000002</c:v>
                </c:pt>
                <c:pt idx="5606">
                  <c:v>-5.4258329999999999</c:v>
                </c:pt>
                <c:pt idx="5608">
                  <c:v>-4.3233329999999999</c:v>
                </c:pt>
                <c:pt idx="5609">
                  <c:v>-4.3805560000000003</c:v>
                </c:pt>
                <c:pt idx="5610">
                  <c:v>-4.3597219999999997</c:v>
                </c:pt>
                <c:pt idx="5611">
                  <c:v>-4.2986110000000002</c:v>
                </c:pt>
                <c:pt idx="5612">
                  <c:v>-4.2097220000000002</c:v>
                </c:pt>
                <c:pt idx="5614">
                  <c:v>-4.0466670000000002</c:v>
                </c:pt>
                <c:pt idx="5616">
                  <c:v>-4.4869440000000003</c:v>
                </c:pt>
                <c:pt idx="5617">
                  <c:v>-4.5594440000000001</c:v>
                </c:pt>
                <c:pt idx="5618">
                  <c:v>-4.6219440000000001</c:v>
                </c:pt>
                <c:pt idx="5619">
                  <c:v>-4.708056</c:v>
                </c:pt>
                <c:pt idx="5620">
                  <c:v>-4.6802780000000004</c:v>
                </c:pt>
                <c:pt idx="5621">
                  <c:v>-4.6005560000000001</c:v>
                </c:pt>
                <c:pt idx="5622">
                  <c:v>-4.5333329999999998</c:v>
                </c:pt>
                <c:pt idx="5623">
                  <c:v>-4.4566670000000004</c:v>
                </c:pt>
                <c:pt idx="5624">
                  <c:v>-4.4011110000000002</c:v>
                </c:pt>
                <c:pt idx="5626">
                  <c:v>-4.3680560000000002</c:v>
                </c:pt>
                <c:pt idx="5627">
                  <c:v>-4.3430559999999998</c:v>
                </c:pt>
                <c:pt idx="5629">
                  <c:v>-4.1583329999999998</c:v>
                </c:pt>
                <c:pt idx="5630">
                  <c:v>-4.1241669999999999</c:v>
                </c:pt>
                <c:pt idx="5632">
                  <c:v>-7.2975000000000003</c:v>
                </c:pt>
                <c:pt idx="5633">
                  <c:v>-7.2880560000000001</c:v>
                </c:pt>
                <c:pt idx="5635">
                  <c:v>8.2227779999999999</c:v>
                </c:pt>
                <c:pt idx="5636">
                  <c:v>8.2058330000000002</c:v>
                </c:pt>
                <c:pt idx="5638">
                  <c:v>8.6119439999999994</c:v>
                </c:pt>
                <c:pt idx="5639">
                  <c:v>8.7886109999999995</c:v>
                </c:pt>
                <c:pt idx="5640">
                  <c:v>8.9605560000000004</c:v>
                </c:pt>
                <c:pt idx="5641">
                  <c:v>8.9344439999999992</c:v>
                </c:pt>
                <c:pt idx="5642">
                  <c:v>8.7663890000000002</c:v>
                </c:pt>
                <c:pt idx="5643">
                  <c:v>8.5905559999999994</c:v>
                </c:pt>
                <c:pt idx="5644">
                  <c:v>8.4544440000000005</c:v>
                </c:pt>
                <c:pt idx="5646">
                  <c:v>8.5936109999999992</c:v>
                </c:pt>
                <c:pt idx="5647">
                  <c:v>8.7730560000000004</c:v>
                </c:pt>
                <c:pt idx="5648">
                  <c:v>8.9352780000000003</c:v>
                </c:pt>
                <c:pt idx="5649">
                  <c:v>8.8894439999999992</c:v>
                </c:pt>
                <c:pt idx="5650">
                  <c:v>8.7555560000000003</c:v>
                </c:pt>
                <c:pt idx="5651">
                  <c:v>8.5877780000000001</c:v>
                </c:pt>
                <c:pt idx="5652">
                  <c:v>8.3949999999999996</c:v>
                </c:pt>
                <c:pt idx="5653">
                  <c:v>8.3391669999999998</c:v>
                </c:pt>
                <c:pt idx="5655">
                  <c:v>8.08</c:v>
                </c:pt>
                <c:pt idx="5656">
                  <c:v>8.1319440000000007</c:v>
                </c:pt>
                <c:pt idx="5657">
                  <c:v>7.990278</c:v>
                </c:pt>
                <c:pt idx="5658">
                  <c:v>7.9497220000000004</c:v>
                </c:pt>
                <c:pt idx="5660">
                  <c:v>8.6916670000000007</c:v>
                </c:pt>
                <c:pt idx="5661">
                  <c:v>8.8252780000000008</c:v>
                </c:pt>
                <c:pt idx="5662">
                  <c:v>8.8713890000000006</c:v>
                </c:pt>
                <c:pt idx="5663">
                  <c:v>8.8249999999999993</c:v>
                </c:pt>
                <c:pt idx="5664">
                  <c:v>8.7438889999999994</c:v>
                </c:pt>
                <c:pt idx="5665">
                  <c:v>8.5744439999999997</c:v>
                </c:pt>
                <c:pt idx="5667">
                  <c:v>8.2769440000000003</c:v>
                </c:pt>
                <c:pt idx="5668">
                  <c:v>8.2050000000000001</c:v>
                </c:pt>
                <c:pt idx="5669">
                  <c:v>8.1852780000000003</c:v>
                </c:pt>
                <c:pt idx="5671">
                  <c:v>8.8638890000000004</c:v>
                </c:pt>
                <c:pt idx="5672">
                  <c:v>8.9313889999999994</c:v>
                </c:pt>
                <c:pt idx="5673">
                  <c:v>8.9586109999999994</c:v>
                </c:pt>
                <c:pt idx="5674">
                  <c:v>8.8777779999999993</c:v>
                </c:pt>
                <c:pt idx="5675">
                  <c:v>8.7850000000000001</c:v>
                </c:pt>
                <c:pt idx="5676">
                  <c:v>8.7797219999999996</c:v>
                </c:pt>
                <c:pt idx="5678">
                  <c:v>8.8183330000000009</c:v>
                </c:pt>
                <c:pt idx="5679">
                  <c:v>8.7291670000000003</c:v>
                </c:pt>
                <c:pt idx="5680">
                  <c:v>8.6827780000000008</c:v>
                </c:pt>
                <c:pt idx="5681">
                  <c:v>8.8125</c:v>
                </c:pt>
                <c:pt idx="5683">
                  <c:v>8.7872219999999999</c:v>
                </c:pt>
                <c:pt idx="5684">
                  <c:v>8.7308330000000005</c:v>
                </c:pt>
                <c:pt idx="5685">
                  <c:v>8.8919440000000005</c:v>
                </c:pt>
                <c:pt idx="5687">
                  <c:v>8.4713890000000003</c:v>
                </c:pt>
                <c:pt idx="5688">
                  <c:v>8.4738889999999998</c:v>
                </c:pt>
                <c:pt idx="5689">
                  <c:v>8.4911110000000001</c:v>
                </c:pt>
                <c:pt idx="5690">
                  <c:v>8.4555559999999996</c:v>
                </c:pt>
                <c:pt idx="5691">
                  <c:v>8.4477779999999996</c:v>
                </c:pt>
                <c:pt idx="5692">
                  <c:v>8.4219439999999999</c:v>
                </c:pt>
                <c:pt idx="5693">
                  <c:v>8.4433330000000009</c:v>
                </c:pt>
                <c:pt idx="5694">
                  <c:v>8.4602780000000006</c:v>
                </c:pt>
                <c:pt idx="5696">
                  <c:v>8.1011109999999995</c:v>
                </c:pt>
                <c:pt idx="5697">
                  <c:v>8.2247219999999999</c:v>
                </c:pt>
                <c:pt idx="5698">
                  <c:v>8.2433329999999998</c:v>
                </c:pt>
                <c:pt idx="5699">
                  <c:v>8.1616669999999996</c:v>
                </c:pt>
                <c:pt idx="5700">
                  <c:v>8.0625</c:v>
                </c:pt>
                <c:pt idx="5701">
                  <c:v>8.0416670000000003</c:v>
                </c:pt>
                <c:pt idx="5703">
                  <c:v>8.2083329999999997</c:v>
                </c:pt>
                <c:pt idx="5704">
                  <c:v>8.3686109999999996</c:v>
                </c:pt>
                <c:pt idx="5705">
                  <c:v>8.3333329999999997</c:v>
                </c:pt>
                <c:pt idx="5706">
                  <c:v>8.1747219999999992</c:v>
                </c:pt>
                <c:pt idx="5707">
                  <c:v>8.0322220000000009</c:v>
                </c:pt>
                <c:pt idx="5709">
                  <c:v>7.8397220000000001</c:v>
                </c:pt>
                <c:pt idx="5710">
                  <c:v>7.9855559999999999</c:v>
                </c:pt>
                <c:pt idx="5711">
                  <c:v>7.9966670000000004</c:v>
                </c:pt>
                <c:pt idx="5712">
                  <c:v>7.8708330000000002</c:v>
                </c:pt>
                <c:pt idx="5713">
                  <c:v>7.7688889999999997</c:v>
                </c:pt>
                <c:pt idx="5715">
                  <c:v>8.0616669999999999</c:v>
                </c:pt>
                <c:pt idx="5716">
                  <c:v>8.0813889999999997</c:v>
                </c:pt>
                <c:pt idx="5717">
                  <c:v>8.2044440000000005</c:v>
                </c:pt>
                <c:pt idx="5718">
                  <c:v>8.2563890000000004</c:v>
                </c:pt>
                <c:pt idx="5719">
                  <c:v>8.1300000000000008</c:v>
                </c:pt>
                <c:pt idx="5720">
                  <c:v>8.1405560000000001</c:v>
                </c:pt>
                <c:pt idx="5721">
                  <c:v>8.1558329999999994</c:v>
                </c:pt>
                <c:pt idx="5722">
                  <c:v>8.0347220000000004</c:v>
                </c:pt>
                <c:pt idx="5723">
                  <c:v>7.9852780000000001</c:v>
                </c:pt>
                <c:pt idx="5724">
                  <c:v>7.9969440000000001</c:v>
                </c:pt>
                <c:pt idx="5725">
                  <c:v>7.9252779999999996</c:v>
                </c:pt>
                <c:pt idx="5727">
                  <c:v>7.723611</c:v>
                </c:pt>
                <c:pt idx="5728">
                  <c:v>7.69</c:v>
                </c:pt>
                <c:pt idx="5729">
                  <c:v>7.545833</c:v>
                </c:pt>
                <c:pt idx="5731">
                  <c:v>7.5588889999999997</c:v>
                </c:pt>
                <c:pt idx="5732">
                  <c:v>7.4874999999999998</c:v>
                </c:pt>
                <c:pt idx="5734">
                  <c:v>7.8072220000000003</c:v>
                </c:pt>
                <c:pt idx="5735">
                  <c:v>7.7991669999999997</c:v>
                </c:pt>
                <c:pt idx="5736">
                  <c:v>7.8002779999999996</c:v>
                </c:pt>
                <c:pt idx="5737">
                  <c:v>7.7736109999999998</c:v>
                </c:pt>
                <c:pt idx="5738">
                  <c:v>7.7941669999999998</c:v>
                </c:pt>
                <c:pt idx="5739">
                  <c:v>7.7424999999999997</c:v>
                </c:pt>
                <c:pt idx="5741">
                  <c:v>6.6886109999999999</c:v>
                </c:pt>
                <c:pt idx="5742">
                  <c:v>6.6541670000000002</c:v>
                </c:pt>
                <c:pt idx="5743">
                  <c:v>6.6269439999999999</c:v>
                </c:pt>
                <c:pt idx="5744">
                  <c:v>6.6616669999999996</c:v>
                </c:pt>
                <c:pt idx="5745">
                  <c:v>6.6602779999999999</c:v>
                </c:pt>
                <c:pt idx="5747">
                  <c:v>6.5711110000000001</c:v>
                </c:pt>
                <c:pt idx="5748">
                  <c:v>6.5530559999999998</c:v>
                </c:pt>
                <c:pt idx="5749">
                  <c:v>6.5341670000000001</c:v>
                </c:pt>
                <c:pt idx="5751">
                  <c:v>6.2725</c:v>
                </c:pt>
                <c:pt idx="5752">
                  <c:v>6.1022220000000003</c:v>
                </c:pt>
                <c:pt idx="5753">
                  <c:v>6.2794439999999998</c:v>
                </c:pt>
                <c:pt idx="5754">
                  <c:v>6.4074999999999998</c:v>
                </c:pt>
                <c:pt idx="5755">
                  <c:v>6.4772220000000003</c:v>
                </c:pt>
                <c:pt idx="5757">
                  <c:v>6.3416670000000002</c:v>
                </c:pt>
                <c:pt idx="5758">
                  <c:v>6.3047219999999999</c:v>
                </c:pt>
                <c:pt idx="5759">
                  <c:v>6.3661110000000001</c:v>
                </c:pt>
                <c:pt idx="5760">
                  <c:v>6.4055559999999998</c:v>
                </c:pt>
              </c:numCache>
            </c:numRef>
          </c:xVal>
          <c:yVal>
            <c:numRef>
              <c:f>Rect!$G$2:$G$5762</c:f>
              <c:numCache>
                <c:formatCode>General</c:formatCode>
                <c:ptCount val="5761"/>
                <c:pt idx="0">
                  <c:v>47.055833</c:v>
                </c:pt>
                <c:pt idx="1">
                  <c:v>47.092500000000001</c:v>
                </c:pt>
                <c:pt idx="2">
                  <c:v>47.117221999999998</c:v>
                </c:pt>
                <c:pt idx="3">
                  <c:v>47.128889000000001</c:v>
                </c:pt>
                <c:pt idx="4">
                  <c:v>47.148055999999997</c:v>
                </c:pt>
                <c:pt idx="5">
                  <c:v>47.171944000000003</c:v>
                </c:pt>
                <c:pt idx="6">
                  <c:v>47.226666999999999</c:v>
                </c:pt>
                <c:pt idx="7">
                  <c:v>47.273888999999997</c:v>
                </c:pt>
                <c:pt idx="8">
                  <c:v>47.282778</c:v>
                </c:pt>
                <c:pt idx="9">
                  <c:v>47.284166999999997</c:v>
                </c:pt>
                <c:pt idx="10">
                  <c:v>47.280833000000001</c:v>
                </c:pt>
                <c:pt idx="11">
                  <c:v>47.271388999999999</c:v>
                </c:pt>
                <c:pt idx="12">
                  <c:v>47.240833000000002</c:v>
                </c:pt>
                <c:pt idx="13">
                  <c:v>47.213889000000002</c:v>
                </c:pt>
                <c:pt idx="14">
                  <c:v>47.211944000000003</c:v>
                </c:pt>
                <c:pt idx="15">
                  <c:v>47.232222</c:v>
                </c:pt>
                <c:pt idx="16">
                  <c:v>47.269722000000002</c:v>
                </c:pt>
                <c:pt idx="17">
                  <c:v>47.295833000000002</c:v>
                </c:pt>
                <c:pt idx="18">
                  <c:v>47.31</c:v>
                </c:pt>
                <c:pt idx="19">
                  <c:v>47.313611000000002</c:v>
                </c:pt>
                <c:pt idx="20">
                  <c:v>47.313056000000003</c:v>
                </c:pt>
                <c:pt idx="21">
                  <c:v>47.275278</c:v>
                </c:pt>
                <c:pt idx="22">
                  <c:v>47.251389000000003</c:v>
                </c:pt>
                <c:pt idx="23">
                  <c:v>47.250833</c:v>
                </c:pt>
                <c:pt idx="24">
                  <c:v>47.280833000000001</c:v>
                </c:pt>
                <c:pt idx="25">
                  <c:v>47.262500000000003</c:v>
                </c:pt>
                <c:pt idx="26">
                  <c:v>47.283332999999999</c:v>
                </c:pt>
                <c:pt idx="27">
                  <c:v>47.305</c:v>
                </c:pt>
                <c:pt idx="28">
                  <c:v>47.288333000000002</c:v>
                </c:pt>
                <c:pt idx="29">
                  <c:v>47.328611000000002</c:v>
                </c:pt>
                <c:pt idx="30">
                  <c:v>47.318333000000003</c:v>
                </c:pt>
                <c:pt idx="31">
                  <c:v>47.364722</c:v>
                </c:pt>
                <c:pt idx="32">
                  <c:v>47.387500000000003</c:v>
                </c:pt>
                <c:pt idx="33">
                  <c:v>47.417499999999997</c:v>
                </c:pt>
                <c:pt idx="34">
                  <c:v>47.409166999999997</c:v>
                </c:pt>
                <c:pt idx="35">
                  <c:v>47.421666999999999</c:v>
                </c:pt>
                <c:pt idx="36">
                  <c:v>47.448056000000001</c:v>
                </c:pt>
                <c:pt idx="37">
                  <c:v>47.472222000000002</c:v>
                </c:pt>
                <c:pt idx="38">
                  <c:v>47.495277999999999</c:v>
                </c:pt>
                <c:pt idx="39">
                  <c:v>47.5</c:v>
                </c:pt>
                <c:pt idx="40">
                  <c:v>47.502777999999999</c:v>
                </c:pt>
                <c:pt idx="41">
                  <c:v>47.521388999999999</c:v>
                </c:pt>
                <c:pt idx="42">
                  <c:v>47.519167000000003</c:v>
                </c:pt>
                <c:pt idx="43">
                  <c:v>47.514721999999999</c:v>
                </c:pt>
                <c:pt idx="44">
                  <c:v>47.547778000000001</c:v>
                </c:pt>
                <c:pt idx="45">
                  <c:v>47.534166999999997</c:v>
                </c:pt>
                <c:pt idx="46">
                  <c:v>47.517499999999998</c:v>
                </c:pt>
                <c:pt idx="47">
                  <c:v>47.507221999999999</c:v>
                </c:pt>
                <c:pt idx="48">
                  <c:v>47.488889</c:v>
                </c:pt>
                <c:pt idx="49">
                  <c:v>47.519722000000002</c:v>
                </c:pt>
                <c:pt idx="50">
                  <c:v>47.547499999999999</c:v>
                </c:pt>
                <c:pt idx="51">
                  <c:v>47.562778000000002</c:v>
                </c:pt>
                <c:pt idx="52">
                  <c:v>47.546111000000003</c:v>
                </c:pt>
                <c:pt idx="53">
                  <c:v>47.553888999999998</c:v>
                </c:pt>
                <c:pt idx="54">
                  <c:v>47.556111000000001</c:v>
                </c:pt>
                <c:pt idx="55">
                  <c:v>47.592500000000001</c:v>
                </c:pt>
                <c:pt idx="56">
                  <c:v>47.638055999999999</c:v>
                </c:pt>
                <c:pt idx="57">
                  <c:v>47.607778000000003</c:v>
                </c:pt>
                <c:pt idx="58">
                  <c:v>47.609444000000003</c:v>
                </c:pt>
                <c:pt idx="59">
                  <c:v>47.618889000000003</c:v>
                </c:pt>
                <c:pt idx="60">
                  <c:v>47.639721999999999</c:v>
                </c:pt>
                <c:pt idx="61">
                  <c:v>47.622222000000001</c:v>
                </c:pt>
                <c:pt idx="62">
                  <c:v>47.603889000000002</c:v>
                </c:pt>
                <c:pt idx="63">
                  <c:v>47.591667000000001</c:v>
                </c:pt>
                <c:pt idx="64">
                  <c:v>47.613889</c:v>
                </c:pt>
                <c:pt idx="65">
                  <c:v>47.650832999999999</c:v>
                </c:pt>
                <c:pt idx="66">
                  <c:v>47.618333</c:v>
                </c:pt>
                <c:pt idx="67">
                  <c:v>47.573889000000001</c:v>
                </c:pt>
                <c:pt idx="68">
                  <c:v>47.569167</c:v>
                </c:pt>
                <c:pt idx="69">
                  <c:v>47.573332999999998</c:v>
                </c:pt>
                <c:pt idx="70">
                  <c:v>47.600555999999997</c:v>
                </c:pt>
                <c:pt idx="71">
                  <c:v>47.575277999999997</c:v>
                </c:pt>
                <c:pt idx="72">
                  <c:v>47.588332999999999</c:v>
                </c:pt>
                <c:pt idx="73">
                  <c:v>47.567777999999997</c:v>
                </c:pt>
                <c:pt idx="74">
                  <c:v>47.508889000000003</c:v>
                </c:pt>
                <c:pt idx="75">
                  <c:v>47.473610999999998</c:v>
                </c:pt>
                <c:pt idx="76">
                  <c:v>47.496943999999999</c:v>
                </c:pt>
                <c:pt idx="77">
                  <c:v>47.546666999999999</c:v>
                </c:pt>
                <c:pt idx="78">
                  <c:v>47.603056000000002</c:v>
                </c:pt>
                <c:pt idx="79">
                  <c:v>47.635556000000001</c:v>
                </c:pt>
                <c:pt idx="80">
                  <c:v>47.680833</c:v>
                </c:pt>
                <c:pt idx="81">
                  <c:v>47.698332999999998</c:v>
                </c:pt>
                <c:pt idx="82">
                  <c:v>47.728332999999999</c:v>
                </c:pt>
                <c:pt idx="83">
                  <c:v>47.743611000000001</c:v>
                </c:pt>
                <c:pt idx="84">
                  <c:v>47.715555999999999</c:v>
                </c:pt>
                <c:pt idx="85">
                  <c:v>47.695278000000002</c:v>
                </c:pt>
                <c:pt idx="86">
                  <c:v>47.650556000000002</c:v>
                </c:pt>
                <c:pt idx="87">
                  <c:v>47.680833</c:v>
                </c:pt>
                <c:pt idx="88">
                  <c:v>47.694721999999999</c:v>
                </c:pt>
                <c:pt idx="89">
                  <c:v>47.694443999999997</c:v>
                </c:pt>
                <c:pt idx="90">
                  <c:v>47.708610999999998</c:v>
                </c:pt>
                <c:pt idx="91">
                  <c:v>47.731943999999999</c:v>
                </c:pt>
                <c:pt idx="92">
                  <c:v>47.769722000000002</c:v>
                </c:pt>
                <c:pt idx="93">
                  <c:v>47.766111000000002</c:v>
                </c:pt>
                <c:pt idx="94">
                  <c:v>47.736389000000003</c:v>
                </c:pt>
                <c:pt idx="95">
                  <c:v>47.711666999999998</c:v>
                </c:pt>
                <c:pt idx="96">
                  <c:v>47.701110999999997</c:v>
                </c:pt>
                <c:pt idx="97">
                  <c:v>47.740555999999998</c:v>
                </c:pt>
                <c:pt idx="98">
                  <c:v>47.768889000000001</c:v>
                </c:pt>
                <c:pt idx="99">
                  <c:v>47.777777999999998</c:v>
                </c:pt>
                <c:pt idx="100">
                  <c:v>47.793610999999999</c:v>
                </c:pt>
                <c:pt idx="101">
                  <c:v>47.800277999999999</c:v>
                </c:pt>
                <c:pt idx="102">
                  <c:v>47.801389</c:v>
                </c:pt>
                <c:pt idx="103">
                  <c:v>47.821944000000002</c:v>
                </c:pt>
                <c:pt idx="104">
                  <c:v>47.856943999999999</c:v>
                </c:pt>
                <c:pt idx="105">
                  <c:v>47.889443999999997</c:v>
                </c:pt>
                <c:pt idx="106">
                  <c:v>47.889721999999999</c:v>
                </c:pt>
                <c:pt idx="107">
                  <c:v>47.851944000000003</c:v>
                </c:pt>
                <c:pt idx="108">
                  <c:v>47.863332999999997</c:v>
                </c:pt>
                <c:pt idx="109">
                  <c:v>47.869444000000001</c:v>
                </c:pt>
                <c:pt idx="110">
                  <c:v>47.898333000000001</c:v>
                </c:pt>
                <c:pt idx="111">
                  <c:v>47.896943999999998</c:v>
                </c:pt>
                <c:pt idx="112">
                  <c:v>47.861666999999997</c:v>
                </c:pt>
                <c:pt idx="113">
                  <c:v>47.881388999999999</c:v>
                </c:pt>
                <c:pt idx="114">
                  <c:v>47.838889000000002</c:v>
                </c:pt>
                <c:pt idx="115">
                  <c:v>47.804167</c:v>
                </c:pt>
                <c:pt idx="116">
                  <c:v>47.795000000000002</c:v>
                </c:pt>
                <c:pt idx="117">
                  <c:v>47.803888999999998</c:v>
                </c:pt>
                <c:pt idx="118">
                  <c:v>47.834167000000001</c:v>
                </c:pt>
                <c:pt idx="119">
                  <c:v>47.884999999999998</c:v>
                </c:pt>
                <c:pt idx="120">
                  <c:v>47.931111000000001</c:v>
                </c:pt>
                <c:pt idx="121">
                  <c:v>47.97</c:v>
                </c:pt>
                <c:pt idx="122">
                  <c:v>48.001944000000002</c:v>
                </c:pt>
                <c:pt idx="123">
                  <c:v>48.015000000000001</c:v>
                </c:pt>
                <c:pt idx="124">
                  <c:v>48.020833000000003</c:v>
                </c:pt>
                <c:pt idx="125">
                  <c:v>48.03</c:v>
                </c:pt>
                <c:pt idx="127">
                  <c:v>48.066943999999999</c:v>
                </c:pt>
                <c:pt idx="128">
                  <c:v>48.076110999999997</c:v>
                </c:pt>
                <c:pt idx="129">
                  <c:v>48.088332999999999</c:v>
                </c:pt>
                <c:pt idx="130">
                  <c:v>48.100555999999997</c:v>
                </c:pt>
                <c:pt idx="131">
                  <c:v>48.112499999999997</c:v>
                </c:pt>
                <c:pt idx="132">
                  <c:v>48.101388999999998</c:v>
                </c:pt>
                <c:pt idx="133">
                  <c:v>48.155555999999997</c:v>
                </c:pt>
                <c:pt idx="134">
                  <c:v>48.201388999999999</c:v>
                </c:pt>
                <c:pt idx="135">
                  <c:v>48.220278</c:v>
                </c:pt>
                <c:pt idx="136">
                  <c:v>48.240555999999998</c:v>
                </c:pt>
                <c:pt idx="137">
                  <c:v>48.225555999999997</c:v>
                </c:pt>
                <c:pt idx="138">
                  <c:v>48.182499999999997</c:v>
                </c:pt>
                <c:pt idx="139">
                  <c:v>48.207777999999998</c:v>
                </c:pt>
                <c:pt idx="140">
                  <c:v>48.250833</c:v>
                </c:pt>
                <c:pt idx="141">
                  <c:v>48.266388999999997</c:v>
                </c:pt>
                <c:pt idx="142">
                  <c:v>48.284999999999997</c:v>
                </c:pt>
                <c:pt idx="143">
                  <c:v>48.323056000000001</c:v>
                </c:pt>
                <c:pt idx="144">
                  <c:v>48.331944</c:v>
                </c:pt>
                <c:pt idx="145">
                  <c:v>48.29</c:v>
                </c:pt>
                <c:pt idx="146">
                  <c:v>48.291389000000002</c:v>
                </c:pt>
                <c:pt idx="147">
                  <c:v>48.283611000000001</c:v>
                </c:pt>
                <c:pt idx="148">
                  <c:v>48.293610999999999</c:v>
                </c:pt>
                <c:pt idx="149">
                  <c:v>48.292222000000002</c:v>
                </c:pt>
                <c:pt idx="150">
                  <c:v>48.295555999999998</c:v>
                </c:pt>
                <c:pt idx="151">
                  <c:v>48.303333000000002</c:v>
                </c:pt>
                <c:pt idx="152">
                  <c:v>48.314444000000002</c:v>
                </c:pt>
                <c:pt idx="153">
                  <c:v>48.325277999999997</c:v>
                </c:pt>
                <c:pt idx="154">
                  <c:v>48.356389</c:v>
                </c:pt>
                <c:pt idx="155">
                  <c:v>48.351944000000003</c:v>
                </c:pt>
                <c:pt idx="156">
                  <c:v>48.336666999999998</c:v>
                </c:pt>
                <c:pt idx="157">
                  <c:v>48.340833000000003</c:v>
                </c:pt>
                <c:pt idx="158">
                  <c:v>48.350555999999997</c:v>
                </c:pt>
                <c:pt idx="159">
                  <c:v>48.387222000000001</c:v>
                </c:pt>
                <c:pt idx="160">
                  <c:v>48.408056000000002</c:v>
                </c:pt>
                <c:pt idx="161">
                  <c:v>48.418056</c:v>
                </c:pt>
                <c:pt idx="162">
                  <c:v>48.399166999999998</c:v>
                </c:pt>
                <c:pt idx="163">
                  <c:v>48.384166999999998</c:v>
                </c:pt>
                <c:pt idx="164">
                  <c:v>48.361944000000001</c:v>
                </c:pt>
                <c:pt idx="165">
                  <c:v>48.343611000000003</c:v>
                </c:pt>
                <c:pt idx="166">
                  <c:v>48.355832999999997</c:v>
                </c:pt>
                <c:pt idx="167">
                  <c:v>48.333333000000003</c:v>
                </c:pt>
                <c:pt idx="168">
                  <c:v>48.371943999999999</c:v>
                </c:pt>
                <c:pt idx="169">
                  <c:v>48.412222</c:v>
                </c:pt>
                <c:pt idx="170">
                  <c:v>48.459167000000001</c:v>
                </c:pt>
                <c:pt idx="171">
                  <c:v>48.484721999999998</c:v>
                </c:pt>
                <c:pt idx="172">
                  <c:v>48.533056000000002</c:v>
                </c:pt>
                <c:pt idx="173">
                  <c:v>48.555278000000001</c:v>
                </c:pt>
                <c:pt idx="174">
                  <c:v>48.575833000000003</c:v>
                </c:pt>
                <c:pt idx="175">
                  <c:v>48.560277999999997</c:v>
                </c:pt>
                <c:pt idx="176">
                  <c:v>48.592500000000001</c:v>
                </c:pt>
                <c:pt idx="177">
                  <c:v>48.595556000000002</c:v>
                </c:pt>
                <c:pt idx="178">
                  <c:v>48.6175</c:v>
                </c:pt>
                <c:pt idx="179">
                  <c:v>48.631943999999997</c:v>
                </c:pt>
                <c:pt idx="180">
                  <c:v>48.635278</c:v>
                </c:pt>
                <c:pt idx="181">
                  <c:v>48.653610999999998</c:v>
                </c:pt>
                <c:pt idx="182">
                  <c:v>48.675556</c:v>
                </c:pt>
                <c:pt idx="183">
                  <c:v>48.648611000000002</c:v>
                </c:pt>
                <c:pt idx="184">
                  <c:v>48.648611000000002</c:v>
                </c:pt>
                <c:pt idx="185">
                  <c:v>48.653888999999999</c:v>
                </c:pt>
                <c:pt idx="186">
                  <c:v>48.684443999999999</c:v>
                </c:pt>
                <c:pt idx="187">
                  <c:v>48.695278000000002</c:v>
                </c:pt>
                <c:pt idx="188">
                  <c:v>48.687778000000002</c:v>
                </c:pt>
                <c:pt idx="189">
                  <c:v>48.719721999999997</c:v>
                </c:pt>
                <c:pt idx="190">
                  <c:v>48.71</c:v>
                </c:pt>
                <c:pt idx="191">
                  <c:v>48.663888999999998</c:v>
                </c:pt>
                <c:pt idx="192">
                  <c:v>48.678888999999998</c:v>
                </c:pt>
                <c:pt idx="193">
                  <c:v>48.646667000000001</c:v>
                </c:pt>
                <c:pt idx="194">
                  <c:v>48.651944</c:v>
                </c:pt>
                <c:pt idx="195">
                  <c:v>48.673333</c:v>
                </c:pt>
                <c:pt idx="196">
                  <c:v>48.710278000000002</c:v>
                </c:pt>
                <c:pt idx="197">
                  <c:v>48.716667000000001</c:v>
                </c:pt>
                <c:pt idx="198">
                  <c:v>48.707777999999998</c:v>
                </c:pt>
                <c:pt idx="199">
                  <c:v>48.701388999999999</c:v>
                </c:pt>
                <c:pt idx="200">
                  <c:v>48.681944000000001</c:v>
                </c:pt>
                <c:pt idx="201">
                  <c:v>48.701388999999999</c:v>
                </c:pt>
                <c:pt idx="202">
                  <c:v>48.735833</c:v>
                </c:pt>
                <c:pt idx="203">
                  <c:v>48.765000000000001</c:v>
                </c:pt>
                <c:pt idx="204">
                  <c:v>48.801667000000002</c:v>
                </c:pt>
                <c:pt idx="205">
                  <c:v>48.837221999999997</c:v>
                </c:pt>
                <c:pt idx="206">
                  <c:v>48.832777999999998</c:v>
                </c:pt>
                <c:pt idx="207">
                  <c:v>48.806944000000001</c:v>
                </c:pt>
                <c:pt idx="208">
                  <c:v>48.825277999999997</c:v>
                </c:pt>
                <c:pt idx="209">
                  <c:v>48.837221999999997</c:v>
                </c:pt>
                <c:pt idx="210">
                  <c:v>48.857778000000003</c:v>
                </c:pt>
                <c:pt idx="211">
                  <c:v>48.842778000000003</c:v>
                </c:pt>
                <c:pt idx="212">
                  <c:v>48.795555999999998</c:v>
                </c:pt>
                <c:pt idx="213">
                  <c:v>48.84</c:v>
                </c:pt>
                <c:pt idx="214">
                  <c:v>48.859721999999998</c:v>
                </c:pt>
                <c:pt idx="215">
                  <c:v>48.860278000000001</c:v>
                </c:pt>
                <c:pt idx="216">
                  <c:v>48.813333</c:v>
                </c:pt>
                <c:pt idx="217">
                  <c:v>48.765555999999997</c:v>
                </c:pt>
                <c:pt idx="218">
                  <c:v>48.784999999999997</c:v>
                </c:pt>
                <c:pt idx="219">
                  <c:v>48.823056000000001</c:v>
                </c:pt>
                <c:pt idx="220">
                  <c:v>48.803055999999998</c:v>
                </c:pt>
                <c:pt idx="221">
                  <c:v>48.783889000000002</c:v>
                </c:pt>
                <c:pt idx="222">
                  <c:v>48.765555999999997</c:v>
                </c:pt>
                <c:pt idx="223">
                  <c:v>48.738056</c:v>
                </c:pt>
                <c:pt idx="224">
                  <c:v>48.703333000000001</c:v>
                </c:pt>
                <c:pt idx="225">
                  <c:v>48.671388999999998</c:v>
                </c:pt>
                <c:pt idx="226">
                  <c:v>48.623888999999998</c:v>
                </c:pt>
                <c:pt idx="227">
                  <c:v>48.586111000000002</c:v>
                </c:pt>
                <c:pt idx="228">
                  <c:v>48.559443999999999</c:v>
                </c:pt>
                <c:pt idx="229">
                  <c:v>48.524166999999998</c:v>
                </c:pt>
                <c:pt idx="230">
                  <c:v>48.523611000000002</c:v>
                </c:pt>
                <c:pt idx="231">
                  <c:v>48.539444000000003</c:v>
                </c:pt>
                <c:pt idx="232">
                  <c:v>48.575277999999997</c:v>
                </c:pt>
                <c:pt idx="233">
                  <c:v>48.601388999999998</c:v>
                </c:pt>
                <c:pt idx="234">
                  <c:v>48.633056000000003</c:v>
                </c:pt>
                <c:pt idx="235">
                  <c:v>48.653333000000003</c:v>
                </c:pt>
                <c:pt idx="236">
                  <c:v>48.651111</c:v>
                </c:pt>
                <c:pt idx="237">
                  <c:v>48.680556000000003</c:v>
                </c:pt>
                <c:pt idx="239">
                  <c:v>48.658332999999999</c:v>
                </c:pt>
                <c:pt idx="240">
                  <c:v>48.617221999999998</c:v>
                </c:pt>
                <c:pt idx="241">
                  <c:v>48.641388999999997</c:v>
                </c:pt>
                <c:pt idx="242">
                  <c:v>48.615833000000002</c:v>
                </c:pt>
                <c:pt idx="243">
                  <c:v>48.580832999999998</c:v>
                </c:pt>
                <c:pt idx="244">
                  <c:v>48.586111000000002</c:v>
                </c:pt>
                <c:pt idx="245">
                  <c:v>48.610556000000003</c:v>
                </c:pt>
                <c:pt idx="246">
                  <c:v>48.621667000000002</c:v>
                </c:pt>
                <c:pt idx="247">
                  <c:v>48.642221999999997</c:v>
                </c:pt>
                <c:pt idx="248">
                  <c:v>48.628332999999998</c:v>
                </c:pt>
                <c:pt idx="249">
                  <c:v>48.583055999999999</c:v>
                </c:pt>
                <c:pt idx="250">
                  <c:v>48.541389000000002</c:v>
                </c:pt>
                <c:pt idx="251">
                  <c:v>48.524721999999997</c:v>
                </c:pt>
                <c:pt idx="252">
                  <c:v>48.554443999999997</c:v>
                </c:pt>
                <c:pt idx="253">
                  <c:v>48.573611</c:v>
                </c:pt>
                <c:pt idx="254">
                  <c:v>48.600833000000002</c:v>
                </c:pt>
                <c:pt idx="255">
                  <c:v>48.645000000000003</c:v>
                </c:pt>
                <c:pt idx="256">
                  <c:v>48.678055999999998</c:v>
                </c:pt>
                <c:pt idx="257">
                  <c:v>48.694443999999997</c:v>
                </c:pt>
                <c:pt idx="258">
                  <c:v>48.699722000000001</c:v>
                </c:pt>
                <c:pt idx="259">
                  <c:v>48.681944000000001</c:v>
                </c:pt>
                <c:pt idx="260">
                  <c:v>48.638333000000003</c:v>
                </c:pt>
                <c:pt idx="261">
                  <c:v>48.610833</c:v>
                </c:pt>
                <c:pt idx="262">
                  <c:v>48.611111000000001</c:v>
                </c:pt>
                <c:pt idx="263">
                  <c:v>48.617778000000001</c:v>
                </c:pt>
                <c:pt idx="264">
                  <c:v>48.640278000000002</c:v>
                </c:pt>
                <c:pt idx="265">
                  <c:v>48.632221999999999</c:v>
                </c:pt>
                <c:pt idx="266">
                  <c:v>48.646110999999998</c:v>
                </c:pt>
                <c:pt idx="267">
                  <c:v>48.655000000000001</c:v>
                </c:pt>
                <c:pt idx="268">
                  <c:v>48.663611000000003</c:v>
                </c:pt>
                <c:pt idx="269">
                  <c:v>48.6875</c:v>
                </c:pt>
                <c:pt idx="270">
                  <c:v>48.727499999999999</c:v>
                </c:pt>
                <c:pt idx="271">
                  <c:v>48.769722000000002</c:v>
                </c:pt>
                <c:pt idx="272">
                  <c:v>48.828333000000001</c:v>
                </c:pt>
                <c:pt idx="273">
                  <c:v>48.853611000000001</c:v>
                </c:pt>
                <c:pt idx="274">
                  <c:v>48.91</c:v>
                </c:pt>
                <c:pt idx="275">
                  <c:v>48.942222000000001</c:v>
                </c:pt>
                <c:pt idx="276">
                  <c:v>48.993056000000003</c:v>
                </c:pt>
                <c:pt idx="277">
                  <c:v>49.028333000000003</c:v>
                </c:pt>
                <c:pt idx="278">
                  <c:v>49.033332999999999</c:v>
                </c:pt>
                <c:pt idx="279">
                  <c:v>49.026111</c:v>
                </c:pt>
                <c:pt idx="280">
                  <c:v>49.078333000000001</c:v>
                </c:pt>
                <c:pt idx="281">
                  <c:v>49.127499999999998</c:v>
                </c:pt>
                <c:pt idx="282">
                  <c:v>49.146388999999999</c:v>
                </c:pt>
                <c:pt idx="283">
                  <c:v>49.201943999999997</c:v>
                </c:pt>
                <c:pt idx="284">
                  <c:v>49.216667000000001</c:v>
                </c:pt>
                <c:pt idx="285">
                  <c:v>49.230832999999997</c:v>
                </c:pt>
                <c:pt idx="286">
                  <c:v>49.246667000000002</c:v>
                </c:pt>
                <c:pt idx="287">
                  <c:v>49.289444000000003</c:v>
                </c:pt>
                <c:pt idx="288">
                  <c:v>49.325833000000003</c:v>
                </c:pt>
                <c:pt idx="289">
                  <c:v>49.348610999999998</c:v>
                </c:pt>
                <c:pt idx="290">
                  <c:v>49.356943999999999</c:v>
                </c:pt>
                <c:pt idx="291">
                  <c:v>49.375</c:v>
                </c:pt>
                <c:pt idx="292">
                  <c:v>49.420555999999998</c:v>
                </c:pt>
                <c:pt idx="293">
                  <c:v>49.471111000000001</c:v>
                </c:pt>
                <c:pt idx="294">
                  <c:v>49.517778</c:v>
                </c:pt>
                <c:pt idx="295">
                  <c:v>49.56</c:v>
                </c:pt>
                <c:pt idx="296">
                  <c:v>49.613610999999999</c:v>
                </c:pt>
                <c:pt idx="297">
                  <c:v>49.66</c:v>
                </c:pt>
                <c:pt idx="298">
                  <c:v>49.683056000000001</c:v>
                </c:pt>
                <c:pt idx="299">
                  <c:v>49.726666999999999</c:v>
                </c:pt>
                <c:pt idx="300">
                  <c:v>49.713332999999999</c:v>
                </c:pt>
                <c:pt idx="301">
                  <c:v>49.689722000000003</c:v>
                </c:pt>
                <c:pt idx="302">
                  <c:v>49.678333000000002</c:v>
                </c:pt>
                <c:pt idx="303">
                  <c:v>49.658889000000002</c:v>
                </c:pt>
                <c:pt idx="304">
                  <c:v>49.658889000000002</c:v>
                </c:pt>
                <c:pt idx="305">
                  <c:v>49.666666999999997</c:v>
                </c:pt>
                <c:pt idx="306">
                  <c:v>49.699722000000001</c:v>
                </c:pt>
                <c:pt idx="307">
                  <c:v>49.703888999999997</c:v>
                </c:pt>
                <c:pt idx="308">
                  <c:v>49.695278000000002</c:v>
                </c:pt>
                <c:pt idx="309">
                  <c:v>49.651944</c:v>
                </c:pt>
                <c:pt idx="310">
                  <c:v>49.615000000000002</c:v>
                </c:pt>
                <c:pt idx="311">
                  <c:v>49.581667000000003</c:v>
                </c:pt>
                <c:pt idx="312">
                  <c:v>49.527777999999998</c:v>
                </c:pt>
                <c:pt idx="313">
                  <c:v>49.484999999999999</c:v>
                </c:pt>
                <c:pt idx="314">
                  <c:v>49.446111000000002</c:v>
                </c:pt>
                <c:pt idx="315">
                  <c:v>49.406666999999999</c:v>
                </c:pt>
                <c:pt idx="316">
                  <c:v>49.358055999999998</c:v>
                </c:pt>
                <c:pt idx="317">
                  <c:v>49.343888999999997</c:v>
                </c:pt>
                <c:pt idx="318">
                  <c:v>49.370832999999998</c:v>
                </c:pt>
                <c:pt idx="319">
                  <c:v>49.391388999999997</c:v>
                </c:pt>
                <c:pt idx="320">
                  <c:v>49.395555999999999</c:v>
                </c:pt>
                <c:pt idx="321">
                  <c:v>49.371667000000002</c:v>
                </c:pt>
                <c:pt idx="322">
                  <c:v>49.358611000000003</c:v>
                </c:pt>
                <c:pt idx="323">
                  <c:v>49.35</c:v>
                </c:pt>
                <c:pt idx="324">
                  <c:v>49.343333000000001</c:v>
                </c:pt>
                <c:pt idx="325">
                  <c:v>49.348610999999998</c:v>
                </c:pt>
                <c:pt idx="326">
                  <c:v>49.341943999999998</c:v>
                </c:pt>
                <c:pt idx="327">
                  <c:v>49.319443999999997</c:v>
                </c:pt>
                <c:pt idx="328">
                  <c:v>49.297499999999999</c:v>
                </c:pt>
                <c:pt idx="329">
                  <c:v>49.275278</c:v>
                </c:pt>
                <c:pt idx="331">
                  <c:v>49.294722</c:v>
                </c:pt>
                <c:pt idx="332">
                  <c:v>49.305556000000003</c:v>
                </c:pt>
                <c:pt idx="333">
                  <c:v>49.327500000000001</c:v>
                </c:pt>
                <c:pt idx="334">
                  <c:v>49.351944000000003</c:v>
                </c:pt>
                <c:pt idx="335">
                  <c:v>49.388888999999999</c:v>
                </c:pt>
                <c:pt idx="336">
                  <c:v>49.414721999999998</c:v>
                </c:pt>
                <c:pt idx="337">
                  <c:v>49.428888999999998</c:v>
                </c:pt>
                <c:pt idx="338">
                  <c:v>49.435833000000002</c:v>
                </c:pt>
                <c:pt idx="339">
                  <c:v>49.449444</c:v>
                </c:pt>
                <c:pt idx="340">
                  <c:v>49.476111000000003</c:v>
                </c:pt>
                <c:pt idx="341">
                  <c:v>49.474443999999998</c:v>
                </c:pt>
                <c:pt idx="342">
                  <c:v>49.456667000000003</c:v>
                </c:pt>
                <c:pt idx="343">
                  <c:v>49.456111</c:v>
                </c:pt>
                <c:pt idx="344">
                  <c:v>49.473610999999998</c:v>
                </c:pt>
                <c:pt idx="345">
                  <c:v>49.477778000000001</c:v>
                </c:pt>
                <c:pt idx="346">
                  <c:v>49.504443999999999</c:v>
                </c:pt>
                <c:pt idx="347">
                  <c:v>49.550556</c:v>
                </c:pt>
                <c:pt idx="348">
                  <c:v>49.597777999999998</c:v>
                </c:pt>
                <c:pt idx="349">
                  <c:v>49.648888999999997</c:v>
                </c:pt>
                <c:pt idx="350">
                  <c:v>49.702778000000002</c:v>
                </c:pt>
                <c:pt idx="351">
                  <c:v>49.726944000000003</c:v>
                </c:pt>
                <c:pt idx="352">
                  <c:v>49.746667000000002</c:v>
                </c:pt>
                <c:pt idx="353">
                  <c:v>49.774999999999999</c:v>
                </c:pt>
                <c:pt idx="354">
                  <c:v>49.795000000000002</c:v>
                </c:pt>
                <c:pt idx="355">
                  <c:v>49.820833</c:v>
                </c:pt>
                <c:pt idx="356">
                  <c:v>49.848056</c:v>
                </c:pt>
                <c:pt idx="357">
                  <c:v>49.866667</c:v>
                </c:pt>
                <c:pt idx="358">
                  <c:v>49.873610999999997</c:v>
                </c:pt>
                <c:pt idx="359">
                  <c:v>49.885832999999998</c:v>
                </c:pt>
                <c:pt idx="360">
                  <c:v>49.899721999999997</c:v>
                </c:pt>
                <c:pt idx="361">
                  <c:v>49.920555999999998</c:v>
                </c:pt>
                <c:pt idx="362">
                  <c:v>49.924999999999997</c:v>
                </c:pt>
                <c:pt idx="363">
                  <c:v>49.947778</c:v>
                </c:pt>
                <c:pt idx="364">
                  <c:v>49.968333000000001</c:v>
                </c:pt>
                <c:pt idx="365">
                  <c:v>49.997500000000002</c:v>
                </c:pt>
                <c:pt idx="366">
                  <c:v>50.031944000000003</c:v>
                </c:pt>
                <c:pt idx="367">
                  <c:v>50.064166999999998</c:v>
                </c:pt>
                <c:pt idx="368">
                  <c:v>50.094166999999999</c:v>
                </c:pt>
                <c:pt idx="369">
                  <c:v>50.138888999999999</c:v>
                </c:pt>
                <c:pt idx="370">
                  <c:v>50.192777999999997</c:v>
                </c:pt>
                <c:pt idx="371">
                  <c:v>50.218888999999997</c:v>
                </c:pt>
                <c:pt idx="372">
                  <c:v>50.192777999999997</c:v>
                </c:pt>
                <c:pt idx="373">
                  <c:v>50.203888999999997</c:v>
                </c:pt>
                <c:pt idx="374">
                  <c:v>50.227778000000001</c:v>
                </c:pt>
                <c:pt idx="375">
                  <c:v>50.262777999999997</c:v>
                </c:pt>
                <c:pt idx="376">
                  <c:v>50.296388999999998</c:v>
                </c:pt>
                <c:pt idx="377">
                  <c:v>50.36</c:v>
                </c:pt>
                <c:pt idx="378">
                  <c:v>50.380277999999997</c:v>
                </c:pt>
                <c:pt idx="379">
                  <c:v>50.417777999999998</c:v>
                </c:pt>
                <c:pt idx="380">
                  <c:v>50.480556</c:v>
                </c:pt>
                <c:pt idx="381">
                  <c:v>50.542777999999998</c:v>
                </c:pt>
                <c:pt idx="382">
                  <c:v>50.572499999999998</c:v>
                </c:pt>
                <c:pt idx="383">
                  <c:v>50.631943999999997</c:v>
                </c:pt>
                <c:pt idx="384">
                  <c:v>50.688611000000002</c:v>
                </c:pt>
                <c:pt idx="385">
                  <c:v>50.742221999999998</c:v>
                </c:pt>
                <c:pt idx="386">
                  <c:v>50.801667000000002</c:v>
                </c:pt>
                <c:pt idx="387">
                  <c:v>50.853611000000001</c:v>
                </c:pt>
                <c:pt idx="388">
                  <c:v>50.880277999999997</c:v>
                </c:pt>
                <c:pt idx="389">
                  <c:v>50.914999999999999</c:v>
                </c:pt>
                <c:pt idx="390">
                  <c:v>50.948056000000001</c:v>
                </c:pt>
                <c:pt idx="391">
                  <c:v>50.967500000000001</c:v>
                </c:pt>
                <c:pt idx="392">
                  <c:v>50.983888999999998</c:v>
                </c:pt>
                <c:pt idx="393">
                  <c:v>50.997222000000001</c:v>
                </c:pt>
                <c:pt idx="394">
                  <c:v>51.008889000000003</c:v>
                </c:pt>
                <c:pt idx="395">
                  <c:v>51.016388999999997</c:v>
                </c:pt>
                <c:pt idx="396">
                  <c:v>51.035556</c:v>
                </c:pt>
                <c:pt idx="397">
                  <c:v>51.049722000000003</c:v>
                </c:pt>
                <c:pt idx="398">
                  <c:v>51.053055999999998</c:v>
                </c:pt>
                <c:pt idx="399">
                  <c:v>51.065556000000001</c:v>
                </c:pt>
                <c:pt idx="400">
                  <c:v>51.085555999999997</c:v>
                </c:pt>
                <c:pt idx="402">
                  <c:v>51.113610999999999</c:v>
                </c:pt>
                <c:pt idx="403">
                  <c:v>51.139721999999999</c:v>
                </c:pt>
                <c:pt idx="404">
                  <c:v>51.165278000000001</c:v>
                </c:pt>
                <c:pt idx="405">
                  <c:v>51.190556000000001</c:v>
                </c:pt>
                <c:pt idx="406">
                  <c:v>51.214722000000002</c:v>
                </c:pt>
                <c:pt idx="407">
                  <c:v>51.240555999999998</c:v>
                </c:pt>
                <c:pt idx="408">
                  <c:v>51.268611</c:v>
                </c:pt>
                <c:pt idx="409">
                  <c:v>51.295278000000003</c:v>
                </c:pt>
                <c:pt idx="410">
                  <c:v>51.322778</c:v>
                </c:pt>
                <c:pt idx="411">
                  <c:v>51.34</c:v>
                </c:pt>
                <c:pt idx="412">
                  <c:v>51.354444000000001</c:v>
                </c:pt>
                <c:pt idx="413">
                  <c:v>51.370556000000001</c:v>
                </c:pt>
                <c:pt idx="414">
                  <c:v>51.391388999999997</c:v>
                </c:pt>
                <c:pt idx="415">
                  <c:v>51.408889000000002</c:v>
                </c:pt>
                <c:pt idx="416">
                  <c:v>51.393611</c:v>
                </c:pt>
                <c:pt idx="417">
                  <c:v>51.377777999999999</c:v>
                </c:pt>
                <c:pt idx="418">
                  <c:v>51.348610999999998</c:v>
                </c:pt>
                <c:pt idx="419">
                  <c:v>51.343888999999997</c:v>
                </c:pt>
                <c:pt idx="420">
                  <c:v>51.357778000000003</c:v>
                </c:pt>
                <c:pt idx="421">
                  <c:v>51.376944000000002</c:v>
                </c:pt>
                <c:pt idx="422">
                  <c:v>51.404167000000001</c:v>
                </c:pt>
                <c:pt idx="423">
                  <c:v>51.368889000000003</c:v>
                </c:pt>
                <c:pt idx="424">
                  <c:v>51.359166999999999</c:v>
                </c:pt>
                <c:pt idx="425">
                  <c:v>51.373055999999998</c:v>
                </c:pt>
                <c:pt idx="426">
                  <c:v>51.344999999999999</c:v>
                </c:pt>
                <c:pt idx="427">
                  <c:v>51.300832999999997</c:v>
                </c:pt>
                <c:pt idx="428">
                  <c:v>51.261944</c:v>
                </c:pt>
                <c:pt idx="429">
                  <c:v>51.302778000000004</c:v>
                </c:pt>
                <c:pt idx="430">
                  <c:v>51.349167000000001</c:v>
                </c:pt>
                <c:pt idx="431">
                  <c:v>51.397221999999999</c:v>
                </c:pt>
                <c:pt idx="432">
                  <c:v>51.409444000000001</c:v>
                </c:pt>
                <c:pt idx="433">
                  <c:v>51.403055999999999</c:v>
                </c:pt>
                <c:pt idx="434">
                  <c:v>51.431389000000003</c:v>
                </c:pt>
                <c:pt idx="435">
                  <c:v>51.456667000000003</c:v>
                </c:pt>
                <c:pt idx="436">
                  <c:v>51.423889000000003</c:v>
                </c:pt>
                <c:pt idx="437">
                  <c:v>51.393332999999998</c:v>
                </c:pt>
                <c:pt idx="438">
                  <c:v>51.405278000000003</c:v>
                </c:pt>
                <c:pt idx="439">
                  <c:v>51.431666999999997</c:v>
                </c:pt>
                <c:pt idx="440">
                  <c:v>51.451943999999997</c:v>
                </c:pt>
                <c:pt idx="441">
                  <c:v>51.443610999999997</c:v>
                </c:pt>
                <c:pt idx="442">
                  <c:v>51.475833000000002</c:v>
                </c:pt>
                <c:pt idx="443">
                  <c:v>51.511667000000003</c:v>
                </c:pt>
                <c:pt idx="444">
                  <c:v>51.550832999999997</c:v>
                </c:pt>
                <c:pt idx="445">
                  <c:v>51.58</c:v>
                </c:pt>
                <c:pt idx="446">
                  <c:v>51.598889</c:v>
                </c:pt>
                <c:pt idx="447">
                  <c:v>51.599167000000001</c:v>
                </c:pt>
                <c:pt idx="448">
                  <c:v>51.600555999999997</c:v>
                </c:pt>
                <c:pt idx="449">
                  <c:v>51.603889000000002</c:v>
                </c:pt>
                <c:pt idx="450">
                  <c:v>51.568888999999999</c:v>
                </c:pt>
                <c:pt idx="451">
                  <c:v>51.544443999999999</c:v>
                </c:pt>
                <c:pt idx="452">
                  <c:v>51.533332999999999</c:v>
                </c:pt>
                <c:pt idx="453">
                  <c:v>51.508889000000003</c:v>
                </c:pt>
                <c:pt idx="454">
                  <c:v>51.466388999999999</c:v>
                </c:pt>
                <c:pt idx="455">
                  <c:v>51.435833000000002</c:v>
                </c:pt>
                <c:pt idx="456">
                  <c:v>51.434722000000001</c:v>
                </c:pt>
                <c:pt idx="457">
                  <c:v>51.464167000000003</c:v>
                </c:pt>
                <c:pt idx="458">
                  <c:v>51.510556000000001</c:v>
                </c:pt>
                <c:pt idx="459">
                  <c:v>51.521667000000001</c:v>
                </c:pt>
                <c:pt idx="460">
                  <c:v>51.53</c:v>
                </c:pt>
                <c:pt idx="461">
                  <c:v>51.563333</c:v>
                </c:pt>
                <c:pt idx="462">
                  <c:v>51.595832999999999</c:v>
                </c:pt>
                <c:pt idx="463">
                  <c:v>51.611944000000001</c:v>
                </c:pt>
                <c:pt idx="464">
                  <c:v>51.605556</c:v>
                </c:pt>
                <c:pt idx="465">
                  <c:v>51.606667000000002</c:v>
                </c:pt>
                <c:pt idx="466">
                  <c:v>51.621667000000002</c:v>
                </c:pt>
                <c:pt idx="467">
                  <c:v>51.645277999999998</c:v>
                </c:pt>
                <c:pt idx="468">
                  <c:v>51.622500000000002</c:v>
                </c:pt>
                <c:pt idx="469">
                  <c:v>51.624167</c:v>
                </c:pt>
                <c:pt idx="470">
                  <c:v>51.651944</c:v>
                </c:pt>
                <c:pt idx="471">
                  <c:v>51.681944000000001</c:v>
                </c:pt>
                <c:pt idx="472">
                  <c:v>51.681111000000001</c:v>
                </c:pt>
                <c:pt idx="473">
                  <c:v>51.681389000000003</c:v>
                </c:pt>
                <c:pt idx="474">
                  <c:v>51.730556</c:v>
                </c:pt>
                <c:pt idx="475">
                  <c:v>51.746667000000002</c:v>
                </c:pt>
                <c:pt idx="476">
                  <c:v>51.768332999999998</c:v>
                </c:pt>
                <c:pt idx="477">
                  <c:v>51.814999999999998</c:v>
                </c:pt>
                <c:pt idx="478">
                  <c:v>51.833610999999998</c:v>
                </c:pt>
                <c:pt idx="479">
                  <c:v>51.842778000000003</c:v>
                </c:pt>
                <c:pt idx="480">
                  <c:v>51.845832999999999</c:v>
                </c:pt>
                <c:pt idx="481">
                  <c:v>51.884166999999998</c:v>
                </c:pt>
                <c:pt idx="482">
                  <c:v>51.928610999999997</c:v>
                </c:pt>
                <c:pt idx="483">
                  <c:v>51.977778000000001</c:v>
                </c:pt>
                <c:pt idx="485">
                  <c:v>51.985556000000003</c:v>
                </c:pt>
                <c:pt idx="486">
                  <c:v>52.020555999999999</c:v>
                </c:pt>
                <c:pt idx="487">
                  <c:v>52.061667</c:v>
                </c:pt>
                <c:pt idx="488">
                  <c:v>52.102778000000001</c:v>
                </c:pt>
                <c:pt idx="489">
                  <c:v>52.140278000000002</c:v>
                </c:pt>
                <c:pt idx="490">
                  <c:v>52.177222</c:v>
                </c:pt>
                <c:pt idx="491">
                  <c:v>52.220832999999999</c:v>
                </c:pt>
                <c:pt idx="492">
                  <c:v>52.269444</c:v>
                </c:pt>
                <c:pt idx="493">
                  <c:v>52.319443999999997</c:v>
                </c:pt>
                <c:pt idx="494">
                  <c:v>52.371389000000001</c:v>
                </c:pt>
                <c:pt idx="495">
                  <c:v>52.427222</c:v>
                </c:pt>
                <c:pt idx="496">
                  <c:v>52.470832999999999</c:v>
                </c:pt>
                <c:pt idx="497">
                  <c:v>52.513888999999999</c:v>
                </c:pt>
                <c:pt idx="498">
                  <c:v>52.579721999999997</c:v>
                </c:pt>
                <c:pt idx="499">
                  <c:v>52.643332999999998</c:v>
                </c:pt>
                <c:pt idx="500">
                  <c:v>52.705556000000001</c:v>
                </c:pt>
                <c:pt idx="501">
                  <c:v>52.767778</c:v>
                </c:pt>
                <c:pt idx="502">
                  <c:v>52.824722000000001</c:v>
                </c:pt>
                <c:pt idx="503">
                  <c:v>52.883611000000002</c:v>
                </c:pt>
                <c:pt idx="504">
                  <c:v>52.948056000000001</c:v>
                </c:pt>
                <c:pt idx="505">
                  <c:v>52.961111000000002</c:v>
                </c:pt>
                <c:pt idx="506">
                  <c:v>52.935000000000002</c:v>
                </c:pt>
                <c:pt idx="507">
                  <c:v>52.9</c:v>
                </c:pt>
                <c:pt idx="508">
                  <c:v>52.906944000000003</c:v>
                </c:pt>
                <c:pt idx="509">
                  <c:v>52.937221999999998</c:v>
                </c:pt>
                <c:pt idx="510">
                  <c:v>52.955278</c:v>
                </c:pt>
                <c:pt idx="511">
                  <c:v>52.987222000000003</c:v>
                </c:pt>
                <c:pt idx="512">
                  <c:v>53.019722000000002</c:v>
                </c:pt>
                <c:pt idx="513">
                  <c:v>53.055278000000001</c:v>
                </c:pt>
                <c:pt idx="514">
                  <c:v>53.080278</c:v>
                </c:pt>
                <c:pt idx="515">
                  <c:v>53.111944000000001</c:v>
                </c:pt>
                <c:pt idx="516">
                  <c:v>53.17</c:v>
                </c:pt>
                <c:pt idx="517">
                  <c:v>53.220832999999999</c:v>
                </c:pt>
                <c:pt idx="518">
                  <c:v>53.249721999999998</c:v>
                </c:pt>
                <c:pt idx="519">
                  <c:v>53.282499999999999</c:v>
                </c:pt>
                <c:pt idx="520">
                  <c:v>53.307777999999999</c:v>
                </c:pt>
                <c:pt idx="521">
                  <c:v>53.328888999999997</c:v>
                </c:pt>
                <c:pt idx="522">
                  <c:v>53.347499999999997</c:v>
                </c:pt>
                <c:pt idx="523">
                  <c:v>53.369444000000001</c:v>
                </c:pt>
                <c:pt idx="525">
                  <c:v>51.683056000000001</c:v>
                </c:pt>
                <c:pt idx="526">
                  <c:v>51.713611</c:v>
                </c:pt>
                <c:pt idx="527">
                  <c:v>51.732500000000002</c:v>
                </c:pt>
                <c:pt idx="528">
                  <c:v>51.738332999999997</c:v>
                </c:pt>
                <c:pt idx="530">
                  <c:v>51.685277999999997</c:v>
                </c:pt>
                <c:pt idx="531">
                  <c:v>51.660832999999997</c:v>
                </c:pt>
                <c:pt idx="532">
                  <c:v>51.664721999999998</c:v>
                </c:pt>
                <c:pt idx="533">
                  <c:v>51.702221999999999</c:v>
                </c:pt>
                <c:pt idx="534">
                  <c:v>51.729722000000002</c:v>
                </c:pt>
                <c:pt idx="535">
                  <c:v>51.764443999999997</c:v>
                </c:pt>
                <c:pt idx="536">
                  <c:v>51.793332999999997</c:v>
                </c:pt>
                <c:pt idx="537">
                  <c:v>51.815556000000001</c:v>
                </c:pt>
                <c:pt idx="539">
                  <c:v>51.707777999999998</c:v>
                </c:pt>
                <c:pt idx="540">
                  <c:v>51.747222000000001</c:v>
                </c:pt>
                <c:pt idx="541">
                  <c:v>51.791389000000002</c:v>
                </c:pt>
                <c:pt idx="542">
                  <c:v>51.797778000000001</c:v>
                </c:pt>
                <c:pt idx="544">
                  <c:v>51.698611</c:v>
                </c:pt>
                <c:pt idx="546">
                  <c:v>52.675832999999997</c:v>
                </c:pt>
                <c:pt idx="547">
                  <c:v>52.643056000000001</c:v>
                </c:pt>
                <c:pt idx="548">
                  <c:v>52.604166999999997</c:v>
                </c:pt>
                <c:pt idx="549">
                  <c:v>52.564722000000003</c:v>
                </c:pt>
                <c:pt idx="550">
                  <c:v>52.524444000000003</c:v>
                </c:pt>
                <c:pt idx="552">
                  <c:v>52.441389000000001</c:v>
                </c:pt>
                <c:pt idx="554">
                  <c:v>54.728611000000001</c:v>
                </c:pt>
                <c:pt idx="555">
                  <c:v>54.792499999999997</c:v>
                </c:pt>
                <c:pt idx="556">
                  <c:v>54.875278000000002</c:v>
                </c:pt>
                <c:pt idx="557">
                  <c:v>54.959167000000001</c:v>
                </c:pt>
                <c:pt idx="558">
                  <c:v>55.038333000000002</c:v>
                </c:pt>
                <c:pt idx="559">
                  <c:v>55.119722000000003</c:v>
                </c:pt>
                <c:pt idx="560">
                  <c:v>55.138610999999997</c:v>
                </c:pt>
                <c:pt idx="561">
                  <c:v>55.072221999999996</c:v>
                </c:pt>
                <c:pt idx="562">
                  <c:v>55.113610999999999</c:v>
                </c:pt>
                <c:pt idx="563">
                  <c:v>55.195278000000002</c:v>
                </c:pt>
                <c:pt idx="564">
                  <c:v>55.174166999999997</c:v>
                </c:pt>
                <c:pt idx="565">
                  <c:v>55.131943999999997</c:v>
                </c:pt>
                <c:pt idx="566">
                  <c:v>55.185277999999997</c:v>
                </c:pt>
                <c:pt idx="567">
                  <c:v>55.269167000000003</c:v>
                </c:pt>
                <c:pt idx="568">
                  <c:v>55.352221999999998</c:v>
                </c:pt>
                <c:pt idx="569">
                  <c:v>55.431389000000003</c:v>
                </c:pt>
                <c:pt idx="570">
                  <c:v>55.454444000000002</c:v>
                </c:pt>
                <c:pt idx="571">
                  <c:v>55.5</c:v>
                </c:pt>
                <c:pt idx="572">
                  <c:v>55.558889000000001</c:v>
                </c:pt>
                <c:pt idx="573">
                  <c:v>55.565277999999999</c:v>
                </c:pt>
                <c:pt idx="574">
                  <c:v>55.512777999999997</c:v>
                </c:pt>
                <c:pt idx="575">
                  <c:v>55.464444</c:v>
                </c:pt>
                <c:pt idx="576">
                  <c:v>55.515833000000001</c:v>
                </c:pt>
                <c:pt idx="577">
                  <c:v>55.549166999999997</c:v>
                </c:pt>
                <c:pt idx="578">
                  <c:v>55.625</c:v>
                </c:pt>
                <c:pt idx="579">
                  <c:v>55.710833000000001</c:v>
                </c:pt>
                <c:pt idx="580">
                  <c:v>55.801667000000002</c:v>
                </c:pt>
                <c:pt idx="581">
                  <c:v>55.889443999999997</c:v>
                </c:pt>
                <c:pt idx="582">
                  <c:v>55.953888999999997</c:v>
                </c:pt>
                <c:pt idx="583">
                  <c:v>55.873055999999998</c:v>
                </c:pt>
                <c:pt idx="584">
                  <c:v>55.813056000000003</c:v>
                </c:pt>
                <c:pt idx="585">
                  <c:v>55.853332999999999</c:v>
                </c:pt>
                <c:pt idx="586">
                  <c:v>55.907499999999999</c:v>
                </c:pt>
                <c:pt idx="587">
                  <c:v>55.974167000000001</c:v>
                </c:pt>
                <c:pt idx="588">
                  <c:v>56.046388999999998</c:v>
                </c:pt>
                <c:pt idx="589">
                  <c:v>56.089167000000003</c:v>
                </c:pt>
                <c:pt idx="590">
                  <c:v>56.055278000000001</c:v>
                </c:pt>
                <c:pt idx="591">
                  <c:v>55.981943999999999</c:v>
                </c:pt>
                <c:pt idx="592">
                  <c:v>56.065556000000001</c:v>
                </c:pt>
                <c:pt idx="593">
                  <c:v>56.157778</c:v>
                </c:pt>
                <c:pt idx="594">
                  <c:v>56.2425</c:v>
                </c:pt>
                <c:pt idx="595">
                  <c:v>56.330832999999998</c:v>
                </c:pt>
                <c:pt idx="596">
                  <c:v>56.318333000000003</c:v>
                </c:pt>
                <c:pt idx="597">
                  <c:v>56.28</c:v>
                </c:pt>
                <c:pt idx="598">
                  <c:v>56.327778000000002</c:v>
                </c:pt>
                <c:pt idx="599">
                  <c:v>56.381388999999999</c:v>
                </c:pt>
                <c:pt idx="600">
                  <c:v>56.396110999999998</c:v>
                </c:pt>
                <c:pt idx="601">
                  <c:v>56.414444000000003</c:v>
                </c:pt>
                <c:pt idx="602">
                  <c:v>56.404167000000001</c:v>
                </c:pt>
                <c:pt idx="603">
                  <c:v>56.496110999999999</c:v>
                </c:pt>
                <c:pt idx="604">
                  <c:v>56.584443999999998</c:v>
                </c:pt>
                <c:pt idx="605">
                  <c:v>56.666111000000001</c:v>
                </c:pt>
                <c:pt idx="606">
                  <c:v>56.657221999999997</c:v>
                </c:pt>
                <c:pt idx="607">
                  <c:v>56.587778</c:v>
                </c:pt>
                <c:pt idx="608">
                  <c:v>56.561110999999997</c:v>
                </c:pt>
                <c:pt idx="609">
                  <c:v>56.556389000000003</c:v>
                </c:pt>
                <c:pt idx="610">
                  <c:v>56.5625</c:v>
                </c:pt>
                <c:pt idx="611">
                  <c:v>56.488056</c:v>
                </c:pt>
                <c:pt idx="612">
                  <c:v>56.481110999999999</c:v>
                </c:pt>
                <c:pt idx="613">
                  <c:v>56.553610999999997</c:v>
                </c:pt>
                <c:pt idx="614">
                  <c:v>56.611111000000001</c:v>
                </c:pt>
                <c:pt idx="615">
                  <c:v>56.655833000000001</c:v>
                </c:pt>
                <c:pt idx="616">
                  <c:v>56.685277999999997</c:v>
                </c:pt>
                <c:pt idx="617">
                  <c:v>56.731943999999999</c:v>
                </c:pt>
                <c:pt idx="618">
                  <c:v>56.790278000000001</c:v>
                </c:pt>
                <c:pt idx="619">
                  <c:v>56.988056</c:v>
                </c:pt>
                <c:pt idx="620">
                  <c:v>56.986389000000003</c:v>
                </c:pt>
                <c:pt idx="621">
                  <c:v>56.957777999999998</c:v>
                </c:pt>
                <c:pt idx="622">
                  <c:v>56.933610999999999</c:v>
                </c:pt>
                <c:pt idx="623">
                  <c:v>56.858888999999998</c:v>
                </c:pt>
                <c:pt idx="624">
                  <c:v>56.803333000000002</c:v>
                </c:pt>
                <c:pt idx="625">
                  <c:v>56.743333</c:v>
                </c:pt>
                <c:pt idx="626">
                  <c:v>56.677500000000002</c:v>
                </c:pt>
                <c:pt idx="627">
                  <c:v>56.675277999999999</c:v>
                </c:pt>
                <c:pt idx="628">
                  <c:v>56.668332999999997</c:v>
                </c:pt>
                <c:pt idx="629">
                  <c:v>56.587778</c:v>
                </c:pt>
                <c:pt idx="630">
                  <c:v>56.615555999999998</c:v>
                </c:pt>
                <c:pt idx="631">
                  <c:v>56.661667000000001</c:v>
                </c:pt>
                <c:pt idx="632">
                  <c:v>56.721666999999997</c:v>
                </c:pt>
                <c:pt idx="633">
                  <c:v>56.741388999999998</c:v>
                </c:pt>
                <c:pt idx="634">
                  <c:v>56.731110999999999</c:v>
                </c:pt>
                <c:pt idx="635">
                  <c:v>56.822778</c:v>
                </c:pt>
                <c:pt idx="636">
                  <c:v>56.891388999999997</c:v>
                </c:pt>
                <c:pt idx="637">
                  <c:v>56.958055999999999</c:v>
                </c:pt>
                <c:pt idx="638">
                  <c:v>57.017778</c:v>
                </c:pt>
                <c:pt idx="639">
                  <c:v>57.077778000000002</c:v>
                </c:pt>
                <c:pt idx="640">
                  <c:v>57.099443999999998</c:v>
                </c:pt>
                <c:pt idx="641">
                  <c:v>57.096666999999997</c:v>
                </c:pt>
                <c:pt idx="642">
                  <c:v>57.134999999999998</c:v>
                </c:pt>
                <c:pt idx="644">
                  <c:v>54.633333</c:v>
                </c:pt>
                <c:pt idx="645">
                  <c:v>54.603889000000002</c:v>
                </c:pt>
                <c:pt idx="646">
                  <c:v>54.603889000000002</c:v>
                </c:pt>
                <c:pt idx="647">
                  <c:v>54.571944000000002</c:v>
                </c:pt>
                <c:pt idx="648">
                  <c:v>54.545278000000003</c:v>
                </c:pt>
                <c:pt idx="649">
                  <c:v>54.518332999999998</c:v>
                </c:pt>
                <c:pt idx="650">
                  <c:v>54.451943999999997</c:v>
                </c:pt>
                <c:pt idx="651">
                  <c:v>54.443333000000003</c:v>
                </c:pt>
                <c:pt idx="652">
                  <c:v>54.418332999999997</c:v>
                </c:pt>
                <c:pt idx="653">
                  <c:v>54.406666999999999</c:v>
                </c:pt>
                <c:pt idx="654">
                  <c:v>54.411389</c:v>
                </c:pt>
                <c:pt idx="655">
                  <c:v>54.401111</c:v>
                </c:pt>
                <c:pt idx="656">
                  <c:v>54.399721999999997</c:v>
                </c:pt>
                <c:pt idx="657">
                  <c:v>54.368889000000003</c:v>
                </c:pt>
                <c:pt idx="658">
                  <c:v>54.368333</c:v>
                </c:pt>
                <c:pt idx="659">
                  <c:v>54.350833000000002</c:v>
                </c:pt>
                <c:pt idx="660">
                  <c:v>54.336666999999998</c:v>
                </c:pt>
                <c:pt idx="661">
                  <c:v>54.297221999999998</c:v>
                </c:pt>
                <c:pt idx="662">
                  <c:v>54.269444</c:v>
                </c:pt>
                <c:pt idx="663">
                  <c:v>54.283056000000002</c:v>
                </c:pt>
                <c:pt idx="664">
                  <c:v>54.287778000000003</c:v>
                </c:pt>
                <c:pt idx="665">
                  <c:v>54.295000000000002</c:v>
                </c:pt>
                <c:pt idx="666">
                  <c:v>54.294167000000002</c:v>
                </c:pt>
                <c:pt idx="667">
                  <c:v>54.301389</c:v>
                </c:pt>
                <c:pt idx="668">
                  <c:v>54.304721999999998</c:v>
                </c:pt>
                <c:pt idx="669">
                  <c:v>54.275832999999999</c:v>
                </c:pt>
                <c:pt idx="670">
                  <c:v>54.258056000000003</c:v>
                </c:pt>
                <c:pt idx="671">
                  <c:v>54.225278000000003</c:v>
                </c:pt>
                <c:pt idx="672">
                  <c:v>54.19</c:v>
                </c:pt>
                <c:pt idx="673">
                  <c:v>54.150278</c:v>
                </c:pt>
                <c:pt idx="674">
                  <c:v>54.124721999999998</c:v>
                </c:pt>
                <c:pt idx="675">
                  <c:v>54.14</c:v>
                </c:pt>
                <c:pt idx="676">
                  <c:v>54.136389000000001</c:v>
                </c:pt>
                <c:pt idx="677">
                  <c:v>54.103889000000002</c:v>
                </c:pt>
                <c:pt idx="678">
                  <c:v>54.025278</c:v>
                </c:pt>
                <c:pt idx="679">
                  <c:v>54.028888999999999</c:v>
                </c:pt>
                <c:pt idx="680">
                  <c:v>54.044722</c:v>
                </c:pt>
                <c:pt idx="681">
                  <c:v>54.026389000000002</c:v>
                </c:pt>
                <c:pt idx="682">
                  <c:v>53.992221999999998</c:v>
                </c:pt>
                <c:pt idx="683">
                  <c:v>53.957222000000002</c:v>
                </c:pt>
                <c:pt idx="684">
                  <c:v>53.924999999999997</c:v>
                </c:pt>
                <c:pt idx="685">
                  <c:v>53.898611000000002</c:v>
                </c:pt>
                <c:pt idx="686">
                  <c:v>53.841667000000001</c:v>
                </c:pt>
                <c:pt idx="687">
                  <c:v>53.828611000000002</c:v>
                </c:pt>
                <c:pt idx="688">
                  <c:v>53.831944</c:v>
                </c:pt>
                <c:pt idx="689">
                  <c:v>53.844166999999999</c:v>
                </c:pt>
                <c:pt idx="690">
                  <c:v>53.866110999999997</c:v>
                </c:pt>
                <c:pt idx="691">
                  <c:v>53.894722000000002</c:v>
                </c:pt>
                <c:pt idx="692">
                  <c:v>53.881667</c:v>
                </c:pt>
                <c:pt idx="693">
                  <c:v>53.851388999999998</c:v>
                </c:pt>
                <c:pt idx="694">
                  <c:v>53.815556000000001</c:v>
                </c:pt>
                <c:pt idx="695">
                  <c:v>53.769444</c:v>
                </c:pt>
                <c:pt idx="696">
                  <c:v>53.732500000000002</c:v>
                </c:pt>
                <c:pt idx="697">
                  <c:v>53.693333000000003</c:v>
                </c:pt>
                <c:pt idx="698">
                  <c:v>53.649444000000003</c:v>
                </c:pt>
                <c:pt idx="699">
                  <c:v>53.613332999999997</c:v>
                </c:pt>
                <c:pt idx="700">
                  <c:v>53.578888999999997</c:v>
                </c:pt>
                <c:pt idx="701">
                  <c:v>53.545555999999998</c:v>
                </c:pt>
                <c:pt idx="702">
                  <c:v>53.508611000000002</c:v>
                </c:pt>
                <c:pt idx="703">
                  <c:v>53.485556000000003</c:v>
                </c:pt>
                <c:pt idx="704">
                  <c:v>53.442777999999997</c:v>
                </c:pt>
                <c:pt idx="705">
                  <c:v>53.395833000000003</c:v>
                </c:pt>
                <c:pt idx="706">
                  <c:v>53.355832999999997</c:v>
                </c:pt>
                <c:pt idx="707">
                  <c:v>53.397221999999999</c:v>
                </c:pt>
                <c:pt idx="708">
                  <c:v>53.444443999999997</c:v>
                </c:pt>
                <c:pt idx="709">
                  <c:v>53.489443999999999</c:v>
                </c:pt>
                <c:pt idx="710">
                  <c:v>53.52</c:v>
                </c:pt>
                <c:pt idx="711">
                  <c:v>53.545555999999998</c:v>
                </c:pt>
                <c:pt idx="712">
                  <c:v>53.558889000000001</c:v>
                </c:pt>
                <c:pt idx="713">
                  <c:v>53.573611</c:v>
                </c:pt>
                <c:pt idx="714">
                  <c:v>53.603332999999999</c:v>
                </c:pt>
                <c:pt idx="715">
                  <c:v>53.616110999999997</c:v>
                </c:pt>
                <c:pt idx="716">
                  <c:v>53.592500000000001</c:v>
                </c:pt>
                <c:pt idx="717">
                  <c:v>53.547778000000001</c:v>
                </c:pt>
                <c:pt idx="718">
                  <c:v>53.519722000000002</c:v>
                </c:pt>
                <c:pt idx="719">
                  <c:v>53.515278000000002</c:v>
                </c:pt>
                <c:pt idx="720">
                  <c:v>53.466110999999998</c:v>
                </c:pt>
                <c:pt idx="721">
                  <c:v>53.427222</c:v>
                </c:pt>
                <c:pt idx="722">
                  <c:v>53.402222000000002</c:v>
                </c:pt>
                <c:pt idx="723">
                  <c:v>53.416389000000002</c:v>
                </c:pt>
                <c:pt idx="724">
                  <c:v>53.446666999999998</c:v>
                </c:pt>
                <c:pt idx="725">
                  <c:v>53.438611000000002</c:v>
                </c:pt>
                <c:pt idx="726">
                  <c:v>53.464722000000002</c:v>
                </c:pt>
                <c:pt idx="727">
                  <c:v>53.503056000000001</c:v>
                </c:pt>
                <c:pt idx="728">
                  <c:v>53.511389000000001</c:v>
                </c:pt>
                <c:pt idx="729">
                  <c:v>53.519722000000002</c:v>
                </c:pt>
                <c:pt idx="730">
                  <c:v>53.555</c:v>
                </c:pt>
                <c:pt idx="731">
                  <c:v>53.568610999999997</c:v>
                </c:pt>
                <c:pt idx="732">
                  <c:v>53.599722</c:v>
                </c:pt>
                <c:pt idx="733">
                  <c:v>53.626389000000003</c:v>
                </c:pt>
                <c:pt idx="734">
                  <c:v>53.661110999999998</c:v>
                </c:pt>
                <c:pt idx="735">
                  <c:v>53.701388999999999</c:v>
                </c:pt>
                <c:pt idx="736">
                  <c:v>53.716667000000001</c:v>
                </c:pt>
                <c:pt idx="737">
                  <c:v>53.717778000000003</c:v>
                </c:pt>
                <c:pt idx="738">
                  <c:v>53.709443999999998</c:v>
                </c:pt>
                <c:pt idx="739">
                  <c:v>53.699722000000001</c:v>
                </c:pt>
                <c:pt idx="740">
                  <c:v>53.696389000000003</c:v>
                </c:pt>
                <c:pt idx="741">
                  <c:v>53.685277999999997</c:v>
                </c:pt>
                <c:pt idx="742">
                  <c:v>53.675277999999999</c:v>
                </c:pt>
                <c:pt idx="743">
                  <c:v>53.685277999999997</c:v>
                </c:pt>
                <c:pt idx="744">
                  <c:v>53.686110999999997</c:v>
                </c:pt>
                <c:pt idx="745">
                  <c:v>53.686667</c:v>
                </c:pt>
                <c:pt idx="746">
                  <c:v>53.673889000000003</c:v>
                </c:pt>
                <c:pt idx="747">
                  <c:v>53.65</c:v>
                </c:pt>
                <c:pt idx="748">
                  <c:v>53.624721999999998</c:v>
                </c:pt>
                <c:pt idx="749">
                  <c:v>53.6</c:v>
                </c:pt>
                <c:pt idx="750">
                  <c:v>53.568888999999999</c:v>
                </c:pt>
                <c:pt idx="751">
                  <c:v>53.545833000000002</c:v>
                </c:pt>
                <c:pt idx="752">
                  <c:v>53.522221999999999</c:v>
                </c:pt>
                <c:pt idx="753">
                  <c:v>53.515555999999997</c:v>
                </c:pt>
                <c:pt idx="754">
                  <c:v>53.498610999999997</c:v>
                </c:pt>
                <c:pt idx="755">
                  <c:v>53.456389000000001</c:v>
                </c:pt>
                <c:pt idx="756">
                  <c:v>53.411389</c:v>
                </c:pt>
                <c:pt idx="757">
                  <c:v>53.3675</c:v>
                </c:pt>
                <c:pt idx="758">
                  <c:v>53.337221999999997</c:v>
                </c:pt>
                <c:pt idx="759">
                  <c:v>53.339722000000002</c:v>
                </c:pt>
                <c:pt idx="760">
                  <c:v>53.338056000000002</c:v>
                </c:pt>
                <c:pt idx="761">
                  <c:v>53.326667</c:v>
                </c:pt>
                <c:pt idx="762">
                  <c:v>53.320833</c:v>
                </c:pt>
                <c:pt idx="763">
                  <c:v>53.305556000000003</c:v>
                </c:pt>
                <c:pt idx="764">
                  <c:v>53.318610999999997</c:v>
                </c:pt>
                <c:pt idx="765">
                  <c:v>53.297221999999998</c:v>
                </c:pt>
                <c:pt idx="766">
                  <c:v>53.256110999999997</c:v>
                </c:pt>
                <c:pt idx="767">
                  <c:v>53.244722000000003</c:v>
                </c:pt>
                <c:pt idx="768">
                  <c:v>53.253332999999998</c:v>
                </c:pt>
                <c:pt idx="769">
                  <c:v>53.285277999999998</c:v>
                </c:pt>
                <c:pt idx="770">
                  <c:v>53.298889000000003</c:v>
                </c:pt>
                <c:pt idx="771">
                  <c:v>53.31</c:v>
                </c:pt>
                <c:pt idx="772">
                  <c:v>53.324722000000001</c:v>
                </c:pt>
                <c:pt idx="773">
                  <c:v>53.352499999999999</c:v>
                </c:pt>
                <c:pt idx="774">
                  <c:v>53.394722000000002</c:v>
                </c:pt>
                <c:pt idx="775">
                  <c:v>53.433889000000001</c:v>
                </c:pt>
                <c:pt idx="776">
                  <c:v>53.448611</c:v>
                </c:pt>
                <c:pt idx="777">
                  <c:v>53.465000000000003</c:v>
                </c:pt>
                <c:pt idx="778">
                  <c:v>53.457777999999998</c:v>
                </c:pt>
                <c:pt idx="779">
                  <c:v>53.444443999999997</c:v>
                </c:pt>
                <c:pt idx="780">
                  <c:v>53.434722000000001</c:v>
                </c:pt>
                <c:pt idx="781">
                  <c:v>53.426389</c:v>
                </c:pt>
                <c:pt idx="782">
                  <c:v>53.417499999999997</c:v>
                </c:pt>
                <c:pt idx="783">
                  <c:v>53.404722</c:v>
                </c:pt>
                <c:pt idx="784">
                  <c:v>53.405833000000001</c:v>
                </c:pt>
                <c:pt idx="785">
                  <c:v>53.412222</c:v>
                </c:pt>
                <c:pt idx="786">
                  <c:v>53.408889000000002</c:v>
                </c:pt>
                <c:pt idx="787">
                  <c:v>53.410277999999998</c:v>
                </c:pt>
                <c:pt idx="788">
                  <c:v>53.402222000000002</c:v>
                </c:pt>
                <c:pt idx="789">
                  <c:v>53.392221999999997</c:v>
                </c:pt>
                <c:pt idx="791">
                  <c:v>62.978611000000001</c:v>
                </c:pt>
                <c:pt idx="792">
                  <c:v>62.975555999999997</c:v>
                </c:pt>
                <c:pt idx="793">
                  <c:v>62.963056000000002</c:v>
                </c:pt>
                <c:pt idx="794">
                  <c:v>62.957777999999998</c:v>
                </c:pt>
                <c:pt idx="795">
                  <c:v>62.897221999999999</c:v>
                </c:pt>
                <c:pt idx="796">
                  <c:v>62.864722</c:v>
                </c:pt>
                <c:pt idx="797">
                  <c:v>62.828333000000001</c:v>
                </c:pt>
                <c:pt idx="798">
                  <c:v>62.872777999999997</c:v>
                </c:pt>
                <c:pt idx="799">
                  <c:v>62.875833</c:v>
                </c:pt>
                <c:pt idx="800">
                  <c:v>62.852221999999998</c:v>
                </c:pt>
                <c:pt idx="801">
                  <c:v>62.876666999999998</c:v>
                </c:pt>
                <c:pt idx="802">
                  <c:v>62.943333000000003</c:v>
                </c:pt>
                <c:pt idx="803">
                  <c:v>62.994166999999997</c:v>
                </c:pt>
                <c:pt idx="804">
                  <c:v>62.998888999999998</c:v>
                </c:pt>
                <c:pt idx="805">
                  <c:v>62.970556000000002</c:v>
                </c:pt>
                <c:pt idx="806">
                  <c:v>62.914444000000003</c:v>
                </c:pt>
                <c:pt idx="807">
                  <c:v>62.850555999999997</c:v>
                </c:pt>
                <c:pt idx="808">
                  <c:v>62.807499999999997</c:v>
                </c:pt>
                <c:pt idx="809">
                  <c:v>62.759444000000002</c:v>
                </c:pt>
                <c:pt idx="810">
                  <c:v>62.713056000000002</c:v>
                </c:pt>
                <c:pt idx="811">
                  <c:v>62.674722000000003</c:v>
                </c:pt>
                <c:pt idx="812">
                  <c:v>62.716667000000001</c:v>
                </c:pt>
                <c:pt idx="813">
                  <c:v>62.770555999999999</c:v>
                </c:pt>
                <c:pt idx="814">
                  <c:v>62.806111000000001</c:v>
                </c:pt>
                <c:pt idx="815">
                  <c:v>62.883889000000003</c:v>
                </c:pt>
                <c:pt idx="816">
                  <c:v>62.951667</c:v>
                </c:pt>
                <c:pt idx="817">
                  <c:v>62.957777999999998</c:v>
                </c:pt>
                <c:pt idx="818">
                  <c:v>62.924166999999997</c:v>
                </c:pt>
                <c:pt idx="819">
                  <c:v>62.930556000000003</c:v>
                </c:pt>
                <c:pt idx="820">
                  <c:v>62.977499999999999</c:v>
                </c:pt>
                <c:pt idx="821">
                  <c:v>62.941667000000002</c:v>
                </c:pt>
                <c:pt idx="822">
                  <c:v>62.916666999999997</c:v>
                </c:pt>
                <c:pt idx="823">
                  <c:v>62.976111000000003</c:v>
                </c:pt>
                <c:pt idx="824">
                  <c:v>62.969721999999997</c:v>
                </c:pt>
                <c:pt idx="825">
                  <c:v>62.931111000000001</c:v>
                </c:pt>
                <c:pt idx="826">
                  <c:v>62.906111000000003</c:v>
                </c:pt>
                <c:pt idx="827">
                  <c:v>62.838611</c:v>
                </c:pt>
                <c:pt idx="828">
                  <c:v>62.835278000000002</c:v>
                </c:pt>
                <c:pt idx="829">
                  <c:v>62.814999999999998</c:v>
                </c:pt>
                <c:pt idx="830">
                  <c:v>62.799444000000001</c:v>
                </c:pt>
                <c:pt idx="831">
                  <c:v>62.731943999999999</c:v>
                </c:pt>
                <c:pt idx="832">
                  <c:v>62.730556</c:v>
                </c:pt>
                <c:pt idx="833">
                  <c:v>62.741388999999998</c:v>
                </c:pt>
                <c:pt idx="834">
                  <c:v>62.768332999999998</c:v>
                </c:pt>
                <c:pt idx="835">
                  <c:v>62.791944000000001</c:v>
                </c:pt>
                <c:pt idx="836">
                  <c:v>62.778888999999999</c:v>
                </c:pt>
                <c:pt idx="837">
                  <c:v>62.746389000000001</c:v>
                </c:pt>
                <c:pt idx="838">
                  <c:v>62.699722000000001</c:v>
                </c:pt>
                <c:pt idx="839">
                  <c:v>62.681389000000003</c:v>
                </c:pt>
                <c:pt idx="840">
                  <c:v>62.711666999999998</c:v>
                </c:pt>
                <c:pt idx="841">
                  <c:v>62.737499999999997</c:v>
                </c:pt>
                <c:pt idx="842">
                  <c:v>62.762777999999997</c:v>
                </c:pt>
                <c:pt idx="843">
                  <c:v>62.766388999999997</c:v>
                </c:pt>
                <c:pt idx="844">
                  <c:v>62.711388999999997</c:v>
                </c:pt>
                <c:pt idx="845">
                  <c:v>62.719444000000003</c:v>
                </c:pt>
                <c:pt idx="846">
                  <c:v>62.728332999999999</c:v>
                </c:pt>
                <c:pt idx="847">
                  <c:v>62.718055999999997</c:v>
                </c:pt>
                <c:pt idx="848">
                  <c:v>62.688611000000002</c:v>
                </c:pt>
                <c:pt idx="849">
                  <c:v>62.634721999999996</c:v>
                </c:pt>
                <c:pt idx="850">
                  <c:v>62.599722</c:v>
                </c:pt>
                <c:pt idx="851">
                  <c:v>62.617221999999998</c:v>
                </c:pt>
                <c:pt idx="852">
                  <c:v>62.561388999999998</c:v>
                </c:pt>
                <c:pt idx="853">
                  <c:v>62.575555999999999</c:v>
                </c:pt>
                <c:pt idx="854">
                  <c:v>62.564444000000002</c:v>
                </c:pt>
                <c:pt idx="855">
                  <c:v>62.523055999999997</c:v>
                </c:pt>
                <c:pt idx="856">
                  <c:v>62.544722</c:v>
                </c:pt>
                <c:pt idx="857">
                  <c:v>62.577500000000001</c:v>
                </c:pt>
                <c:pt idx="858">
                  <c:v>62.611389000000003</c:v>
                </c:pt>
                <c:pt idx="859">
                  <c:v>62.592500000000001</c:v>
                </c:pt>
                <c:pt idx="860">
                  <c:v>62.543610999999999</c:v>
                </c:pt>
                <c:pt idx="861">
                  <c:v>62.604722000000002</c:v>
                </c:pt>
                <c:pt idx="862">
                  <c:v>62.647778000000002</c:v>
                </c:pt>
                <c:pt idx="863">
                  <c:v>62.631943999999997</c:v>
                </c:pt>
                <c:pt idx="864">
                  <c:v>62.567500000000003</c:v>
                </c:pt>
                <c:pt idx="865">
                  <c:v>62.626944000000002</c:v>
                </c:pt>
                <c:pt idx="866">
                  <c:v>62.6325</c:v>
                </c:pt>
                <c:pt idx="867">
                  <c:v>62.602778000000001</c:v>
                </c:pt>
                <c:pt idx="868">
                  <c:v>62.592778000000003</c:v>
                </c:pt>
                <c:pt idx="869">
                  <c:v>62.603332999999999</c:v>
                </c:pt>
                <c:pt idx="870">
                  <c:v>62.597222000000002</c:v>
                </c:pt>
                <c:pt idx="871">
                  <c:v>62.529443999999998</c:v>
                </c:pt>
                <c:pt idx="872">
                  <c:v>62.528888999999999</c:v>
                </c:pt>
                <c:pt idx="873">
                  <c:v>62.518611</c:v>
                </c:pt>
                <c:pt idx="874">
                  <c:v>62.515000000000001</c:v>
                </c:pt>
                <c:pt idx="875">
                  <c:v>62.4925</c:v>
                </c:pt>
                <c:pt idx="876">
                  <c:v>62.488056</c:v>
                </c:pt>
                <c:pt idx="877">
                  <c:v>62.462221999999997</c:v>
                </c:pt>
                <c:pt idx="878">
                  <c:v>62.434443999999999</c:v>
                </c:pt>
                <c:pt idx="879">
                  <c:v>62.429167</c:v>
                </c:pt>
                <c:pt idx="880">
                  <c:v>62.461666999999998</c:v>
                </c:pt>
                <c:pt idx="881">
                  <c:v>62.476111000000003</c:v>
                </c:pt>
                <c:pt idx="882">
                  <c:v>62.443888999999999</c:v>
                </c:pt>
                <c:pt idx="883">
                  <c:v>62.385832999999998</c:v>
                </c:pt>
                <c:pt idx="884">
                  <c:v>62.335000000000001</c:v>
                </c:pt>
                <c:pt idx="885">
                  <c:v>62.295833000000002</c:v>
                </c:pt>
                <c:pt idx="886">
                  <c:v>62.285832999999997</c:v>
                </c:pt>
                <c:pt idx="887">
                  <c:v>62.255833000000003</c:v>
                </c:pt>
                <c:pt idx="888">
                  <c:v>62.258333</c:v>
                </c:pt>
                <c:pt idx="889">
                  <c:v>62.251944000000002</c:v>
                </c:pt>
                <c:pt idx="890">
                  <c:v>62.271388999999999</c:v>
                </c:pt>
                <c:pt idx="891">
                  <c:v>62.199722000000001</c:v>
                </c:pt>
                <c:pt idx="892">
                  <c:v>62.126666999999998</c:v>
                </c:pt>
                <c:pt idx="893">
                  <c:v>62.114722</c:v>
                </c:pt>
                <c:pt idx="894">
                  <c:v>62.102499999999999</c:v>
                </c:pt>
                <c:pt idx="895">
                  <c:v>62.086388999999997</c:v>
                </c:pt>
                <c:pt idx="896">
                  <c:v>62.135832999999998</c:v>
                </c:pt>
                <c:pt idx="897">
                  <c:v>62.205556000000001</c:v>
                </c:pt>
                <c:pt idx="898">
                  <c:v>62.288611000000003</c:v>
                </c:pt>
                <c:pt idx="899">
                  <c:v>62.347222000000002</c:v>
                </c:pt>
                <c:pt idx="900">
                  <c:v>62.421388999999998</c:v>
                </c:pt>
                <c:pt idx="901">
                  <c:v>62.440277999999999</c:v>
                </c:pt>
                <c:pt idx="902">
                  <c:v>62.400278</c:v>
                </c:pt>
                <c:pt idx="903">
                  <c:v>62.379167000000002</c:v>
                </c:pt>
                <c:pt idx="904">
                  <c:v>62.38</c:v>
                </c:pt>
                <c:pt idx="905">
                  <c:v>62.300556</c:v>
                </c:pt>
                <c:pt idx="906">
                  <c:v>62.236666999999997</c:v>
                </c:pt>
                <c:pt idx="907">
                  <c:v>62.167222000000002</c:v>
                </c:pt>
                <c:pt idx="908">
                  <c:v>62.106110999999999</c:v>
                </c:pt>
                <c:pt idx="909">
                  <c:v>62.177778000000004</c:v>
                </c:pt>
                <c:pt idx="910">
                  <c:v>62.247222000000001</c:v>
                </c:pt>
                <c:pt idx="911">
                  <c:v>62.309443999999999</c:v>
                </c:pt>
                <c:pt idx="912">
                  <c:v>62.370832999999998</c:v>
                </c:pt>
                <c:pt idx="913">
                  <c:v>62.332500000000003</c:v>
                </c:pt>
                <c:pt idx="914">
                  <c:v>62.295555999999998</c:v>
                </c:pt>
                <c:pt idx="915">
                  <c:v>62.237222000000003</c:v>
                </c:pt>
                <c:pt idx="916">
                  <c:v>62.199722000000001</c:v>
                </c:pt>
                <c:pt idx="917">
                  <c:v>62.198889000000001</c:v>
                </c:pt>
                <c:pt idx="918">
                  <c:v>62.145555999999999</c:v>
                </c:pt>
                <c:pt idx="919">
                  <c:v>62.095832999999999</c:v>
                </c:pt>
                <c:pt idx="920">
                  <c:v>62.072499999999998</c:v>
                </c:pt>
                <c:pt idx="921">
                  <c:v>62.068888999999999</c:v>
                </c:pt>
                <c:pt idx="922">
                  <c:v>62.081389000000001</c:v>
                </c:pt>
                <c:pt idx="923">
                  <c:v>62.102778000000001</c:v>
                </c:pt>
                <c:pt idx="924">
                  <c:v>62.113056</c:v>
                </c:pt>
                <c:pt idx="925">
                  <c:v>62.04</c:v>
                </c:pt>
                <c:pt idx="926">
                  <c:v>62.065556000000001</c:v>
                </c:pt>
                <c:pt idx="927">
                  <c:v>62.147221999999999</c:v>
                </c:pt>
                <c:pt idx="928">
                  <c:v>62.193610999999997</c:v>
                </c:pt>
                <c:pt idx="929">
                  <c:v>62.165556000000002</c:v>
                </c:pt>
                <c:pt idx="930">
                  <c:v>62.098889</c:v>
                </c:pt>
                <c:pt idx="931">
                  <c:v>62.125278000000002</c:v>
                </c:pt>
                <c:pt idx="932">
                  <c:v>62.171666999999999</c:v>
                </c:pt>
                <c:pt idx="933">
                  <c:v>62.151111</c:v>
                </c:pt>
                <c:pt idx="934">
                  <c:v>62.095832999999999</c:v>
                </c:pt>
                <c:pt idx="935">
                  <c:v>62.065277999999999</c:v>
                </c:pt>
                <c:pt idx="936">
                  <c:v>62.025556000000002</c:v>
                </c:pt>
                <c:pt idx="937">
                  <c:v>62.057499999999997</c:v>
                </c:pt>
                <c:pt idx="938">
                  <c:v>62.105556</c:v>
                </c:pt>
                <c:pt idx="939">
                  <c:v>62.168889</c:v>
                </c:pt>
                <c:pt idx="940">
                  <c:v>62.207222000000002</c:v>
                </c:pt>
                <c:pt idx="942">
                  <c:v>62.1325</c:v>
                </c:pt>
                <c:pt idx="943">
                  <c:v>62.098889</c:v>
                </c:pt>
                <c:pt idx="944">
                  <c:v>62.05</c:v>
                </c:pt>
                <c:pt idx="945">
                  <c:v>62.013610999999997</c:v>
                </c:pt>
                <c:pt idx="946">
                  <c:v>61.973889</c:v>
                </c:pt>
                <c:pt idx="947">
                  <c:v>61.953888999999997</c:v>
                </c:pt>
                <c:pt idx="948">
                  <c:v>61.925277999999999</c:v>
                </c:pt>
                <c:pt idx="949">
                  <c:v>61.908611000000001</c:v>
                </c:pt>
                <c:pt idx="950">
                  <c:v>61.924999999999997</c:v>
                </c:pt>
                <c:pt idx="951">
                  <c:v>61.927222</c:v>
                </c:pt>
                <c:pt idx="952">
                  <c:v>61.911110999999998</c:v>
                </c:pt>
                <c:pt idx="953">
                  <c:v>61.913888999999998</c:v>
                </c:pt>
                <c:pt idx="954">
                  <c:v>61.901111</c:v>
                </c:pt>
                <c:pt idx="955">
                  <c:v>61.868889000000003</c:v>
                </c:pt>
                <c:pt idx="956">
                  <c:v>61.879167000000002</c:v>
                </c:pt>
                <c:pt idx="957">
                  <c:v>61.855277999999998</c:v>
                </c:pt>
                <c:pt idx="958">
                  <c:v>61.850278000000003</c:v>
                </c:pt>
                <c:pt idx="959">
                  <c:v>61.835278000000002</c:v>
                </c:pt>
                <c:pt idx="960">
                  <c:v>61.847222000000002</c:v>
                </c:pt>
                <c:pt idx="961">
                  <c:v>61.884999999999998</c:v>
                </c:pt>
                <c:pt idx="962">
                  <c:v>61.868889000000003</c:v>
                </c:pt>
                <c:pt idx="963">
                  <c:v>61.854166999999997</c:v>
                </c:pt>
                <c:pt idx="964">
                  <c:v>61.863610999999999</c:v>
                </c:pt>
                <c:pt idx="965">
                  <c:v>61.805833</c:v>
                </c:pt>
                <c:pt idx="966">
                  <c:v>61.81</c:v>
                </c:pt>
                <c:pt idx="967">
                  <c:v>61.833610999999998</c:v>
                </c:pt>
                <c:pt idx="968">
                  <c:v>61.818610999999997</c:v>
                </c:pt>
                <c:pt idx="969">
                  <c:v>61.765833000000001</c:v>
                </c:pt>
                <c:pt idx="970">
                  <c:v>61.806666999999997</c:v>
                </c:pt>
                <c:pt idx="971">
                  <c:v>61.795000000000002</c:v>
                </c:pt>
                <c:pt idx="972">
                  <c:v>61.75</c:v>
                </c:pt>
                <c:pt idx="973">
                  <c:v>61.835278000000002</c:v>
                </c:pt>
                <c:pt idx="974">
                  <c:v>61.836666999999998</c:v>
                </c:pt>
                <c:pt idx="975">
                  <c:v>61.808610999999999</c:v>
                </c:pt>
                <c:pt idx="976">
                  <c:v>61.844999999999999</c:v>
                </c:pt>
                <c:pt idx="977">
                  <c:v>61.889443999999997</c:v>
                </c:pt>
                <c:pt idx="978">
                  <c:v>61.908611000000001</c:v>
                </c:pt>
                <c:pt idx="979">
                  <c:v>61.873610999999997</c:v>
                </c:pt>
                <c:pt idx="980">
                  <c:v>61.836944000000003</c:v>
                </c:pt>
                <c:pt idx="981">
                  <c:v>61.8</c:v>
                </c:pt>
                <c:pt idx="982">
                  <c:v>61.755555999999999</c:v>
                </c:pt>
                <c:pt idx="983">
                  <c:v>61.761667000000003</c:v>
                </c:pt>
                <c:pt idx="984">
                  <c:v>61.718333000000001</c:v>
                </c:pt>
                <c:pt idx="985">
                  <c:v>61.743333</c:v>
                </c:pt>
                <c:pt idx="986">
                  <c:v>61.715277999999998</c:v>
                </c:pt>
                <c:pt idx="987">
                  <c:v>61.645000000000003</c:v>
                </c:pt>
                <c:pt idx="988">
                  <c:v>61.630555999999999</c:v>
                </c:pt>
                <c:pt idx="989">
                  <c:v>61.635278</c:v>
                </c:pt>
                <c:pt idx="990">
                  <c:v>61.626666999999998</c:v>
                </c:pt>
                <c:pt idx="991">
                  <c:v>61.607500000000002</c:v>
                </c:pt>
                <c:pt idx="992">
                  <c:v>61.611944000000001</c:v>
                </c:pt>
                <c:pt idx="993">
                  <c:v>61.583610999999998</c:v>
                </c:pt>
                <c:pt idx="994">
                  <c:v>61.592778000000003</c:v>
                </c:pt>
                <c:pt idx="995">
                  <c:v>61.593055999999997</c:v>
                </c:pt>
                <c:pt idx="996">
                  <c:v>61.566667000000002</c:v>
                </c:pt>
                <c:pt idx="997">
                  <c:v>61.551943999999999</c:v>
                </c:pt>
                <c:pt idx="998">
                  <c:v>61.536110999999998</c:v>
                </c:pt>
                <c:pt idx="999">
                  <c:v>61.493056000000003</c:v>
                </c:pt>
                <c:pt idx="1000">
                  <c:v>61.48</c:v>
                </c:pt>
                <c:pt idx="1001">
                  <c:v>61.457222000000002</c:v>
                </c:pt>
                <c:pt idx="1002">
                  <c:v>61.494722000000003</c:v>
                </c:pt>
                <c:pt idx="1003">
                  <c:v>61.452778000000002</c:v>
                </c:pt>
                <c:pt idx="1004">
                  <c:v>61.483611000000003</c:v>
                </c:pt>
                <c:pt idx="1005">
                  <c:v>61.445556000000003</c:v>
                </c:pt>
                <c:pt idx="1006">
                  <c:v>61.443333000000003</c:v>
                </c:pt>
                <c:pt idx="1007">
                  <c:v>61.449722000000001</c:v>
                </c:pt>
                <c:pt idx="1008">
                  <c:v>61.463611</c:v>
                </c:pt>
                <c:pt idx="1009">
                  <c:v>61.433610999999999</c:v>
                </c:pt>
                <c:pt idx="1010">
                  <c:v>61.403888999999999</c:v>
                </c:pt>
                <c:pt idx="1011">
                  <c:v>61.411943999999998</c:v>
                </c:pt>
                <c:pt idx="1012">
                  <c:v>61.394722000000002</c:v>
                </c:pt>
                <c:pt idx="1013">
                  <c:v>61.337499999999999</c:v>
                </c:pt>
                <c:pt idx="1014">
                  <c:v>61.333333000000003</c:v>
                </c:pt>
                <c:pt idx="1015">
                  <c:v>61.364722</c:v>
                </c:pt>
                <c:pt idx="1016">
                  <c:v>61.376111000000002</c:v>
                </c:pt>
                <c:pt idx="1017">
                  <c:v>61.366388999999998</c:v>
                </c:pt>
                <c:pt idx="1018">
                  <c:v>61.370832999999998</c:v>
                </c:pt>
                <c:pt idx="1019">
                  <c:v>61.349722</c:v>
                </c:pt>
                <c:pt idx="1020">
                  <c:v>61.318055999999999</c:v>
                </c:pt>
                <c:pt idx="1021">
                  <c:v>61.260556000000001</c:v>
                </c:pt>
                <c:pt idx="1022">
                  <c:v>61.333055999999999</c:v>
                </c:pt>
                <c:pt idx="1023">
                  <c:v>61.301389</c:v>
                </c:pt>
                <c:pt idx="1024">
                  <c:v>61.271943999999998</c:v>
                </c:pt>
                <c:pt idx="1025">
                  <c:v>61.236944000000001</c:v>
                </c:pt>
                <c:pt idx="1026">
                  <c:v>61.215833000000003</c:v>
                </c:pt>
                <c:pt idx="1027">
                  <c:v>61.214167000000003</c:v>
                </c:pt>
                <c:pt idx="1028">
                  <c:v>61.173056000000003</c:v>
                </c:pt>
                <c:pt idx="1029">
                  <c:v>61.189444000000002</c:v>
                </c:pt>
                <c:pt idx="1030">
                  <c:v>61.144722000000002</c:v>
                </c:pt>
                <c:pt idx="1031">
                  <c:v>61.132221999999999</c:v>
                </c:pt>
                <c:pt idx="1032">
                  <c:v>61.100833000000002</c:v>
                </c:pt>
                <c:pt idx="1033">
                  <c:v>61.104722000000002</c:v>
                </c:pt>
                <c:pt idx="1034">
                  <c:v>61.079166999999998</c:v>
                </c:pt>
                <c:pt idx="1035">
                  <c:v>61.127222000000003</c:v>
                </c:pt>
                <c:pt idx="1036">
                  <c:v>61.149721999999997</c:v>
                </c:pt>
                <c:pt idx="1037">
                  <c:v>61.185833000000002</c:v>
                </c:pt>
                <c:pt idx="1038">
                  <c:v>61.158611000000001</c:v>
                </c:pt>
                <c:pt idx="1039">
                  <c:v>61.198332999999998</c:v>
                </c:pt>
                <c:pt idx="1040">
                  <c:v>61.150556000000002</c:v>
                </c:pt>
                <c:pt idx="1041">
                  <c:v>61.158332999999999</c:v>
                </c:pt>
                <c:pt idx="1042">
                  <c:v>61.138055999999999</c:v>
                </c:pt>
                <c:pt idx="1043">
                  <c:v>61.112777999999999</c:v>
                </c:pt>
                <c:pt idx="1044">
                  <c:v>61.151389000000002</c:v>
                </c:pt>
                <c:pt idx="1045">
                  <c:v>61.209167000000001</c:v>
                </c:pt>
                <c:pt idx="1046">
                  <c:v>61.256667</c:v>
                </c:pt>
                <c:pt idx="1047">
                  <c:v>61.264721999999999</c:v>
                </c:pt>
                <c:pt idx="1048">
                  <c:v>61.329721999999997</c:v>
                </c:pt>
                <c:pt idx="1049">
                  <c:v>61.401111</c:v>
                </c:pt>
                <c:pt idx="1050">
                  <c:v>61.327500000000001</c:v>
                </c:pt>
                <c:pt idx="1051">
                  <c:v>61.255833000000003</c:v>
                </c:pt>
                <c:pt idx="1052">
                  <c:v>61.203055999999997</c:v>
                </c:pt>
                <c:pt idx="1053">
                  <c:v>61.180833</c:v>
                </c:pt>
                <c:pt idx="1054">
                  <c:v>61.164166999999999</c:v>
                </c:pt>
                <c:pt idx="1055">
                  <c:v>61.150278</c:v>
                </c:pt>
                <c:pt idx="1056">
                  <c:v>61.121389000000001</c:v>
                </c:pt>
                <c:pt idx="1057">
                  <c:v>61.142778</c:v>
                </c:pt>
                <c:pt idx="1058">
                  <c:v>61.166389000000002</c:v>
                </c:pt>
                <c:pt idx="1059">
                  <c:v>61.192222000000001</c:v>
                </c:pt>
                <c:pt idx="1060">
                  <c:v>61.267221999999997</c:v>
                </c:pt>
                <c:pt idx="1061">
                  <c:v>61.325555999999999</c:v>
                </c:pt>
                <c:pt idx="1062">
                  <c:v>61.389443999999997</c:v>
                </c:pt>
                <c:pt idx="1063">
                  <c:v>61.403055999999999</c:v>
                </c:pt>
                <c:pt idx="1064">
                  <c:v>61.454444000000002</c:v>
                </c:pt>
                <c:pt idx="1065">
                  <c:v>61.457500000000003</c:v>
                </c:pt>
                <c:pt idx="1066">
                  <c:v>61.403888999999999</c:v>
                </c:pt>
                <c:pt idx="1067">
                  <c:v>61.342222</c:v>
                </c:pt>
                <c:pt idx="1068">
                  <c:v>61.277222000000002</c:v>
                </c:pt>
                <c:pt idx="1069">
                  <c:v>61.199722000000001</c:v>
                </c:pt>
                <c:pt idx="1070">
                  <c:v>61.205278</c:v>
                </c:pt>
                <c:pt idx="1071">
                  <c:v>61.227499999999999</c:v>
                </c:pt>
                <c:pt idx="1072">
                  <c:v>61.192777999999997</c:v>
                </c:pt>
                <c:pt idx="1073">
                  <c:v>61.164721999999998</c:v>
                </c:pt>
                <c:pt idx="1074">
                  <c:v>61.111666999999997</c:v>
                </c:pt>
                <c:pt idx="1075">
                  <c:v>61.109721999999998</c:v>
                </c:pt>
                <c:pt idx="1076">
                  <c:v>61.129443999999999</c:v>
                </c:pt>
                <c:pt idx="1077">
                  <c:v>61.101388999999998</c:v>
                </c:pt>
                <c:pt idx="1078">
                  <c:v>61.053610999999997</c:v>
                </c:pt>
                <c:pt idx="1079">
                  <c:v>60.979722000000002</c:v>
                </c:pt>
                <c:pt idx="1080">
                  <c:v>60.924722000000003</c:v>
                </c:pt>
                <c:pt idx="1081">
                  <c:v>60.864722</c:v>
                </c:pt>
                <c:pt idx="1082">
                  <c:v>60.941943999999999</c:v>
                </c:pt>
                <c:pt idx="1083">
                  <c:v>60.963056000000002</c:v>
                </c:pt>
                <c:pt idx="1084">
                  <c:v>60.941389000000001</c:v>
                </c:pt>
                <c:pt idx="1085">
                  <c:v>60.993333</c:v>
                </c:pt>
                <c:pt idx="1086">
                  <c:v>61.069721999999999</c:v>
                </c:pt>
                <c:pt idx="1087">
                  <c:v>61.110833</c:v>
                </c:pt>
                <c:pt idx="1088">
                  <c:v>61.147778000000002</c:v>
                </c:pt>
                <c:pt idx="1089">
                  <c:v>61.151389000000002</c:v>
                </c:pt>
                <c:pt idx="1090">
                  <c:v>61.094999999999999</c:v>
                </c:pt>
                <c:pt idx="1091">
                  <c:v>61.046944000000003</c:v>
                </c:pt>
                <c:pt idx="1092">
                  <c:v>61.032221999999997</c:v>
                </c:pt>
                <c:pt idx="1093">
                  <c:v>61.047499999999999</c:v>
                </c:pt>
                <c:pt idx="1094">
                  <c:v>61.092222</c:v>
                </c:pt>
                <c:pt idx="1095">
                  <c:v>61.116943999999997</c:v>
                </c:pt>
                <c:pt idx="1096">
                  <c:v>61.121389000000001</c:v>
                </c:pt>
                <c:pt idx="1097">
                  <c:v>61.088332999999999</c:v>
                </c:pt>
                <c:pt idx="1098">
                  <c:v>61.103056000000002</c:v>
                </c:pt>
                <c:pt idx="1099">
                  <c:v>61.087499999999999</c:v>
                </c:pt>
                <c:pt idx="1100">
                  <c:v>61.058610999999999</c:v>
                </c:pt>
                <c:pt idx="1101">
                  <c:v>61.054167</c:v>
                </c:pt>
                <c:pt idx="1102">
                  <c:v>61.008056000000003</c:v>
                </c:pt>
                <c:pt idx="1103">
                  <c:v>61.026944</c:v>
                </c:pt>
                <c:pt idx="1104">
                  <c:v>61.067777999999997</c:v>
                </c:pt>
                <c:pt idx="1105">
                  <c:v>61.05</c:v>
                </c:pt>
                <c:pt idx="1106">
                  <c:v>60.976944000000003</c:v>
                </c:pt>
                <c:pt idx="1107">
                  <c:v>60.973889</c:v>
                </c:pt>
                <c:pt idx="1108">
                  <c:v>60.899444000000003</c:v>
                </c:pt>
                <c:pt idx="1109">
                  <c:v>60.930833</c:v>
                </c:pt>
                <c:pt idx="1110">
                  <c:v>60.941110999999999</c:v>
                </c:pt>
                <c:pt idx="1111">
                  <c:v>60.863889</c:v>
                </c:pt>
                <c:pt idx="1112">
                  <c:v>60.83</c:v>
                </c:pt>
                <c:pt idx="1113">
                  <c:v>60.852221999999998</c:v>
                </c:pt>
                <c:pt idx="1114">
                  <c:v>60.818055999999999</c:v>
                </c:pt>
                <c:pt idx="1115">
                  <c:v>60.877777999999999</c:v>
                </c:pt>
                <c:pt idx="1116">
                  <c:v>60.902222000000002</c:v>
                </c:pt>
                <c:pt idx="1117">
                  <c:v>60.861389000000003</c:v>
                </c:pt>
                <c:pt idx="1118">
                  <c:v>60.848332999999997</c:v>
                </c:pt>
                <c:pt idx="1119">
                  <c:v>60.796111000000003</c:v>
                </c:pt>
                <c:pt idx="1120">
                  <c:v>60.745832999999998</c:v>
                </c:pt>
                <c:pt idx="1121">
                  <c:v>60.701943999999997</c:v>
                </c:pt>
                <c:pt idx="1122">
                  <c:v>60.677222</c:v>
                </c:pt>
                <c:pt idx="1123">
                  <c:v>60.631943999999997</c:v>
                </c:pt>
                <c:pt idx="1124">
                  <c:v>60.645833000000003</c:v>
                </c:pt>
                <c:pt idx="1125">
                  <c:v>60.678333000000002</c:v>
                </c:pt>
                <c:pt idx="1126">
                  <c:v>60.734999999999999</c:v>
                </c:pt>
                <c:pt idx="1127">
                  <c:v>60.768889000000001</c:v>
                </c:pt>
                <c:pt idx="1128">
                  <c:v>60.801943999999999</c:v>
                </c:pt>
                <c:pt idx="1129">
                  <c:v>60.753889000000001</c:v>
                </c:pt>
                <c:pt idx="1130">
                  <c:v>60.718611000000003</c:v>
                </c:pt>
                <c:pt idx="1131">
                  <c:v>60.691943999999999</c:v>
                </c:pt>
                <c:pt idx="1132">
                  <c:v>60.632778000000002</c:v>
                </c:pt>
                <c:pt idx="1133">
                  <c:v>60.647221999999999</c:v>
                </c:pt>
                <c:pt idx="1134">
                  <c:v>60.630277999999997</c:v>
                </c:pt>
                <c:pt idx="1135">
                  <c:v>60.573889000000001</c:v>
                </c:pt>
                <c:pt idx="1136">
                  <c:v>60.563333</c:v>
                </c:pt>
                <c:pt idx="1137">
                  <c:v>60.610833</c:v>
                </c:pt>
                <c:pt idx="1138">
                  <c:v>60.668056</c:v>
                </c:pt>
                <c:pt idx="1139">
                  <c:v>60.713056000000002</c:v>
                </c:pt>
                <c:pt idx="1140">
                  <c:v>60.736666999999997</c:v>
                </c:pt>
                <c:pt idx="1141">
                  <c:v>60.709167000000001</c:v>
                </c:pt>
                <c:pt idx="1142">
                  <c:v>60.650832999999999</c:v>
                </c:pt>
                <c:pt idx="1143">
                  <c:v>60.563889000000003</c:v>
                </c:pt>
                <c:pt idx="1144">
                  <c:v>60.476944000000003</c:v>
                </c:pt>
                <c:pt idx="1145">
                  <c:v>60.415278000000001</c:v>
                </c:pt>
                <c:pt idx="1146">
                  <c:v>60.433056000000001</c:v>
                </c:pt>
                <c:pt idx="1147">
                  <c:v>60.488610999999999</c:v>
                </c:pt>
                <c:pt idx="1148">
                  <c:v>60.510278</c:v>
                </c:pt>
                <c:pt idx="1149">
                  <c:v>60.444443999999997</c:v>
                </c:pt>
                <c:pt idx="1150">
                  <c:v>60.388055999999999</c:v>
                </c:pt>
                <c:pt idx="1151">
                  <c:v>60.366388999999998</c:v>
                </c:pt>
                <c:pt idx="1152">
                  <c:v>60.327500000000001</c:v>
                </c:pt>
                <c:pt idx="1153">
                  <c:v>60.273611000000002</c:v>
                </c:pt>
                <c:pt idx="1154">
                  <c:v>60.248055999999998</c:v>
                </c:pt>
                <c:pt idx="1155">
                  <c:v>60.208333000000003</c:v>
                </c:pt>
                <c:pt idx="1156">
                  <c:v>60.197499999999998</c:v>
                </c:pt>
                <c:pt idx="1157">
                  <c:v>60.155555999999997</c:v>
                </c:pt>
                <c:pt idx="1158">
                  <c:v>60.167222000000002</c:v>
                </c:pt>
                <c:pt idx="1159">
                  <c:v>60.221666999999997</c:v>
                </c:pt>
                <c:pt idx="1160">
                  <c:v>60.299166999999997</c:v>
                </c:pt>
                <c:pt idx="1161">
                  <c:v>60.346944000000001</c:v>
                </c:pt>
                <c:pt idx="1162">
                  <c:v>60.386944</c:v>
                </c:pt>
                <c:pt idx="1163">
                  <c:v>60.327500000000001</c:v>
                </c:pt>
                <c:pt idx="1164">
                  <c:v>60.264721999999999</c:v>
                </c:pt>
                <c:pt idx="1165">
                  <c:v>60.266111000000002</c:v>
                </c:pt>
                <c:pt idx="1166">
                  <c:v>60.236389000000003</c:v>
                </c:pt>
                <c:pt idx="1167">
                  <c:v>60.218333000000001</c:v>
                </c:pt>
                <c:pt idx="1168">
                  <c:v>60.165278000000001</c:v>
                </c:pt>
                <c:pt idx="1169">
                  <c:v>60.151944</c:v>
                </c:pt>
                <c:pt idx="1170">
                  <c:v>60.202221999999999</c:v>
                </c:pt>
                <c:pt idx="1171">
                  <c:v>60.175556</c:v>
                </c:pt>
                <c:pt idx="1172">
                  <c:v>60.108611000000003</c:v>
                </c:pt>
                <c:pt idx="1173">
                  <c:v>60.083055999999999</c:v>
                </c:pt>
                <c:pt idx="1174">
                  <c:v>60.063333</c:v>
                </c:pt>
                <c:pt idx="1175">
                  <c:v>60.001111000000002</c:v>
                </c:pt>
                <c:pt idx="1176">
                  <c:v>60.003610999999999</c:v>
                </c:pt>
                <c:pt idx="1177">
                  <c:v>60.047778000000001</c:v>
                </c:pt>
                <c:pt idx="1178">
                  <c:v>60.134999999999998</c:v>
                </c:pt>
                <c:pt idx="1179">
                  <c:v>60.174999999999997</c:v>
                </c:pt>
                <c:pt idx="1180">
                  <c:v>60.247222000000001</c:v>
                </c:pt>
                <c:pt idx="1181">
                  <c:v>60.243611000000001</c:v>
                </c:pt>
                <c:pt idx="1182">
                  <c:v>60.3</c:v>
                </c:pt>
                <c:pt idx="1183">
                  <c:v>60.358611000000003</c:v>
                </c:pt>
                <c:pt idx="1184">
                  <c:v>60.375278000000002</c:v>
                </c:pt>
                <c:pt idx="1185">
                  <c:v>60.443888999999999</c:v>
                </c:pt>
                <c:pt idx="1186">
                  <c:v>60.421666999999999</c:v>
                </c:pt>
                <c:pt idx="1187">
                  <c:v>60.398055999999997</c:v>
                </c:pt>
                <c:pt idx="1188">
                  <c:v>60.435277999999997</c:v>
                </c:pt>
                <c:pt idx="1189">
                  <c:v>60.470278</c:v>
                </c:pt>
                <c:pt idx="1190">
                  <c:v>60.513610999999997</c:v>
                </c:pt>
                <c:pt idx="1191">
                  <c:v>60.459167000000001</c:v>
                </c:pt>
                <c:pt idx="1192">
                  <c:v>60.443888999999999</c:v>
                </c:pt>
                <c:pt idx="1193">
                  <c:v>60.488610999999999</c:v>
                </c:pt>
                <c:pt idx="1194">
                  <c:v>60.543889</c:v>
                </c:pt>
                <c:pt idx="1195">
                  <c:v>60.582777999999998</c:v>
                </c:pt>
                <c:pt idx="1196">
                  <c:v>60.518332999999998</c:v>
                </c:pt>
                <c:pt idx="1197">
                  <c:v>60.5</c:v>
                </c:pt>
                <c:pt idx="1198">
                  <c:v>60.476666999999999</c:v>
                </c:pt>
                <c:pt idx="1199">
                  <c:v>60.480277999999998</c:v>
                </c:pt>
                <c:pt idx="1200">
                  <c:v>60.452778000000002</c:v>
                </c:pt>
                <c:pt idx="1201">
                  <c:v>60.383889000000003</c:v>
                </c:pt>
                <c:pt idx="1202">
                  <c:v>60.318610999999997</c:v>
                </c:pt>
                <c:pt idx="1203">
                  <c:v>60.238056</c:v>
                </c:pt>
                <c:pt idx="1204">
                  <c:v>60.159722000000002</c:v>
                </c:pt>
                <c:pt idx="1205">
                  <c:v>60.085000000000001</c:v>
                </c:pt>
                <c:pt idx="1206">
                  <c:v>60.178610999999997</c:v>
                </c:pt>
                <c:pt idx="1207">
                  <c:v>60.269722000000002</c:v>
                </c:pt>
                <c:pt idx="1208">
                  <c:v>60.346944000000001</c:v>
                </c:pt>
                <c:pt idx="1209">
                  <c:v>60.416944000000001</c:v>
                </c:pt>
                <c:pt idx="1210">
                  <c:v>60.414999999999999</c:v>
                </c:pt>
                <c:pt idx="1211">
                  <c:v>60.366110999999997</c:v>
                </c:pt>
                <c:pt idx="1212">
                  <c:v>60.313056000000003</c:v>
                </c:pt>
                <c:pt idx="1213">
                  <c:v>60.262777999999997</c:v>
                </c:pt>
                <c:pt idx="1214">
                  <c:v>60.205278</c:v>
                </c:pt>
                <c:pt idx="1215">
                  <c:v>60.145277999999998</c:v>
                </c:pt>
                <c:pt idx="1216">
                  <c:v>60.113056</c:v>
                </c:pt>
                <c:pt idx="1217">
                  <c:v>60.153610999999998</c:v>
                </c:pt>
                <c:pt idx="1218">
                  <c:v>60.108611000000003</c:v>
                </c:pt>
                <c:pt idx="1219">
                  <c:v>60.080556000000001</c:v>
                </c:pt>
                <c:pt idx="1220">
                  <c:v>60.025556000000002</c:v>
                </c:pt>
                <c:pt idx="1221">
                  <c:v>59.958888999999999</c:v>
                </c:pt>
                <c:pt idx="1222">
                  <c:v>59.936943999999997</c:v>
                </c:pt>
                <c:pt idx="1223">
                  <c:v>59.881388999999999</c:v>
                </c:pt>
                <c:pt idx="1224">
                  <c:v>59.835000000000001</c:v>
                </c:pt>
                <c:pt idx="1225">
                  <c:v>59.825000000000003</c:v>
                </c:pt>
                <c:pt idx="1226">
                  <c:v>59.773055999999997</c:v>
                </c:pt>
                <c:pt idx="1227">
                  <c:v>59.804167</c:v>
                </c:pt>
                <c:pt idx="1228">
                  <c:v>59.835278000000002</c:v>
                </c:pt>
                <c:pt idx="1229">
                  <c:v>59.762500000000003</c:v>
                </c:pt>
                <c:pt idx="1230">
                  <c:v>59.783056000000002</c:v>
                </c:pt>
                <c:pt idx="1231">
                  <c:v>59.824444</c:v>
                </c:pt>
                <c:pt idx="1232">
                  <c:v>59.848056</c:v>
                </c:pt>
                <c:pt idx="1233">
                  <c:v>59.804167</c:v>
                </c:pt>
                <c:pt idx="1234">
                  <c:v>59.754443999999999</c:v>
                </c:pt>
                <c:pt idx="1235">
                  <c:v>59.738056</c:v>
                </c:pt>
                <c:pt idx="1236">
                  <c:v>59.731389</c:v>
                </c:pt>
                <c:pt idx="1237">
                  <c:v>59.677778000000004</c:v>
                </c:pt>
                <c:pt idx="1238">
                  <c:v>59.669722</c:v>
                </c:pt>
                <c:pt idx="1239">
                  <c:v>59.636667000000003</c:v>
                </c:pt>
                <c:pt idx="1240">
                  <c:v>59.636389000000001</c:v>
                </c:pt>
                <c:pt idx="1241">
                  <c:v>59.668889</c:v>
                </c:pt>
                <c:pt idx="1242">
                  <c:v>59.623610999999997</c:v>
                </c:pt>
                <c:pt idx="1243">
                  <c:v>59.543332999999997</c:v>
                </c:pt>
                <c:pt idx="1244">
                  <c:v>59.508889000000003</c:v>
                </c:pt>
                <c:pt idx="1245">
                  <c:v>59.564444000000002</c:v>
                </c:pt>
                <c:pt idx="1246">
                  <c:v>59.649721999999997</c:v>
                </c:pt>
                <c:pt idx="1247">
                  <c:v>59.724722</c:v>
                </c:pt>
                <c:pt idx="1248">
                  <c:v>59.676110999999999</c:v>
                </c:pt>
                <c:pt idx="1249">
                  <c:v>59.611944000000001</c:v>
                </c:pt>
                <c:pt idx="1250">
                  <c:v>59.65</c:v>
                </c:pt>
                <c:pt idx="1251">
                  <c:v>59.598610999999998</c:v>
                </c:pt>
                <c:pt idx="1252">
                  <c:v>59.540278000000001</c:v>
                </c:pt>
                <c:pt idx="1253">
                  <c:v>59.496667000000002</c:v>
                </c:pt>
                <c:pt idx="1254">
                  <c:v>59.424444000000001</c:v>
                </c:pt>
                <c:pt idx="1255">
                  <c:v>59.355277999999998</c:v>
                </c:pt>
                <c:pt idx="1256">
                  <c:v>59.387222000000001</c:v>
                </c:pt>
                <c:pt idx="1257">
                  <c:v>59.362222000000003</c:v>
                </c:pt>
                <c:pt idx="1258">
                  <c:v>59.292222000000002</c:v>
                </c:pt>
                <c:pt idx="1259">
                  <c:v>59.382221999999999</c:v>
                </c:pt>
                <c:pt idx="1260">
                  <c:v>59.348889</c:v>
                </c:pt>
                <c:pt idx="1261">
                  <c:v>59.276389000000002</c:v>
                </c:pt>
                <c:pt idx="1262">
                  <c:v>59.332222000000002</c:v>
                </c:pt>
                <c:pt idx="1263">
                  <c:v>59.411667000000001</c:v>
                </c:pt>
                <c:pt idx="1264">
                  <c:v>59.347777999999998</c:v>
                </c:pt>
                <c:pt idx="1265">
                  <c:v>59.287222</c:v>
                </c:pt>
                <c:pt idx="1266">
                  <c:v>59.336111000000002</c:v>
                </c:pt>
                <c:pt idx="1267">
                  <c:v>59.342778000000003</c:v>
                </c:pt>
                <c:pt idx="1268">
                  <c:v>59.411389</c:v>
                </c:pt>
                <c:pt idx="1269">
                  <c:v>59.411389</c:v>
                </c:pt>
                <c:pt idx="1270">
                  <c:v>59.436667</c:v>
                </c:pt>
                <c:pt idx="1271">
                  <c:v>59.450555999999999</c:v>
                </c:pt>
                <c:pt idx="1272">
                  <c:v>59.519167000000003</c:v>
                </c:pt>
                <c:pt idx="1273">
                  <c:v>59.488332999999997</c:v>
                </c:pt>
                <c:pt idx="1274">
                  <c:v>59.471389000000002</c:v>
                </c:pt>
                <c:pt idx="1275">
                  <c:v>59.473056</c:v>
                </c:pt>
                <c:pt idx="1276">
                  <c:v>59.445556000000003</c:v>
                </c:pt>
                <c:pt idx="1277">
                  <c:v>59.408889000000002</c:v>
                </c:pt>
                <c:pt idx="1278">
                  <c:v>59.353611000000001</c:v>
                </c:pt>
                <c:pt idx="1279">
                  <c:v>59.41</c:v>
                </c:pt>
                <c:pt idx="1280">
                  <c:v>59.408889000000002</c:v>
                </c:pt>
                <c:pt idx="1281">
                  <c:v>59.459443999999998</c:v>
                </c:pt>
                <c:pt idx="1282">
                  <c:v>59.53</c:v>
                </c:pt>
                <c:pt idx="1283">
                  <c:v>59.614443999999999</c:v>
                </c:pt>
                <c:pt idx="1284">
                  <c:v>59.626666999999998</c:v>
                </c:pt>
                <c:pt idx="1285">
                  <c:v>59.544443999999999</c:v>
                </c:pt>
                <c:pt idx="1286">
                  <c:v>59.545278000000003</c:v>
                </c:pt>
                <c:pt idx="1287">
                  <c:v>59.564999999999998</c:v>
                </c:pt>
                <c:pt idx="1288">
                  <c:v>59.551110999999999</c:v>
                </c:pt>
                <c:pt idx="1289">
                  <c:v>59.518332999999998</c:v>
                </c:pt>
                <c:pt idx="1290">
                  <c:v>59.460833000000001</c:v>
                </c:pt>
                <c:pt idx="1291">
                  <c:v>59.417222000000002</c:v>
                </c:pt>
                <c:pt idx="1292">
                  <c:v>59.369722000000003</c:v>
                </c:pt>
                <c:pt idx="1293">
                  <c:v>59.337221999999997</c:v>
                </c:pt>
                <c:pt idx="1294">
                  <c:v>59.331111</c:v>
                </c:pt>
                <c:pt idx="1295">
                  <c:v>59.359444000000003</c:v>
                </c:pt>
                <c:pt idx="1296">
                  <c:v>59.311943999999997</c:v>
                </c:pt>
                <c:pt idx="1297">
                  <c:v>59.284166999999997</c:v>
                </c:pt>
                <c:pt idx="1298">
                  <c:v>59.278610999999998</c:v>
                </c:pt>
                <c:pt idx="1299">
                  <c:v>59.320278000000002</c:v>
                </c:pt>
                <c:pt idx="1300">
                  <c:v>59.316667000000002</c:v>
                </c:pt>
                <c:pt idx="1301">
                  <c:v>59.297499999999999</c:v>
                </c:pt>
                <c:pt idx="1302">
                  <c:v>59.257221999999999</c:v>
                </c:pt>
                <c:pt idx="1303">
                  <c:v>59.207500000000003</c:v>
                </c:pt>
                <c:pt idx="1304">
                  <c:v>59.143056000000001</c:v>
                </c:pt>
                <c:pt idx="1305">
                  <c:v>59.137500000000003</c:v>
                </c:pt>
                <c:pt idx="1306">
                  <c:v>59.115555999999998</c:v>
                </c:pt>
                <c:pt idx="1307">
                  <c:v>59.061667</c:v>
                </c:pt>
                <c:pt idx="1308">
                  <c:v>59.013888999999999</c:v>
                </c:pt>
                <c:pt idx="1309">
                  <c:v>58.9925</c:v>
                </c:pt>
                <c:pt idx="1310">
                  <c:v>58.925556</c:v>
                </c:pt>
                <c:pt idx="1311">
                  <c:v>58.938611000000002</c:v>
                </c:pt>
                <c:pt idx="1312">
                  <c:v>58.995556000000001</c:v>
                </c:pt>
                <c:pt idx="1313">
                  <c:v>59.016944000000002</c:v>
                </c:pt>
                <c:pt idx="1314">
                  <c:v>59.041666999999997</c:v>
                </c:pt>
                <c:pt idx="1315">
                  <c:v>59.057222000000003</c:v>
                </c:pt>
                <c:pt idx="1316">
                  <c:v>59.028888999999999</c:v>
                </c:pt>
                <c:pt idx="1317">
                  <c:v>59.006667</c:v>
                </c:pt>
                <c:pt idx="1318">
                  <c:v>58.978889000000002</c:v>
                </c:pt>
                <c:pt idx="1319">
                  <c:v>58.930556000000003</c:v>
                </c:pt>
                <c:pt idx="1320">
                  <c:v>58.863056</c:v>
                </c:pt>
                <c:pt idx="1321">
                  <c:v>58.834167000000001</c:v>
                </c:pt>
                <c:pt idx="1322">
                  <c:v>58.852499999999999</c:v>
                </c:pt>
                <c:pt idx="1323">
                  <c:v>58.900556000000002</c:v>
                </c:pt>
                <c:pt idx="1324">
                  <c:v>58.956944</c:v>
                </c:pt>
                <c:pt idx="1325">
                  <c:v>58.925556</c:v>
                </c:pt>
                <c:pt idx="1326">
                  <c:v>58.868611000000001</c:v>
                </c:pt>
                <c:pt idx="1327">
                  <c:v>58.959443999999998</c:v>
                </c:pt>
                <c:pt idx="1328">
                  <c:v>59.0075</c:v>
                </c:pt>
                <c:pt idx="1329">
                  <c:v>58.994722000000003</c:v>
                </c:pt>
                <c:pt idx="1330">
                  <c:v>58.967500000000001</c:v>
                </c:pt>
                <c:pt idx="1331">
                  <c:v>58.907778</c:v>
                </c:pt>
                <c:pt idx="1332">
                  <c:v>58.946666999999998</c:v>
                </c:pt>
                <c:pt idx="1333">
                  <c:v>58.879443999999999</c:v>
                </c:pt>
                <c:pt idx="1334">
                  <c:v>58.802500000000002</c:v>
                </c:pt>
                <c:pt idx="1336">
                  <c:v>58.687221999999998</c:v>
                </c:pt>
                <c:pt idx="1337">
                  <c:v>58.623333000000002</c:v>
                </c:pt>
                <c:pt idx="1338">
                  <c:v>58.551943999999999</c:v>
                </c:pt>
                <c:pt idx="1339">
                  <c:v>58.504167000000002</c:v>
                </c:pt>
                <c:pt idx="1340">
                  <c:v>58.473610999999998</c:v>
                </c:pt>
                <c:pt idx="1341">
                  <c:v>58.425277999999999</c:v>
                </c:pt>
                <c:pt idx="1342">
                  <c:v>58.370832999999998</c:v>
                </c:pt>
                <c:pt idx="1343">
                  <c:v>58.330556000000001</c:v>
                </c:pt>
                <c:pt idx="1344">
                  <c:v>58.289444000000003</c:v>
                </c:pt>
                <c:pt idx="1345">
                  <c:v>58.265278000000002</c:v>
                </c:pt>
                <c:pt idx="1346">
                  <c:v>58.237777999999999</c:v>
                </c:pt>
                <c:pt idx="1347">
                  <c:v>58.313611000000002</c:v>
                </c:pt>
                <c:pt idx="1348">
                  <c:v>58.300277999999999</c:v>
                </c:pt>
                <c:pt idx="1349">
                  <c:v>58.26</c:v>
                </c:pt>
                <c:pt idx="1350">
                  <c:v>58.236944000000001</c:v>
                </c:pt>
                <c:pt idx="1351">
                  <c:v>58.270833000000003</c:v>
                </c:pt>
                <c:pt idx="1352">
                  <c:v>58.226944000000003</c:v>
                </c:pt>
                <c:pt idx="1353">
                  <c:v>58.178610999999997</c:v>
                </c:pt>
                <c:pt idx="1354">
                  <c:v>58.132778000000002</c:v>
                </c:pt>
                <c:pt idx="1355">
                  <c:v>58.084167000000001</c:v>
                </c:pt>
                <c:pt idx="1356">
                  <c:v>58.064166999999998</c:v>
                </c:pt>
                <c:pt idx="1357">
                  <c:v>58.092778000000003</c:v>
                </c:pt>
                <c:pt idx="1358">
                  <c:v>58.148055999999997</c:v>
                </c:pt>
                <c:pt idx="1359">
                  <c:v>58.133889000000003</c:v>
                </c:pt>
                <c:pt idx="1360">
                  <c:v>58.129443999999999</c:v>
                </c:pt>
                <c:pt idx="1361">
                  <c:v>58.174999999999997</c:v>
                </c:pt>
                <c:pt idx="1362">
                  <c:v>58.123888999999998</c:v>
                </c:pt>
                <c:pt idx="1363">
                  <c:v>58.118611000000001</c:v>
                </c:pt>
                <c:pt idx="1364">
                  <c:v>58.095556000000002</c:v>
                </c:pt>
                <c:pt idx="1365">
                  <c:v>58.093055999999997</c:v>
                </c:pt>
                <c:pt idx="1366">
                  <c:v>58.070556000000003</c:v>
                </c:pt>
                <c:pt idx="1367">
                  <c:v>58.080278</c:v>
                </c:pt>
                <c:pt idx="1368">
                  <c:v>58.044167000000002</c:v>
                </c:pt>
                <c:pt idx="1369">
                  <c:v>58.080278</c:v>
                </c:pt>
                <c:pt idx="1370">
                  <c:v>58.056389000000003</c:v>
                </c:pt>
                <c:pt idx="1371">
                  <c:v>58.038888999999998</c:v>
                </c:pt>
                <c:pt idx="1372">
                  <c:v>57.994444000000001</c:v>
                </c:pt>
                <c:pt idx="1373">
                  <c:v>58.039444000000003</c:v>
                </c:pt>
                <c:pt idx="1374">
                  <c:v>58.050832999999997</c:v>
                </c:pt>
                <c:pt idx="1375">
                  <c:v>58.02</c:v>
                </c:pt>
                <c:pt idx="1376">
                  <c:v>58.005555999999999</c:v>
                </c:pt>
                <c:pt idx="1377">
                  <c:v>58.037500000000001</c:v>
                </c:pt>
                <c:pt idx="1378">
                  <c:v>58.040278000000001</c:v>
                </c:pt>
                <c:pt idx="1379">
                  <c:v>58.068055999999999</c:v>
                </c:pt>
                <c:pt idx="1380">
                  <c:v>58.079721999999997</c:v>
                </c:pt>
                <c:pt idx="1381">
                  <c:v>58.119166999999997</c:v>
                </c:pt>
                <c:pt idx="1382">
                  <c:v>58.174722000000003</c:v>
                </c:pt>
                <c:pt idx="1383">
                  <c:v>58.203055999999997</c:v>
                </c:pt>
                <c:pt idx="1384">
                  <c:v>58.141944000000002</c:v>
                </c:pt>
                <c:pt idx="1385">
                  <c:v>58.1</c:v>
                </c:pt>
                <c:pt idx="1386">
                  <c:v>58.131943999999997</c:v>
                </c:pt>
                <c:pt idx="1387">
                  <c:v>58.163333000000002</c:v>
                </c:pt>
                <c:pt idx="1388">
                  <c:v>58.210278000000002</c:v>
                </c:pt>
                <c:pt idx="1389">
                  <c:v>58.236111000000001</c:v>
                </c:pt>
                <c:pt idx="1390">
                  <c:v>58.258889000000003</c:v>
                </c:pt>
                <c:pt idx="1391">
                  <c:v>58.298889000000003</c:v>
                </c:pt>
                <c:pt idx="1392">
                  <c:v>58.331667000000003</c:v>
                </c:pt>
                <c:pt idx="1393">
                  <c:v>58.368611000000001</c:v>
                </c:pt>
                <c:pt idx="1394">
                  <c:v>58.436110999999997</c:v>
                </c:pt>
                <c:pt idx="1395">
                  <c:v>58.476944000000003</c:v>
                </c:pt>
                <c:pt idx="1396">
                  <c:v>58.534722000000002</c:v>
                </c:pt>
                <c:pt idx="1397">
                  <c:v>58.601111000000003</c:v>
                </c:pt>
                <c:pt idx="1399">
                  <c:v>54.795555999999998</c:v>
                </c:pt>
                <c:pt idx="1400">
                  <c:v>54.844721999999997</c:v>
                </c:pt>
                <c:pt idx="1401">
                  <c:v>54.894722000000002</c:v>
                </c:pt>
                <c:pt idx="1402">
                  <c:v>54.937221999999998</c:v>
                </c:pt>
                <c:pt idx="1403">
                  <c:v>54.973332999999997</c:v>
                </c:pt>
                <c:pt idx="1404">
                  <c:v>55.012222000000001</c:v>
                </c:pt>
                <c:pt idx="1405">
                  <c:v>55.049166999999997</c:v>
                </c:pt>
                <c:pt idx="1406">
                  <c:v>55.050832999999997</c:v>
                </c:pt>
                <c:pt idx="1407">
                  <c:v>55.047221999999998</c:v>
                </c:pt>
                <c:pt idx="1408">
                  <c:v>55.022221999999999</c:v>
                </c:pt>
                <c:pt idx="1409">
                  <c:v>54.999443999999997</c:v>
                </c:pt>
                <c:pt idx="1410">
                  <c:v>54.966943999999998</c:v>
                </c:pt>
                <c:pt idx="1411">
                  <c:v>54.923056000000003</c:v>
                </c:pt>
                <c:pt idx="1412">
                  <c:v>54.890555999999997</c:v>
                </c:pt>
                <c:pt idx="1413">
                  <c:v>54.878889000000001</c:v>
                </c:pt>
                <c:pt idx="1414">
                  <c:v>54.886944</c:v>
                </c:pt>
                <c:pt idx="1415">
                  <c:v>54.890278000000002</c:v>
                </c:pt>
                <c:pt idx="1416">
                  <c:v>54.883333</c:v>
                </c:pt>
                <c:pt idx="1417">
                  <c:v>54.877777999999999</c:v>
                </c:pt>
                <c:pt idx="1418">
                  <c:v>54.859444000000003</c:v>
                </c:pt>
                <c:pt idx="1419">
                  <c:v>54.860833</c:v>
                </c:pt>
                <c:pt idx="1420">
                  <c:v>54.873333000000002</c:v>
                </c:pt>
                <c:pt idx="1421">
                  <c:v>54.841388999999999</c:v>
                </c:pt>
                <c:pt idx="1422">
                  <c:v>54.795555999999998</c:v>
                </c:pt>
                <c:pt idx="1423">
                  <c:v>54.752222000000003</c:v>
                </c:pt>
                <c:pt idx="1425">
                  <c:v>54.743611000000001</c:v>
                </c:pt>
                <c:pt idx="1426">
                  <c:v>54.750556000000003</c:v>
                </c:pt>
                <c:pt idx="1427">
                  <c:v>54.752777999999999</c:v>
                </c:pt>
                <c:pt idx="1428">
                  <c:v>54.723610999999998</c:v>
                </c:pt>
                <c:pt idx="1429">
                  <c:v>54.687221999999998</c:v>
                </c:pt>
                <c:pt idx="1430">
                  <c:v>54.685833000000002</c:v>
                </c:pt>
                <c:pt idx="1431">
                  <c:v>54.699722000000001</c:v>
                </c:pt>
                <c:pt idx="1433">
                  <c:v>54.673333</c:v>
                </c:pt>
                <c:pt idx="1434">
                  <c:v>54.640278000000002</c:v>
                </c:pt>
                <c:pt idx="1435">
                  <c:v>54.620277999999999</c:v>
                </c:pt>
                <c:pt idx="1436">
                  <c:v>54.618056000000003</c:v>
                </c:pt>
                <c:pt idx="1437">
                  <c:v>54.650556000000002</c:v>
                </c:pt>
                <c:pt idx="1438">
                  <c:v>54.687221999999998</c:v>
                </c:pt>
                <c:pt idx="1439">
                  <c:v>54.711666999999998</c:v>
                </c:pt>
                <c:pt idx="1441">
                  <c:v>54.684443999999999</c:v>
                </c:pt>
                <c:pt idx="1443">
                  <c:v>54.634721999999996</c:v>
                </c:pt>
                <c:pt idx="1444">
                  <c:v>54.620832999999998</c:v>
                </c:pt>
                <c:pt idx="1445">
                  <c:v>54.640278000000002</c:v>
                </c:pt>
                <c:pt idx="1446">
                  <c:v>54.652500000000003</c:v>
                </c:pt>
                <c:pt idx="1448">
                  <c:v>54.574722000000001</c:v>
                </c:pt>
                <c:pt idx="1450">
                  <c:v>54.558332999999998</c:v>
                </c:pt>
                <c:pt idx="1451">
                  <c:v>54.581667000000003</c:v>
                </c:pt>
                <c:pt idx="1453">
                  <c:v>54.497500000000002</c:v>
                </c:pt>
                <c:pt idx="1454">
                  <c:v>54.535277999999998</c:v>
                </c:pt>
                <c:pt idx="1456">
                  <c:v>54.640555999999997</c:v>
                </c:pt>
                <c:pt idx="1458">
                  <c:v>54.511389000000001</c:v>
                </c:pt>
                <c:pt idx="1459">
                  <c:v>54.491667</c:v>
                </c:pt>
                <c:pt idx="1460">
                  <c:v>54.515555999999997</c:v>
                </c:pt>
                <c:pt idx="1461">
                  <c:v>54.540556000000002</c:v>
                </c:pt>
                <c:pt idx="1462">
                  <c:v>54.554167</c:v>
                </c:pt>
                <c:pt idx="1464">
                  <c:v>54.425556</c:v>
                </c:pt>
                <c:pt idx="1465">
                  <c:v>54.453611000000002</c:v>
                </c:pt>
                <c:pt idx="1466">
                  <c:v>54.451943999999997</c:v>
                </c:pt>
                <c:pt idx="1468">
                  <c:v>54.544443999999999</c:v>
                </c:pt>
                <c:pt idx="1470">
                  <c:v>54.304721999999998</c:v>
                </c:pt>
                <c:pt idx="1471">
                  <c:v>54.305833</c:v>
                </c:pt>
                <c:pt idx="1472">
                  <c:v>54.348056</c:v>
                </c:pt>
                <c:pt idx="1474">
                  <c:v>54.075277999999997</c:v>
                </c:pt>
                <c:pt idx="1475">
                  <c:v>54.041111000000001</c:v>
                </c:pt>
                <c:pt idx="1477">
                  <c:v>53.939444000000002</c:v>
                </c:pt>
                <c:pt idx="1478">
                  <c:v>53.944167</c:v>
                </c:pt>
                <c:pt idx="1479">
                  <c:v>53.964167000000003</c:v>
                </c:pt>
                <c:pt idx="1481">
                  <c:v>53.926943999999999</c:v>
                </c:pt>
                <c:pt idx="1483">
                  <c:v>53.714722000000002</c:v>
                </c:pt>
                <c:pt idx="1484">
                  <c:v>53.732500000000002</c:v>
                </c:pt>
                <c:pt idx="1485">
                  <c:v>53.725000000000001</c:v>
                </c:pt>
                <c:pt idx="1487">
                  <c:v>53.781666999999999</c:v>
                </c:pt>
                <c:pt idx="1488">
                  <c:v>53.792499999999997</c:v>
                </c:pt>
                <c:pt idx="1489">
                  <c:v>53.785556</c:v>
                </c:pt>
                <c:pt idx="1490">
                  <c:v>53.779443999999998</c:v>
                </c:pt>
                <c:pt idx="1492">
                  <c:v>53.760832999999998</c:v>
                </c:pt>
                <c:pt idx="1493">
                  <c:v>53.754722000000001</c:v>
                </c:pt>
                <c:pt idx="1494">
                  <c:v>53.778888999999999</c:v>
                </c:pt>
                <c:pt idx="1495">
                  <c:v>53.777500000000003</c:v>
                </c:pt>
                <c:pt idx="1497">
                  <c:v>53.747222000000001</c:v>
                </c:pt>
                <c:pt idx="1498">
                  <c:v>53.727778000000001</c:v>
                </c:pt>
                <c:pt idx="1499">
                  <c:v>53.74</c:v>
                </c:pt>
                <c:pt idx="1500">
                  <c:v>53.759721999999996</c:v>
                </c:pt>
                <c:pt idx="1501">
                  <c:v>53.760832999999998</c:v>
                </c:pt>
                <c:pt idx="1503">
                  <c:v>53.731110999999999</c:v>
                </c:pt>
                <c:pt idx="1504">
                  <c:v>53.720556000000002</c:v>
                </c:pt>
                <c:pt idx="1506">
                  <c:v>53.708333000000003</c:v>
                </c:pt>
                <c:pt idx="1507">
                  <c:v>53.703888999999997</c:v>
                </c:pt>
                <c:pt idx="1508">
                  <c:v>53.702221999999999</c:v>
                </c:pt>
                <c:pt idx="1509">
                  <c:v>53.721944000000001</c:v>
                </c:pt>
                <c:pt idx="1510">
                  <c:v>53.725555999999997</c:v>
                </c:pt>
                <c:pt idx="1511">
                  <c:v>53.724443999999998</c:v>
                </c:pt>
                <c:pt idx="1513">
                  <c:v>53.677778000000004</c:v>
                </c:pt>
                <c:pt idx="1514">
                  <c:v>53.669443999999999</c:v>
                </c:pt>
                <c:pt idx="1515">
                  <c:v>53.674166999999997</c:v>
                </c:pt>
                <c:pt idx="1516">
                  <c:v>53.681389000000003</c:v>
                </c:pt>
                <c:pt idx="1517">
                  <c:v>53.685277999999997</c:v>
                </c:pt>
                <c:pt idx="1519">
                  <c:v>53.629443999999999</c:v>
                </c:pt>
                <c:pt idx="1520">
                  <c:v>53.651944</c:v>
                </c:pt>
                <c:pt idx="1522">
                  <c:v>53.590555999999999</c:v>
                </c:pt>
                <c:pt idx="1523">
                  <c:v>53.567500000000003</c:v>
                </c:pt>
                <c:pt idx="1524">
                  <c:v>53.570833</c:v>
                </c:pt>
                <c:pt idx="1525">
                  <c:v>53.589722000000002</c:v>
                </c:pt>
                <c:pt idx="1526">
                  <c:v>53.609166999999999</c:v>
                </c:pt>
                <c:pt idx="1527">
                  <c:v>53.615000000000002</c:v>
                </c:pt>
                <c:pt idx="1529">
                  <c:v>53.546666999999999</c:v>
                </c:pt>
                <c:pt idx="1531">
                  <c:v>53.545555999999998</c:v>
                </c:pt>
                <c:pt idx="1532">
                  <c:v>53.542499999999997</c:v>
                </c:pt>
                <c:pt idx="1534">
                  <c:v>53.484444000000003</c:v>
                </c:pt>
                <c:pt idx="1535">
                  <c:v>53.474167000000001</c:v>
                </c:pt>
                <c:pt idx="1536">
                  <c:v>53.459167000000001</c:v>
                </c:pt>
                <c:pt idx="1537">
                  <c:v>53.475000000000001</c:v>
                </c:pt>
                <c:pt idx="1538">
                  <c:v>53.499443999999997</c:v>
                </c:pt>
                <c:pt idx="1539">
                  <c:v>53.504722000000001</c:v>
                </c:pt>
                <c:pt idx="1540">
                  <c:v>53.511111</c:v>
                </c:pt>
                <c:pt idx="1542">
                  <c:v>53.458055999999999</c:v>
                </c:pt>
                <c:pt idx="1544">
                  <c:v>54.474167000000001</c:v>
                </c:pt>
                <c:pt idx="1545">
                  <c:v>54.461944000000003</c:v>
                </c:pt>
                <c:pt idx="1546">
                  <c:v>54.481389</c:v>
                </c:pt>
                <c:pt idx="1547">
                  <c:v>54.510278</c:v>
                </c:pt>
                <c:pt idx="1548">
                  <c:v>54.523888999999997</c:v>
                </c:pt>
                <c:pt idx="1549">
                  <c:v>54.515278000000002</c:v>
                </c:pt>
                <c:pt idx="1551">
                  <c:v>47.020555999999999</c:v>
                </c:pt>
                <c:pt idx="1552">
                  <c:v>47.030555999999997</c:v>
                </c:pt>
                <c:pt idx="1554">
                  <c:v>47.252499999999998</c:v>
                </c:pt>
                <c:pt idx="1556">
                  <c:v>47.391111000000002</c:v>
                </c:pt>
                <c:pt idx="1558">
                  <c:v>47.367778000000001</c:v>
                </c:pt>
                <c:pt idx="1559">
                  <c:v>47.331944</c:v>
                </c:pt>
                <c:pt idx="1560">
                  <c:v>47.306666999999997</c:v>
                </c:pt>
                <c:pt idx="1561">
                  <c:v>47.297221999999998</c:v>
                </c:pt>
                <c:pt idx="1562">
                  <c:v>47.301943999999999</c:v>
                </c:pt>
                <c:pt idx="1563">
                  <c:v>47.332777999999998</c:v>
                </c:pt>
                <c:pt idx="1564">
                  <c:v>47.374721999999998</c:v>
                </c:pt>
                <c:pt idx="1566">
                  <c:v>47.57</c:v>
                </c:pt>
                <c:pt idx="1567">
                  <c:v>47.603056000000002</c:v>
                </c:pt>
                <c:pt idx="1569">
                  <c:v>47.590555999999999</c:v>
                </c:pt>
                <c:pt idx="1571">
                  <c:v>47.714444</c:v>
                </c:pt>
                <c:pt idx="1573">
                  <c:v>47.638610999999997</c:v>
                </c:pt>
                <c:pt idx="1574">
                  <c:v>47.630833000000003</c:v>
                </c:pt>
                <c:pt idx="1576">
                  <c:v>48.454721999999997</c:v>
                </c:pt>
                <c:pt idx="1577">
                  <c:v>48.459167000000001</c:v>
                </c:pt>
                <c:pt idx="1578">
                  <c:v>48.471389000000002</c:v>
                </c:pt>
                <c:pt idx="1580">
                  <c:v>48.746667000000002</c:v>
                </c:pt>
                <c:pt idx="1582">
                  <c:v>48.854999999999997</c:v>
                </c:pt>
                <c:pt idx="1584">
                  <c:v>49.234999999999999</c:v>
                </c:pt>
                <c:pt idx="1585">
                  <c:v>49.184722000000001</c:v>
                </c:pt>
                <c:pt idx="1586">
                  <c:v>49.171388999999998</c:v>
                </c:pt>
                <c:pt idx="1587">
                  <c:v>49.199167000000003</c:v>
                </c:pt>
                <c:pt idx="1588">
                  <c:v>49.18</c:v>
                </c:pt>
                <c:pt idx="1589">
                  <c:v>49.1875</c:v>
                </c:pt>
                <c:pt idx="1590">
                  <c:v>49.236944000000001</c:v>
                </c:pt>
                <c:pt idx="1591">
                  <c:v>49.251944000000002</c:v>
                </c:pt>
                <c:pt idx="1592">
                  <c:v>49.254443999999999</c:v>
                </c:pt>
                <c:pt idx="1594">
                  <c:v>49.420555999999998</c:v>
                </c:pt>
                <c:pt idx="1596">
                  <c:v>49.456111</c:v>
                </c:pt>
                <c:pt idx="1597">
                  <c:v>49.424166999999997</c:v>
                </c:pt>
                <c:pt idx="1598">
                  <c:v>49.425556</c:v>
                </c:pt>
                <c:pt idx="1599">
                  <c:v>49.458888999999999</c:v>
                </c:pt>
                <c:pt idx="1600">
                  <c:v>49.481389</c:v>
                </c:pt>
                <c:pt idx="1601">
                  <c:v>49.508611000000002</c:v>
                </c:pt>
                <c:pt idx="1603">
                  <c:v>49.706389000000001</c:v>
                </c:pt>
                <c:pt idx="1604">
                  <c:v>49.725555999999997</c:v>
                </c:pt>
                <c:pt idx="1606">
                  <c:v>51.733888999999998</c:v>
                </c:pt>
                <c:pt idx="1607">
                  <c:v>51.754722000000001</c:v>
                </c:pt>
                <c:pt idx="1609">
                  <c:v>52.519444</c:v>
                </c:pt>
                <c:pt idx="1610">
                  <c:v>52.463332999999999</c:v>
                </c:pt>
                <c:pt idx="1611">
                  <c:v>52.421944000000003</c:v>
                </c:pt>
                <c:pt idx="1612">
                  <c:v>52.409166999999997</c:v>
                </c:pt>
                <c:pt idx="1613">
                  <c:v>52.383611000000002</c:v>
                </c:pt>
                <c:pt idx="1614">
                  <c:v>52.361111000000001</c:v>
                </c:pt>
                <c:pt idx="1615">
                  <c:v>52.315277999999999</c:v>
                </c:pt>
                <c:pt idx="1616">
                  <c:v>52.276389000000002</c:v>
                </c:pt>
                <c:pt idx="1617">
                  <c:v>52.263888999999999</c:v>
                </c:pt>
                <c:pt idx="1618">
                  <c:v>52.294167000000002</c:v>
                </c:pt>
                <c:pt idx="1619">
                  <c:v>52.322499999999998</c:v>
                </c:pt>
                <c:pt idx="1620">
                  <c:v>52.339722000000002</c:v>
                </c:pt>
                <c:pt idx="1621">
                  <c:v>52.358888999999998</c:v>
                </c:pt>
                <c:pt idx="1622">
                  <c:v>52.396667000000001</c:v>
                </c:pt>
                <c:pt idx="1623">
                  <c:v>52.426110999999999</c:v>
                </c:pt>
                <c:pt idx="1624">
                  <c:v>52.453055999999997</c:v>
                </c:pt>
                <c:pt idx="1625">
                  <c:v>52.478611000000001</c:v>
                </c:pt>
                <c:pt idx="1626">
                  <c:v>52.503056000000001</c:v>
                </c:pt>
                <c:pt idx="1627">
                  <c:v>52.548889000000003</c:v>
                </c:pt>
                <c:pt idx="1628">
                  <c:v>52.573611</c:v>
                </c:pt>
                <c:pt idx="1629">
                  <c:v>52.593611000000003</c:v>
                </c:pt>
                <c:pt idx="1630">
                  <c:v>52.590555999999999</c:v>
                </c:pt>
                <c:pt idx="1631">
                  <c:v>52.574167000000003</c:v>
                </c:pt>
                <c:pt idx="1633">
                  <c:v>53.138333000000003</c:v>
                </c:pt>
                <c:pt idx="1634">
                  <c:v>53.101666999999999</c:v>
                </c:pt>
                <c:pt idx="1635">
                  <c:v>53.054721999999998</c:v>
                </c:pt>
                <c:pt idx="1636">
                  <c:v>53.018889000000001</c:v>
                </c:pt>
                <c:pt idx="1637">
                  <c:v>52.988610999999999</c:v>
                </c:pt>
                <c:pt idx="1638">
                  <c:v>53.028055999999999</c:v>
                </c:pt>
                <c:pt idx="1639">
                  <c:v>53.080278</c:v>
                </c:pt>
                <c:pt idx="1640">
                  <c:v>53.121110999999999</c:v>
                </c:pt>
                <c:pt idx="1641">
                  <c:v>53.164166999999999</c:v>
                </c:pt>
                <c:pt idx="1643">
                  <c:v>53.276944</c:v>
                </c:pt>
                <c:pt idx="1644">
                  <c:v>53.237777999999999</c:v>
                </c:pt>
                <c:pt idx="1645">
                  <c:v>53.210833000000001</c:v>
                </c:pt>
                <c:pt idx="1646">
                  <c:v>53.248888999999998</c:v>
                </c:pt>
                <c:pt idx="1647">
                  <c:v>53.280833000000001</c:v>
                </c:pt>
                <c:pt idx="1648">
                  <c:v>53.304721999999998</c:v>
                </c:pt>
                <c:pt idx="1649">
                  <c:v>53.298333</c:v>
                </c:pt>
                <c:pt idx="1651">
                  <c:v>53.422221999999998</c:v>
                </c:pt>
                <c:pt idx="1652">
                  <c:v>53.404167000000001</c:v>
                </c:pt>
                <c:pt idx="1653">
                  <c:v>53.390278000000002</c:v>
                </c:pt>
                <c:pt idx="1654">
                  <c:v>53.371389000000001</c:v>
                </c:pt>
                <c:pt idx="1655">
                  <c:v>53.352221999999998</c:v>
                </c:pt>
                <c:pt idx="1656">
                  <c:v>53.377499999999998</c:v>
                </c:pt>
                <c:pt idx="1657">
                  <c:v>53.398333000000001</c:v>
                </c:pt>
                <c:pt idx="1658">
                  <c:v>53.408332999999999</c:v>
                </c:pt>
                <c:pt idx="1659">
                  <c:v>53.423889000000003</c:v>
                </c:pt>
                <c:pt idx="1660">
                  <c:v>53.441110999999999</c:v>
                </c:pt>
                <c:pt idx="1661">
                  <c:v>53.450833000000003</c:v>
                </c:pt>
                <c:pt idx="1663">
                  <c:v>53.464444</c:v>
                </c:pt>
                <c:pt idx="1664">
                  <c:v>53.466667000000001</c:v>
                </c:pt>
                <c:pt idx="1665">
                  <c:v>53.466667000000001</c:v>
                </c:pt>
                <c:pt idx="1666">
                  <c:v>53.448889000000001</c:v>
                </c:pt>
                <c:pt idx="1667">
                  <c:v>53.439722000000003</c:v>
                </c:pt>
                <c:pt idx="1668">
                  <c:v>53.430278000000001</c:v>
                </c:pt>
                <c:pt idx="1669">
                  <c:v>53.445556000000003</c:v>
                </c:pt>
                <c:pt idx="1671">
                  <c:v>55.361389000000003</c:v>
                </c:pt>
                <c:pt idx="1672">
                  <c:v>55.340277999999998</c:v>
                </c:pt>
                <c:pt idx="1673">
                  <c:v>55.300277999999999</c:v>
                </c:pt>
                <c:pt idx="1674">
                  <c:v>55.270555999999999</c:v>
                </c:pt>
                <c:pt idx="1675">
                  <c:v>55.257221999999999</c:v>
                </c:pt>
                <c:pt idx="1676">
                  <c:v>55.238889</c:v>
                </c:pt>
                <c:pt idx="1677">
                  <c:v>55.203055999999997</c:v>
                </c:pt>
                <c:pt idx="1678">
                  <c:v>55.178055999999998</c:v>
                </c:pt>
                <c:pt idx="1679">
                  <c:v>55.154167000000001</c:v>
                </c:pt>
                <c:pt idx="1680">
                  <c:v>55.121667000000002</c:v>
                </c:pt>
                <c:pt idx="1681">
                  <c:v>55.079721999999997</c:v>
                </c:pt>
                <c:pt idx="1682">
                  <c:v>55.049166999999997</c:v>
                </c:pt>
                <c:pt idx="1683">
                  <c:v>55.045833000000002</c:v>
                </c:pt>
                <c:pt idx="1684">
                  <c:v>55.045000000000002</c:v>
                </c:pt>
                <c:pt idx="1685">
                  <c:v>55.088332999999999</c:v>
                </c:pt>
                <c:pt idx="1686">
                  <c:v>55.134166999999998</c:v>
                </c:pt>
                <c:pt idx="1687">
                  <c:v>55.190556000000001</c:v>
                </c:pt>
                <c:pt idx="1688">
                  <c:v>55.167499999999997</c:v>
                </c:pt>
                <c:pt idx="1689">
                  <c:v>55.171388999999998</c:v>
                </c:pt>
                <c:pt idx="1690">
                  <c:v>55.190556000000001</c:v>
                </c:pt>
                <c:pt idx="1691">
                  <c:v>55.206389000000001</c:v>
                </c:pt>
                <c:pt idx="1692">
                  <c:v>55.222499999999997</c:v>
                </c:pt>
                <c:pt idx="1693">
                  <c:v>55.241110999999997</c:v>
                </c:pt>
                <c:pt idx="1694">
                  <c:v>55.238889</c:v>
                </c:pt>
                <c:pt idx="1695">
                  <c:v>55.223056</c:v>
                </c:pt>
                <c:pt idx="1696">
                  <c:v>55.207777999999998</c:v>
                </c:pt>
                <c:pt idx="1697">
                  <c:v>55.216388999999999</c:v>
                </c:pt>
                <c:pt idx="1698">
                  <c:v>55.189166999999998</c:v>
                </c:pt>
                <c:pt idx="1699">
                  <c:v>55.140555999999997</c:v>
                </c:pt>
                <c:pt idx="1700">
                  <c:v>55.081111</c:v>
                </c:pt>
                <c:pt idx="1701">
                  <c:v>55.057777999999999</c:v>
                </c:pt>
                <c:pt idx="1702">
                  <c:v>55.016666999999998</c:v>
                </c:pt>
                <c:pt idx="1703">
                  <c:v>54.977221999999998</c:v>
                </c:pt>
                <c:pt idx="1704">
                  <c:v>54.944443999999997</c:v>
                </c:pt>
                <c:pt idx="1705">
                  <c:v>54.901944</c:v>
                </c:pt>
                <c:pt idx="1706">
                  <c:v>54.861389000000003</c:v>
                </c:pt>
                <c:pt idx="1707">
                  <c:v>54.811388999999998</c:v>
                </c:pt>
                <c:pt idx="1708">
                  <c:v>54.784166999999997</c:v>
                </c:pt>
                <c:pt idx="1709">
                  <c:v>54.817777999999997</c:v>
                </c:pt>
                <c:pt idx="1710">
                  <c:v>54.855556</c:v>
                </c:pt>
                <c:pt idx="1711">
                  <c:v>54.830556000000001</c:v>
                </c:pt>
                <c:pt idx="1712">
                  <c:v>54.777777999999998</c:v>
                </c:pt>
                <c:pt idx="1713">
                  <c:v>54.735833</c:v>
                </c:pt>
                <c:pt idx="1714">
                  <c:v>54.713332999999999</c:v>
                </c:pt>
                <c:pt idx="1715">
                  <c:v>54.688056000000003</c:v>
                </c:pt>
                <c:pt idx="1716">
                  <c:v>54.643611</c:v>
                </c:pt>
                <c:pt idx="1717">
                  <c:v>54.602778000000001</c:v>
                </c:pt>
                <c:pt idx="1718">
                  <c:v>54.643332999999998</c:v>
                </c:pt>
                <c:pt idx="1719">
                  <c:v>54.667499999999997</c:v>
                </c:pt>
                <c:pt idx="1720">
                  <c:v>54.667222000000002</c:v>
                </c:pt>
                <c:pt idx="1721">
                  <c:v>54.679443999999997</c:v>
                </c:pt>
                <c:pt idx="1722">
                  <c:v>54.648888999999997</c:v>
                </c:pt>
                <c:pt idx="1723">
                  <c:v>54.594721999999997</c:v>
                </c:pt>
                <c:pt idx="1724">
                  <c:v>54.549444000000001</c:v>
                </c:pt>
                <c:pt idx="1725">
                  <c:v>54.497500000000002</c:v>
                </c:pt>
                <c:pt idx="1726">
                  <c:v>54.456667000000003</c:v>
                </c:pt>
                <c:pt idx="1727">
                  <c:v>54.414721999999998</c:v>
                </c:pt>
                <c:pt idx="1728">
                  <c:v>54.366943999999997</c:v>
                </c:pt>
                <c:pt idx="1729">
                  <c:v>54.330832999999998</c:v>
                </c:pt>
                <c:pt idx="1730">
                  <c:v>54.375278000000002</c:v>
                </c:pt>
                <c:pt idx="1731">
                  <c:v>54.422778000000001</c:v>
                </c:pt>
                <c:pt idx="1732">
                  <c:v>54.473056</c:v>
                </c:pt>
                <c:pt idx="1733">
                  <c:v>54.524721999999997</c:v>
                </c:pt>
                <c:pt idx="1734">
                  <c:v>54.553610999999997</c:v>
                </c:pt>
                <c:pt idx="1735">
                  <c:v>54.571111000000002</c:v>
                </c:pt>
                <c:pt idx="1736">
                  <c:v>54.531944000000003</c:v>
                </c:pt>
                <c:pt idx="1737">
                  <c:v>54.495832999999998</c:v>
                </c:pt>
                <c:pt idx="1738">
                  <c:v>54.462499999999999</c:v>
                </c:pt>
                <c:pt idx="1739">
                  <c:v>54.421388999999998</c:v>
                </c:pt>
                <c:pt idx="1740">
                  <c:v>54.374167</c:v>
                </c:pt>
                <c:pt idx="1741">
                  <c:v>54.349167000000001</c:v>
                </c:pt>
                <c:pt idx="1742">
                  <c:v>54.371389000000001</c:v>
                </c:pt>
                <c:pt idx="1743">
                  <c:v>54.368889000000003</c:v>
                </c:pt>
                <c:pt idx="1744">
                  <c:v>54.32</c:v>
                </c:pt>
                <c:pt idx="1745">
                  <c:v>54.276667000000003</c:v>
                </c:pt>
                <c:pt idx="1746">
                  <c:v>54.246667000000002</c:v>
                </c:pt>
                <c:pt idx="1747">
                  <c:v>54.243611000000001</c:v>
                </c:pt>
                <c:pt idx="1748">
                  <c:v>54.242778000000001</c:v>
                </c:pt>
                <c:pt idx="1749">
                  <c:v>54.224167000000001</c:v>
                </c:pt>
                <c:pt idx="1750">
                  <c:v>54.176110999999999</c:v>
                </c:pt>
                <c:pt idx="1751">
                  <c:v>54.116943999999997</c:v>
                </c:pt>
                <c:pt idx="1752">
                  <c:v>54.080278</c:v>
                </c:pt>
                <c:pt idx="1753">
                  <c:v>54.051389</c:v>
                </c:pt>
                <c:pt idx="1754">
                  <c:v>54.028610999999998</c:v>
                </c:pt>
                <c:pt idx="1755">
                  <c:v>54.056944000000001</c:v>
                </c:pt>
                <c:pt idx="1756">
                  <c:v>54.069443999999997</c:v>
                </c:pt>
                <c:pt idx="1757">
                  <c:v>54.093333000000001</c:v>
                </c:pt>
                <c:pt idx="1758">
                  <c:v>54.063333</c:v>
                </c:pt>
                <c:pt idx="1759">
                  <c:v>54.030278000000003</c:v>
                </c:pt>
                <c:pt idx="1760">
                  <c:v>53.990833000000002</c:v>
                </c:pt>
                <c:pt idx="1761">
                  <c:v>53.986666999999997</c:v>
                </c:pt>
                <c:pt idx="1762">
                  <c:v>54.009166999999998</c:v>
                </c:pt>
                <c:pt idx="1763">
                  <c:v>53.993889000000003</c:v>
                </c:pt>
                <c:pt idx="1764">
                  <c:v>53.946666999999998</c:v>
                </c:pt>
                <c:pt idx="1765">
                  <c:v>53.891388999999997</c:v>
                </c:pt>
                <c:pt idx="1766">
                  <c:v>53.865278000000004</c:v>
                </c:pt>
                <c:pt idx="1767">
                  <c:v>53.833888999999999</c:v>
                </c:pt>
                <c:pt idx="1768">
                  <c:v>53.790832999999999</c:v>
                </c:pt>
                <c:pt idx="1769">
                  <c:v>53.736944000000001</c:v>
                </c:pt>
                <c:pt idx="1770">
                  <c:v>53.678333000000002</c:v>
                </c:pt>
                <c:pt idx="1771">
                  <c:v>53.632221999999999</c:v>
                </c:pt>
                <c:pt idx="1772">
                  <c:v>53.595832999999999</c:v>
                </c:pt>
                <c:pt idx="1773">
                  <c:v>53.568888999999999</c:v>
                </c:pt>
                <c:pt idx="1774">
                  <c:v>53.518332999999998</c:v>
                </c:pt>
                <c:pt idx="1775">
                  <c:v>53.474722</c:v>
                </c:pt>
                <c:pt idx="1776">
                  <c:v>53.431944000000001</c:v>
                </c:pt>
                <c:pt idx="1777">
                  <c:v>53.391388999999997</c:v>
                </c:pt>
                <c:pt idx="1779">
                  <c:v>51.828055999999997</c:v>
                </c:pt>
                <c:pt idx="1780">
                  <c:v>51.854166999999997</c:v>
                </c:pt>
                <c:pt idx="1781">
                  <c:v>51.881110999999997</c:v>
                </c:pt>
                <c:pt idx="1782">
                  <c:v>51.903888999999999</c:v>
                </c:pt>
                <c:pt idx="1783">
                  <c:v>51.925277999999999</c:v>
                </c:pt>
                <c:pt idx="1784">
                  <c:v>51.961111000000002</c:v>
                </c:pt>
                <c:pt idx="1785">
                  <c:v>51.993333</c:v>
                </c:pt>
                <c:pt idx="1786">
                  <c:v>52.009721999999996</c:v>
                </c:pt>
                <c:pt idx="1787">
                  <c:v>52.028333000000003</c:v>
                </c:pt>
                <c:pt idx="1788">
                  <c:v>52.041389000000002</c:v>
                </c:pt>
                <c:pt idx="1789">
                  <c:v>52.082777999999998</c:v>
                </c:pt>
                <c:pt idx="1790">
                  <c:v>52.069721999999999</c:v>
                </c:pt>
                <c:pt idx="1791">
                  <c:v>52.093611000000003</c:v>
                </c:pt>
                <c:pt idx="1792">
                  <c:v>52.116388999999998</c:v>
                </c:pt>
                <c:pt idx="1793">
                  <c:v>52.123333000000002</c:v>
                </c:pt>
                <c:pt idx="1794">
                  <c:v>52.139167</c:v>
                </c:pt>
                <c:pt idx="1795">
                  <c:v>52.150832999999999</c:v>
                </c:pt>
                <c:pt idx="1796">
                  <c:v>52.140278000000002</c:v>
                </c:pt>
                <c:pt idx="1797">
                  <c:v>52.115555999999998</c:v>
                </c:pt>
                <c:pt idx="1798">
                  <c:v>52.135832999999998</c:v>
                </c:pt>
                <c:pt idx="1799">
                  <c:v>52.120556000000001</c:v>
                </c:pt>
                <c:pt idx="1800">
                  <c:v>52.109721999999998</c:v>
                </c:pt>
                <c:pt idx="1801">
                  <c:v>52.119722000000003</c:v>
                </c:pt>
                <c:pt idx="1802">
                  <c:v>52.119722000000003</c:v>
                </c:pt>
                <c:pt idx="1803">
                  <c:v>52.113610999999999</c:v>
                </c:pt>
                <c:pt idx="1804">
                  <c:v>52.104166999999997</c:v>
                </c:pt>
                <c:pt idx="1805">
                  <c:v>52.094166999999999</c:v>
                </c:pt>
                <c:pt idx="1806">
                  <c:v>52.138333000000003</c:v>
                </c:pt>
                <c:pt idx="1807">
                  <c:v>52.176943999999999</c:v>
                </c:pt>
                <c:pt idx="1808">
                  <c:v>52.185833000000002</c:v>
                </c:pt>
                <c:pt idx="1809">
                  <c:v>52.182499999999997</c:v>
                </c:pt>
                <c:pt idx="1810">
                  <c:v>52.226944000000003</c:v>
                </c:pt>
                <c:pt idx="1811">
                  <c:v>52.253332999999998</c:v>
                </c:pt>
                <c:pt idx="1812">
                  <c:v>52.272500000000001</c:v>
                </c:pt>
                <c:pt idx="1813">
                  <c:v>52.274444000000003</c:v>
                </c:pt>
                <c:pt idx="1814">
                  <c:v>52.233611000000003</c:v>
                </c:pt>
                <c:pt idx="1815">
                  <c:v>52.249443999999997</c:v>
                </c:pt>
                <c:pt idx="1816">
                  <c:v>52.294167000000002</c:v>
                </c:pt>
                <c:pt idx="1817">
                  <c:v>52.309443999999999</c:v>
                </c:pt>
                <c:pt idx="1818">
                  <c:v>52.256943999999997</c:v>
                </c:pt>
                <c:pt idx="1819">
                  <c:v>52.230556</c:v>
                </c:pt>
                <c:pt idx="1820">
                  <c:v>52.236666999999997</c:v>
                </c:pt>
                <c:pt idx="1821">
                  <c:v>52.239443999999999</c:v>
                </c:pt>
                <c:pt idx="1822">
                  <c:v>52.252222000000003</c:v>
                </c:pt>
                <c:pt idx="1823">
                  <c:v>52.273611000000002</c:v>
                </c:pt>
                <c:pt idx="1824">
                  <c:v>52.285277999999998</c:v>
                </c:pt>
                <c:pt idx="1825">
                  <c:v>52.318333000000003</c:v>
                </c:pt>
                <c:pt idx="1826">
                  <c:v>52.381110999999997</c:v>
                </c:pt>
                <c:pt idx="1827">
                  <c:v>52.395555999999999</c:v>
                </c:pt>
                <c:pt idx="1828">
                  <c:v>52.424722000000003</c:v>
                </c:pt>
                <c:pt idx="1829">
                  <c:v>52.433332999999998</c:v>
                </c:pt>
                <c:pt idx="1830">
                  <c:v>52.457777999999998</c:v>
                </c:pt>
                <c:pt idx="1831">
                  <c:v>52.478332999999999</c:v>
                </c:pt>
                <c:pt idx="1832">
                  <c:v>52.489722</c:v>
                </c:pt>
                <c:pt idx="1833">
                  <c:v>52.530555999999997</c:v>
                </c:pt>
                <c:pt idx="1834">
                  <c:v>52.562778000000002</c:v>
                </c:pt>
                <c:pt idx="1835">
                  <c:v>52.565832999999998</c:v>
                </c:pt>
                <c:pt idx="1836">
                  <c:v>52.558332999999998</c:v>
                </c:pt>
                <c:pt idx="1837">
                  <c:v>52.574722000000001</c:v>
                </c:pt>
                <c:pt idx="1838">
                  <c:v>52.570278000000002</c:v>
                </c:pt>
                <c:pt idx="1839">
                  <c:v>52.580556000000001</c:v>
                </c:pt>
                <c:pt idx="1840">
                  <c:v>52.601944000000003</c:v>
                </c:pt>
                <c:pt idx="1841">
                  <c:v>52.618333</c:v>
                </c:pt>
                <c:pt idx="1842">
                  <c:v>52.619166999999997</c:v>
                </c:pt>
                <c:pt idx="1843">
                  <c:v>52.646667000000001</c:v>
                </c:pt>
                <c:pt idx="1844">
                  <c:v>52.663055999999997</c:v>
                </c:pt>
                <c:pt idx="1845">
                  <c:v>52.653610999999998</c:v>
                </c:pt>
                <c:pt idx="1846">
                  <c:v>52.672499999999999</c:v>
                </c:pt>
                <c:pt idx="1847">
                  <c:v>52.688889000000003</c:v>
                </c:pt>
                <c:pt idx="1848">
                  <c:v>52.683056000000001</c:v>
                </c:pt>
                <c:pt idx="1849">
                  <c:v>52.709167000000001</c:v>
                </c:pt>
                <c:pt idx="1850">
                  <c:v>52.750833</c:v>
                </c:pt>
                <c:pt idx="1851">
                  <c:v>52.752222000000003</c:v>
                </c:pt>
                <c:pt idx="1852">
                  <c:v>52.714167000000003</c:v>
                </c:pt>
                <c:pt idx="1853">
                  <c:v>52.672499999999999</c:v>
                </c:pt>
                <c:pt idx="1854">
                  <c:v>52.6325</c:v>
                </c:pt>
                <c:pt idx="1855">
                  <c:v>52.616110999999997</c:v>
                </c:pt>
                <c:pt idx="1856">
                  <c:v>52.587778</c:v>
                </c:pt>
                <c:pt idx="1857">
                  <c:v>52.608333000000002</c:v>
                </c:pt>
                <c:pt idx="1858">
                  <c:v>52.629443999999999</c:v>
                </c:pt>
                <c:pt idx="1859">
                  <c:v>52.613889</c:v>
                </c:pt>
                <c:pt idx="1860">
                  <c:v>52.611389000000003</c:v>
                </c:pt>
                <c:pt idx="1861">
                  <c:v>52.633333</c:v>
                </c:pt>
                <c:pt idx="1862">
                  <c:v>52.655278000000003</c:v>
                </c:pt>
                <c:pt idx="1863">
                  <c:v>52.6175</c:v>
                </c:pt>
                <c:pt idx="1864">
                  <c:v>52.604722000000002</c:v>
                </c:pt>
                <c:pt idx="1865">
                  <c:v>52.580278</c:v>
                </c:pt>
                <c:pt idx="1866">
                  <c:v>52.561388999999998</c:v>
                </c:pt>
                <c:pt idx="1867">
                  <c:v>52.550277999999999</c:v>
                </c:pt>
                <c:pt idx="1868">
                  <c:v>52.574167000000003</c:v>
                </c:pt>
                <c:pt idx="1869">
                  <c:v>52.591110999999998</c:v>
                </c:pt>
                <c:pt idx="1870">
                  <c:v>52.625556000000003</c:v>
                </c:pt>
                <c:pt idx="1871">
                  <c:v>52.658056000000002</c:v>
                </c:pt>
                <c:pt idx="1872">
                  <c:v>52.695</c:v>
                </c:pt>
                <c:pt idx="1873">
                  <c:v>52.726111000000003</c:v>
                </c:pt>
                <c:pt idx="1874">
                  <c:v>52.737777999999999</c:v>
                </c:pt>
                <c:pt idx="1875">
                  <c:v>52.764443999999997</c:v>
                </c:pt>
                <c:pt idx="1876">
                  <c:v>52.806389000000003</c:v>
                </c:pt>
                <c:pt idx="1877">
                  <c:v>52.847222000000002</c:v>
                </c:pt>
                <c:pt idx="1878">
                  <c:v>52.883333</c:v>
                </c:pt>
                <c:pt idx="1879">
                  <c:v>52.918332999999997</c:v>
                </c:pt>
                <c:pt idx="1880">
                  <c:v>52.927778000000004</c:v>
                </c:pt>
                <c:pt idx="1881">
                  <c:v>52.943610999999997</c:v>
                </c:pt>
                <c:pt idx="1882">
                  <c:v>52.981943999999999</c:v>
                </c:pt>
                <c:pt idx="1883">
                  <c:v>53.023055999999997</c:v>
                </c:pt>
                <c:pt idx="1884">
                  <c:v>53.071389000000003</c:v>
                </c:pt>
                <c:pt idx="1885">
                  <c:v>53.107222</c:v>
                </c:pt>
                <c:pt idx="1886">
                  <c:v>53.150278</c:v>
                </c:pt>
                <c:pt idx="1887">
                  <c:v>53.126944000000002</c:v>
                </c:pt>
                <c:pt idx="1888">
                  <c:v>53.134444000000002</c:v>
                </c:pt>
                <c:pt idx="1889">
                  <c:v>53.152500000000003</c:v>
                </c:pt>
                <c:pt idx="1890">
                  <c:v>53.143889000000001</c:v>
                </c:pt>
                <c:pt idx="1891">
                  <c:v>53.159722000000002</c:v>
                </c:pt>
                <c:pt idx="1892">
                  <c:v>53.167499999999997</c:v>
                </c:pt>
                <c:pt idx="1893">
                  <c:v>53.138610999999997</c:v>
                </c:pt>
                <c:pt idx="1894">
                  <c:v>53.173889000000003</c:v>
                </c:pt>
                <c:pt idx="1895">
                  <c:v>53.216388999999999</c:v>
                </c:pt>
                <c:pt idx="1896">
                  <c:v>53.211666999999998</c:v>
                </c:pt>
                <c:pt idx="1897">
                  <c:v>53.237222000000003</c:v>
                </c:pt>
                <c:pt idx="1898">
                  <c:v>53.266944000000002</c:v>
                </c:pt>
                <c:pt idx="1899">
                  <c:v>53.264721999999999</c:v>
                </c:pt>
                <c:pt idx="1900">
                  <c:v>53.247500000000002</c:v>
                </c:pt>
                <c:pt idx="1901">
                  <c:v>53.240833000000002</c:v>
                </c:pt>
                <c:pt idx="1902">
                  <c:v>53.234444000000003</c:v>
                </c:pt>
                <c:pt idx="1903">
                  <c:v>53.228611000000001</c:v>
                </c:pt>
                <c:pt idx="1904">
                  <c:v>53.226111000000003</c:v>
                </c:pt>
                <c:pt idx="1905">
                  <c:v>53.262222000000001</c:v>
                </c:pt>
                <c:pt idx="1906">
                  <c:v>53.249167</c:v>
                </c:pt>
                <c:pt idx="1907">
                  <c:v>53.25</c:v>
                </c:pt>
                <c:pt idx="1908">
                  <c:v>53.301389</c:v>
                </c:pt>
                <c:pt idx="1909">
                  <c:v>53.339722000000002</c:v>
                </c:pt>
                <c:pt idx="1910">
                  <c:v>53.336944000000003</c:v>
                </c:pt>
                <c:pt idx="1911">
                  <c:v>53.338889000000002</c:v>
                </c:pt>
                <c:pt idx="1912">
                  <c:v>53.378332999999998</c:v>
                </c:pt>
                <c:pt idx="1913">
                  <c:v>53.346944000000001</c:v>
                </c:pt>
                <c:pt idx="1914">
                  <c:v>53.302500000000002</c:v>
                </c:pt>
                <c:pt idx="1915">
                  <c:v>53.309722000000001</c:v>
                </c:pt>
                <c:pt idx="1916">
                  <c:v>53.313889000000003</c:v>
                </c:pt>
                <c:pt idx="1917">
                  <c:v>53.351111000000003</c:v>
                </c:pt>
                <c:pt idx="1918">
                  <c:v>53.372777999999997</c:v>
                </c:pt>
                <c:pt idx="1919">
                  <c:v>53.395000000000003</c:v>
                </c:pt>
                <c:pt idx="1920">
                  <c:v>53.412222</c:v>
                </c:pt>
                <c:pt idx="1921">
                  <c:v>53.410832999999997</c:v>
                </c:pt>
                <c:pt idx="1922">
                  <c:v>53.412500000000001</c:v>
                </c:pt>
                <c:pt idx="1923">
                  <c:v>53.37</c:v>
                </c:pt>
                <c:pt idx="1924">
                  <c:v>53.387222000000001</c:v>
                </c:pt>
                <c:pt idx="1925">
                  <c:v>53.416666999999997</c:v>
                </c:pt>
                <c:pt idx="1926">
                  <c:v>53.417777999999998</c:v>
                </c:pt>
                <c:pt idx="1927">
                  <c:v>53.432499999999997</c:v>
                </c:pt>
                <c:pt idx="1928">
                  <c:v>53.439444000000002</c:v>
                </c:pt>
                <c:pt idx="1929">
                  <c:v>53.461111000000002</c:v>
                </c:pt>
                <c:pt idx="1930">
                  <c:v>53.4925</c:v>
                </c:pt>
                <c:pt idx="1931">
                  <c:v>53.526111</c:v>
                </c:pt>
                <c:pt idx="1932">
                  <c:v>53.546111000000003</c:v>
                </c:pt>
                <c:pt idx="1933">
                  <c:v>53.550277999999999</c:v>
                </c:pt>
                <c:pt idx="1934">
                  <c:v>53.563889000000003</c:v>
                </c:pt>
                <c:pt idx="1935">
                  <c:v>53.580556000000001</c:v>
                </c:pt>
                <c:pt idx="1936">
                  <c:v>53.607500000000002</c:v>
                </c:pt>
                <c:pt idx="1937">
                  <c:v>53.599443999999998</c:v>
                </c:pt>
                <c:pt idx="1938">
                  <c:v>53.640833000000001</c:v>
                </c:pt>
                <c:pt idx="1939">
                  <c:v>53.682222000000003</c:v>
                </c:pt>
                <c:pt idx="1940">
                  <c:v>53.736944000000001</c:v>
                </c:pt>
                <c:pt idx="1941">
                  <c:v>53.765833000000001</c:v>
                </c:pt>
                <c:pt idx="1942">
                  <c:v>53.770277999999998</c:v>
                </c:pt>
                <c:pt idx="1943">
                  <c:v>53.776667000000003</c:v>
                </c:pt>
                <c:pt idx="1944">
                  <c:v>53.778888999999999</c:v>
                </c:pt>
                <c:pt idx="1945">
                  <c:v>53.8</c:v>
                </c:pt>
                <c:pt idx="1946">
                  <c:v>53.827221999999999</c:v>
                </c:pt>
                <c:pt idx="1947">
                  <c:v>53.854444000000001</c:v>
                </c:pt>
                <c:pt idx="1948">
                  <c:v>53.884444000000002</c:v>
                </c:pt>
                <c:pt idx="1949">
                  <c:v>53.890833000000001</c:v>
                </c:pt>
                <c:pt idx="1950">
                  <c:v>53.892778</c:v>
                </c:pt>
                <c:pt idx="1951">
                  <c:v>53.874721999999998</c:v>
                </c:pt>
                <c:pt idx="1952">
                  <c:v>53.859166999999999</c:v>
                </c:pt>
                <c:pt idx="1953">
                  <c:v>53.89</c:v>
                </c:pt>
                <c:pt idx="1954">
                  <c:v>53.938611000000002</c:v>
                </c:pt>
                <c:pt idx="1955">
                  <c:v>53.948332999999998</c:v>
                </c:pt>
                <c:pt idx="1956">
                  <c:v>53.911389</c:v>
                </c:pt>
                <c:pt idx="1957">
                  <c:v>53.952500000000001</c:v>
                </c:pt>
                <c:pt idx="1958">
                  <c:v>53.966110999999998</c:v>
                </c:pt>
                <c:pt idx="1959">
                  <c:v>54.003610999999999</c:v>
                </c:pt>
                <c:pt idx="1960">
                  <c:v>54.052222</c:v>
                </c:pt>
                <c:pt idx="1961">
                  <c:v>54.08</c:v>
                </c:pt>
                <c:pt idx="1962">
                  <c:v>54.111389000000003</c:v>
                </c:pt>
                <c:pt idx="1963">
                  <c:v>54.085555999999997</c:v>
                </c:pt>
                <c:pt idx="1964">
                  <c:v>54.063056000000003</c:v>
                </c:pt>
                <c:pt idx="1965">
                  <c:v>54.102778000000001</c:v>
                </c:pt>
                <c:pt idx="1966">
                  <c:v>54.124443999999997</c:v>
                </c:pt>
                <c:pt idx="1967">
                  <c:v>54.149166999999998</c:v>
                </c:pt>
                <c:pt idx="1968">
                  <c:v>54.170555999999998</c:v>
                </c:pt>
                <c:pt idx="1969">
                  <c:v>54.199444</c:v>
                </c:pt>
                <c:pt idx="1970">
                  <c:v>54.200277999999997</c:v>
                </c:pt>
                <c:pt idx="1971">
                  <c:v>54.176667000000002</c:v>
                </c:pt>
                <c:pt idx="1972">
                  <c:v>54.148055999999997</c:v>
                </c:pt>
                <c:pt idx="1973">
                  <c:v>54.115833000000002</c:v>
                </c:pt>
                <c:pt idx="1974">
                  <c:v>54.088332999999999</c:v>
                </c:pt>
                <c:pt idx="1975">
                  <c:v>54.133333</c:v>
                </c:pt>
                <c:pt idx="1976">
                  <c:v>54.185277999999997</c:v>
                </c:pt>
                <c:pt idx="1977">
                  <c:v>54.22</c:v>
                </c:pt>
                <c:pt idx="1978">
                  <c:v>54.249443999999997</c:v>
                </c:pt>
                <c:pt idx="1980">
                  <c:v>54.286389</c:v>
                </c:pt>
                <c:pt idx="1981">
                  <c:v>54.275556000000002</c:v>
                </c:pt>
                <c:pt idx="1982">
                  <c:v>54.255277999999997</c:v>
                </c:pt>
                <c:pt idx="1983">
                  <c:v>54.219444000000003</c:v>
                </c:pt>
                <c:pt idx="1984">
                  <c:v>54.219721999999997</c:v>
                </c:pt>
                <c:pt idx="1985">
                  <c:v>54.210555999999997</c:v>
                </c:pt>
                <c:pt idx="1986">
                  <c:v>54.255000000000003</c:v>
                </c:pt>
                <c:pt idx="1987">
                  <c:v>54.265555999999997</c:v>
                </c:pt>
                <c:pt idx="1988">
                  <c:v>54.272500000000001</c:v>
                </c:pt>
                <c:pt idx="1989">
                  <c:v>54.293889</c:v>
                </c:pt>
                <c:pt idx="1990">
                  <c:v>54.328611000000002</c:v>
                </c:pt>
                <c:pt idx="1991">
                  <c:v>54.331111</c:v>
                </c:pt>
                <c:pt idx="1992">
                  <c:v>54.310555999999998</c:v>
                </c:pt>
                <c:pt idx="1993">
                  <c:v>54.315832999999998</c:v>
                </c:pt>
                <c:pt idx="1994">
                  <c:v>54.314999999999998</c:v>
                </c:pt>
                <c:pt idx="1995">
                  <c:v>54.306666999999997</c:v>
                </c:pt>
                <c:pt idx="1996">
                  <c:v>54.306111000000001</c:v>
                </c:pt>
                <c:pt idx="1997">
                  <c:v>54.305278000000001</c:v>
                </c:pt>
                <c:pt idx="1998">
                  <c:v>54.269444</c:v>
                </c:pt>
                <c:pt idx="1999">
                  <c:v>54.249167</c:v>
                </c:pt>
                <c:pt idx="2000">
                  <c:v>54.217222</c:v>
                </c:pt>
                <c:pt idx="2001">
                  <c:v>54.185555999999998</c:v>
                </c:pt>
                <c:pt idx="2002">
                  <c:v>54.195</c:v>
                </c:pt>
                <c:pt idx="2003">
                  <c:v>54.238056</c:v>
                </c:pt>
                <c:pt idx="2004">
                  <c:v>54.286943999999998</c:v>
                </c:pt>
                <c:pt idx="2005">
                  <c:v>54.286110999999998</c:v>
                </c:pt>
                <c:pt idx="2006">
                  <c:v>54.260556000000001</c:v>
                </c:pt>
                <c:pt idx="2007">
                  <c:v>54.263610999999997</c:v>
                </c:pt>
                <c:pt idx="2008">
                  <c:v>54.263055999999999</c:v>
                </c:pt>
                <c:pt idx="2009">
                  <c:v>54.243611000000001</c:v>
                </c:pt>
                <c:pt idx="2010">
                  <c:v>54.208610999999998</c:v>
                </c:pt>
                <c:pt idx="2011">
                  <c:v>54.208333000000003</c:v>
                </c:pt>
                <c:pt idx="2012">
                  <c:v>54.240833000000002</c:v>
                </c:pt>
                <c:pt idx="2013">
                  <c:v>54.273611000000002</c:v>
                </c:pt>
                <c:pt idx="2014">
                  <c:v>54.273333000000001</c:v>
                </c:pt>
                <c:pt idx="2015">
                  <c:v>54.291389000000002</c:v>
                </c:pt>
                <c:pt idx="2016">
                  <c:v>54.322499999999998</c:v>
                </c:pt>
                <c:pt idx="2017">
                  <c:v>54.314722000000003</c:v>
                </c:pt>
                <c:pt idx="2018">
                  <c:v>54.334721999999999</c:v>
                </c:pt>
                <c:pt idx="2019">
                  <c:v>54.322499999999998</c:v>
                </c:pt>
                <c:pt idx="2020">
                  <c:v>54.361111000000001</c:v>
                </c:pt>
                <c:pt idx="2021">
                  <c:v>54.378332999999998</c:v>
                </c:pt>
                <c:pt idx="2022">
                  <c:v>54.395833000000003</c:v>
                </c:pt>
                <c:pt idx="2023">
                  <c:v>54.431944000000001</c:v>
                </c:pt>
                <c:pt idx="2024">
                  <c:v>54.461111000000002</c:v>
                </c:pt>
                <c:pt idx="2025">
                  <c:v>54.460278000000002</c:v>
                </c:pt>
                <c:pt idx="2026">
                  <c:v>54.475000000000001</c:v>
                </c:pt>
                <c:pt idx="2027">
                  <c:v>54.523888999999997</c:v>
                </c:pt>
                <c:pt idx="2028">
                  <c:v>54.563611000000002</c:v>
                </c:pt>
                <c:pt idx="2029">
                  <c:v>54.601666999999999</c:v>
                </c:pt>
                <c:pt idx="2030">
                  <c:v>54.605832999999997</c:v>
                </c:pt>
                <c:pt idx="2031">
                  <c:v>54.639167</c:v>
                </c:pt>
                <c:pt idx="2032">
                  <c:v>54.621389000000001</c:v>
                </c:pt>
                <c:pt idx="2033">
                  <c:v>54.599722</c:v>
                </c:pt>
                <c:pt idx="2034">
                  <c:v>54.638055999999999</c:v>
                </c:pt>
                <c:pt idx="2035">
                  <c:v>54.607778000000003</c:v>
                </c:pt>
                <c:pt idx="2036">
                  <c:v>54.575555999999999</c:v>
                </c:pt>
                <c:pt idx="2037">
                  <c:v>54.581667000000003</c:v>
                </c:pt>
                <c:pt idx="2038">
                  <c:v>54.612777999999999</c:v>
                </c:pt>
                <c:pt idx="2039">
                  <c:v>54.608611000000003</c:v>
                </c:pt>
                <c:pt idx="2040">
                  <c:v>54.620832999999998</c:v>
                </c:pt>
                <c:pt idx="2041">
                  <c:v>54.605832999999997</c:v>
                </c:pt>
                <c:pt idx="2042">
                  <c:v>54.613610999999999</c:v>
                </c:pt>
                <c:pt idx="2043">
                  <c:v>54.640555999999997</c:v>
                </c:pt>
                <c:pt idx="2044">
                  <c:v>54.667222000000002</c:v>
                </c:pt>
                <c:pt idx="2045">
                  <c:v>54.698611</c:v>
                </c:pt>
                <c:pt idx="2046">
                  <c:v>54.732778000000003</c:v>
                </c:pt>
                <c:pt idx="2047">
                  <c:v>54.765555999999997</c:v>
                </c:pt>
                <c:pt idx="2048">
                  <c:v>54.765833000000001</c:v>
                </c:pt>
                <c:pt idx="2049">
                  <c:v>54.749721999999998</c:v>
                </c:pt>
                <c:pt idx="2050">
                  <c:v>54.768889000000001</c:v>
                </c:pt>
                <c:pt idx="2051">
                  <c:v>54.778610999999998</c:v>
                </c:pt>
                <c:pt idx="2052">
                  <c:v>54.755277999999997</c:v>
                </c:pt>
                <c:pt idx="2053">
                  <c:v>54.788611000000003</c:v>
                </c:pt>
                <c:pt idx="2054">
                  <c:v>54.816389000000001</c:v>
                </c:pt>
                <c:pt idx="2055">
                  <c:v>54.834167000000001</c:v>
                </c:pt>
                <c:pt idx="2056">
                  <c:v>54.841110999999998</c:v>
                </c:pt>
                <c:pt idx="2057">
                  <c:v>54.834443999999998</c:v>
                </c:pt>
                <c:pt idx="2058">
                  <c:v>54.86</c:v>
                </c:pt>
                <c:pt idx="2059">
                  <c:v>54.874721999999998</c:v>
                </c:pt>
                <c:pt idx="2060">
                  <c:v>54.893889000000001</c:v>
                </c:pt>
                <c:pt idx="2061">
                  <c:v>54.894444</c:v>
                </c:pt>
                <c:pt idx="2062">
                  <c:v>54.931666999999997</c:v>
                </c:pt>
                <c:pt idx="2063">
                  <c:v>54.948611</c:v>
                </c:pt>
                <c:pt idx="2064">
                  <c:v>54.987777999999999</c:v>
                </c:pt>
                <c:pt idx="2065">
                  <c:v>55.014443999999997</c:v>
                </c:pt>
                <c:pt idx="2066">
                  <c:v>55.046111000000003</c:v>
                </c:pt>
                <c:pt idx="2067">
                  <c:v>55.065556000000001</c:v>
                </c:pt>
                <c:pt idx="2068">
                  <c:v>55.100833000000002</c:v>
                </c:pt>
                <c:pt idx="2069">
                  <c:v>55.147778000000002</c:v>
                </c:pt>
                <c:pt idx="2070">
                  <c:v>55.141666999999998</c:v>
                </c:pt>
                <c:pt idx="2071">
                  <c:v>55.138610999999997</c:v>
                </c:pt>
                <c:pt idx="2072">
                  <c:v>55.131667</c:v>
                </c:pt>
                <c:pt idx="2073">
                  <c:v>55.162778000000003</c:v>
                </c:pt>
                <c:pt idx="2074">
                  <c:v>55.199444</c:v>
                </c:pt>
                <c:pt idx="2075">
                  <c:v>55.206111</c:v>
                </c:pt>
                <c:pt idx="2076">
                  <c:v>55.178333000000002</c:v>
                </c:pt>
                <c:pt idx="2077">
                  <c:v>55.147500000000001</c:v>
                </c:pt>
                <c:pt idx="2078">
                  <c:v>55.141666999999998</c:v>
                </c:pt>
                <c:pt idx="2079">
                  <c:v>55.134999999999998</c:v>
                </c:pt>
                <c:pt idx="2080">
                  <c:v>55.186110999999997</c:v>
                </c:pt>
                <c:pt idx="2081">
                  <c:v>55.222222000000002</c:v>
                </c:pt>
                <c:pt idx="2082">
                  <c:v>55.245277999999999</c:v>
                </c:pt>
                <c:pt idx="2083">
                  <c:v>55.195</c:v>
                </c:pt>
                <c:pt idx="2084">
                  <c:v>55.174166999999997</c:v>
                </c:pt>
                <c:pt idx="2085">
                  <c:v>55.140833000000001</c:v>
                </c:pt>
                <c:pt idx="2086">
                  <c:v>55.094721999999997</c:v>
                </c:pt>
                <c:pt idx="2087">
                  <c:v>55.15</c:v>
                </c:pt>
                <c:pt idx="2088">
                  <c:v>55.184722000000001</c:v>
                </c:pt>
                <c:pt idx="2089">
                  <c:v>55.207500000000003</c:v>
                </c:pt>
                <c:pt idx="2090">
                  <c:v>55.177500000000002</c:v>
                </c:pt>
                <c:pt idx="2091">
                  <c:v>55.195278000000002</c:v>
                </c:pt>
                <c:pt idx="2092">
                  <c:v>55.230832999999997</c:v>
                </c:pt>
                <c:pt idx="2093">
                  <c:v>55.250556000000003</c:v>
                </c:pt>
                <c:pt idx="2094">
                  <c:v>55.271943999999998</c:v>
                </c:pt>
                <c:pt idx="2095">
                  <c:v>55.219444000000003</c:v>
                </c:pt>
                <c:pt idx="2096">
                  <c:v>55.178610999999997</c:v>
                </c:pt>
                <c:pt idx="2097">
                  <c:v>55.14</c:v>
                </c:pt>
                <c:pt idx="2098">
                  <c:v>55.092778000000003</c:v>
                </c:pt>
                <c:pt idx="2099">
                  <c:v>55.061667</c:v>
                </c:pt>
                <c:pt idx="2100">
                  <c:v>55.04</c:v>
                </c:pt>
                <c:pt idx="2101">
                  <c:v>55.020277999999998</c:v>
                </c:pt>
                <c:pt idx="2102">
                  <c:v>54.988056</c:v>
                </c:pt>
                <c:pt idx="2103">
                  <c:v>54.973889</c:v>
                </c:pt>
                <c:pt idx="2104">
                  <c:v>55.010832999999998</c:v>
                </c:pt>
                <c:pt idx="2105">
                  <c:v>55.037500000000001</c:v>
                </c:pt>
                <c:pt idx="2106">
                  <c:v>55.077500000000001</c:v>
                </c:pt>
                <c:pt idx="2107">
                  <c:v>55.129167000000002</c:v>
                </c:pt>
                <c:pt idx="2108">
                  <c:v>55.174166999999997</c:v>
                </c:pt>
                <c:pt idx="2109">
                  <c:v>55.217222</c:v>
                </c:pt>
                <c:pt idx="2110">
                  <c:v>55.260278</c:v>
                </c:pt>
                <c:pt idx="2111">
                  <c:v>55.286943999999998</c:v>
                </c:pt>
                <c:pt idx="2112">
                  <c:v>55.285277999999998</c:v>
                </c:pt>
                <c:pt idx="2113">
                  <c:v>55.298333</c:v>
                </c:pt>
                <c:pt idx="2114">
                  <c:v>55.274999999999999</c:v>
                </c:pt>
                <c:pt idx="2115">
                  <c:v>55.288888999999998</c:v>
                </c:pt>
                <c:pt idx="2116">
                  <c:v>55.319721999999999</c:v>
                </c:pt>
                <c:pt idx="2117">
                  <c:v>55.340555999999999</c:v>
                </c:pt>
                <c:pt idx="2118">
                  <c:v>55.368333</c:v>
                </c:pt>
                <c:pt idx="2120">
                  <c:v>55.267221999999997</c:v>
                </c:pt>
                <c:pt idx="2121">
                  <c:v>55.285277999999998</c:v>
                </c:pt>
                <c:pt idx="2122">
                  <c:v>55.296111000000003</c:v>
                </c:pt>
                <c:pt idx="2124">
                  <c:v>55.060277999999997</c:v>
                </c:pt>
                <c:pt idx="2125">
                  <c:v>55.061388999999998</c:v>
                </c:pt>
                <c:pt idx="2127">
                  <c:v>55.170278000000003</c:v>
                </c:pt>
                <c:pt idx="2129">
                  <c:v>55.268332999999998</c:v>
                </c:pt>
                <c:pt idx="2131">
                  <c:v>54.965277999999998</c:v>
                </c:pt>
                <c:pt idx="2132">
                  <c:v>55.005555999999999</c:v>
                </c:pt>
                <c:pt idx="2133">
                  <c:v>54.998888999999998</c:v>
                </c:pt>
                <c:pt idx="2135">
                  <c:v>55.03</c:v>
                </c:pt>
                <c:pt idx="2137">
                  <c:v>54.508333</c:v>
                </c:pt>
                <c:pt idx="2138">
                  <c:v>54.518332999999998</c:v>
                </c:pt>
                <c:pt idx="2140">
                  <c:v>54.212499999999999</c:v>
                </c:pt>
                <c:pt idx="2142">
                  <c:v>54.138333000000003</c:v>
                </c:pt>
                <c:pt idx="2144">
                  <c:v>54.118056000000003</c:v>
                </c:pt>
                <c:pt idx="2146">
                  <c:v>53.976388999999998</c:v>
                </c:pt>
                <c:pt idx="2147">
                  <c:v>53.954721999999997</c:v>
                </c:pt>
                <c:pt idx="2148">
                  <c:v>53.912500000000001</c:v>
                </c:pt>
                <c:pt idx="2149">
                  <c:v>53.879443999999999</c:v>
                </c:pt>
                <c:pt idx="2150">
                  <c:v>53.909444000000001</c:v>
                </c:pt>
                <c:pt idx="2151">
                  <c:v>53.951667</c:v>
                </c:pt>
                <c:pt idx="2152">
                  <c:v>53.960833000000001</c:v>
                </c:pt>
                <c:pt idx="2153">
                  <c:v>53.961944000000003</c:v>
                </c:pt>
                <c:pt idx="2154">
                  <c:v>53.979444000000001</c:v>
                </c:pt>
                <c:pt idx="2155">
                  <c:v>54.008889000000003</c:v>
                </c:pt>
                <c:pt idx="2156">
                  <c:v>53.996389000000001</c:v>
                </c:pt>
                <c:pt idx="2157">
                  <c:v>54.017778</c:v>
                </c:pt>
                <c:pt idx="2158">
                  <c:v>54.021943999999998</c:v>
                </c:pt>
                <c:pt idx="2160">
                  <c:v>53.786667000000001</c:v>
                </c:pt>
                <c:pt idx="2161">
                  <c:v>53.814444000000002</c:v>
                </c:pt>
                <c:pt idx="2162">
                  <c:v>53.802500000000002</c:v>
                </c:pt>
                <c:pt idx="2164">
                  <c:v>53.705278</c:v>
                </c:pt>
                <c:pt idx="2166">
                  <c:v>53.608611000000003</c:v>
                </c:pt>
                <c:pt idx="2168">
                  <c:v>53.607222</c:v>
                </c:pt>
                <c:pt idx="2169">
                  <c:v>53.621943999999999</c:v>
                </c:pt>
                <c:pt idx="2171">
                  <c:v>53.392778</c:v>
                </c:pt>
                <c:pt idx="2173">
                  <c:v>53.301389</c:v>
                </c:pt>
                <c:pt idx="2175">
                  <c:v>53.296944000000003</c:v>
                </c:pt>
                <c:pt idx="2177">
                  <c:v>53.241388999999998</c:v>
                </c:pt>
                <c:pt idx="2179">
                  <c:v>53.223610999999998</c:v>
                </c:pt>
                <c:pt idx="2180">
                  <c:v>53.251666999999998</c:v>
                </c:pt>
                <c:pt idx="2181">
                  <c:v>53.273888999999997</c:v>
                </c:pt>
                <c:pt idx="2183">
                  <c:v>53.095832999999999</c:v>
                </c:pt>
                <c:pt idx="2184">
                  <c:v>53.123888999999998</c:v>
                </c:pt>
                <c:pt idx="2185">
                  <c:v>53.140555999999997</c:v>
                </c:pt>
                <c:pt idx="2186">
                  <c:v>53.143332999999998</c:v>
                </c:pt>
                <c:pt idx="2187">
                  <c:v>53.131667</c:v>
                </c:pt>
                <c:pt idx="2188">
                  <c:v>53.109444000000003</c:v>
                </c:pt>
                <c:pt idx="2190">
                  <c:v>53.051389</c:v>
                </c:pt>
                <c:pt idx="2192">
                  <c:v>52.069443999999997</c:v>
                </c:pt>
                <c:pt idx="2193">
                  <c:v>52.091388999999999</c:v>
                </c:pt>
                <c:pt idx="2195">
                  <c:v>51.889721999999999</c:v>
                </c:pt>
                <c:pt idx="2196">
                  <c:v>51.890555999999997</c:v>
                </c:pt>
                <c:pt idx="2197">
                  <c:v>51.921666999999999</c:v>
                </c:pt>
                <c:pt idx="2198">
                  <c:v>51.916389000000002</c:v>
                </c:pt>
                <c:pt idx="2200">
                  <c:v>51.577221999999999</c:v>
                </c:pt>
                <c:pt idx="2201">
                  <c:v>51.604722000000002</c:v>
                </c:pt>
                <c:pt idx="2203">
                  <c:v>51.616388999999998</c:v>
                </c:pt>
                <c:pt idx="2204">
                  <c:v>51.623610999999997</c:v>
                </c:pt>
                <c:pt idx="2205">
                  <c:v>51.637777999999997</c:v>
                </c:pt>
                <c:pt idx="2207">
                  <c:v>51.684443999999999</c:v>
                </c:pt>
                <c:pt idx="2209">
                  <c:v>51.4925</c:v>
                </c:pt>
                <c:pt idx="2211">
                  <c:v>51.491110999999997</c:v>
                </c:pt>
                <c:pt idx="2213">
                  <c:v>51.468611000000003</c:v>
                </c:pt>
                <c:pt idx="2215">
                  <c:v>51.420278000000003</c:v>
                </c:pt>
                <c:pt idx="2216">
                  <c:v>51.451110999999997</c:v>
                </c:pt>
                <c:pt idx="2218">
                  <c:v>53.068610999999997</c:v>
                </c:pt>
                <c:pt idx="2220">
                  <c:v>51.878056000000001</c:v>
                </c:pt>
                <c:pt idx="2221">
                  <c:v>51.866388999999998</c:v>
                </c:pt>
                <c:pt idx="2222">
                  <c:v>51.884444000000002</c:v>
                </c:pt>
                <c:pt idx="2223">
                  <c:v>51.865833000000002</c:v>
                </c:pt>
                <c:pt idx="2224">
                  <c:v>51.843888999999997</c:v>
                </c:pt>
                <c:pt idx="2226">
                  <c:v>51.841110999999998</c:v>
                </c:pt>
                <c:pt idx="2227">
                  <c:v>51.864167000000002</c:v>
                </c:pt>
                <c:pt idx="2229">
                  <c:v>51.803610999999997</c:v>
                </c:pt>
                <c:pt idx="2230">
                  <c:v>51.766111000000002</c:v>
                </c:pt>
                <c:pt idx="2231">
                  <c:v>51.726944000000003</c:v>
                </c:pt>
                <c:pt idx="2232">
                  <c:v>51.707500000000003</c:v>
                </c:pt>
                <c:pt idx="2233">
                  <c:v>51.692500000000003</c:v>
                </c:pt>
                <c:pt idx="2234">
                  <c:v>51.702778000000002</c:v>
                </c:pt>
                <c:pt idx="2235">
                  <c:v>51.680278000000001</c:v>
                </c:pt>
                <c:pt idx="2236">
                  <c:v>51.628056000000001</c:v>
                </c:pt>
                <c:pt idx="2237">
                  <c:v>51.631667</c:v>
                </c:pt>
                <c:pt idx="2238">
                  <c:v>51.638610999999997</c:v>
                </c:pt>
                <c:pt idx="2239">
                  <c:v>51.604166999999997</c:v>
                </c:pt>
                <c:pt idx="2240">
                  <c:v>51.577221999999999</c:v>
                </c:pt>
                <c:pt idx="2241">
                  <c:v>51.587221999999997</c:v>
                </c:pt>
                <c:pt idx="2242">
                  <c:v>51.591667000000001</c:v>
                </c:pt>
                <c:pt idx="2243">
                  <c:v>51.551389</c:v>
                </c:pt>
                <c:pt idx="2244">
                  <c:v>51.534166999999997</c:v>
                </c:pt>
                <c:pt idx="2245">
                  <c:v>51.571666999999998</c:v>
                </c:pt>
                <c:pt idx="2246">
                  <c:v>51.559443999999999</c:v>
                </c:pt>
                <c:pt idx="2247">
                  <c:v>51.572221999999996</c:v>
                </c:pt>
                <c:pt idx="2248">
                  <c:v>51.531944000000003</c:v>
                </c:pt>
                <c:pt idx="2249">
                  <c:v>51.523611000000002</c:v>
                </c:pt>
                <c:pt idx="2250">
                  <c:v>51.484444000000003</c:v>
                </c:pt>
                <c:pt idx="2251">
                  <c:v>51.500278000000002</c:v>
                </c:pt>
                <c:pt idx="2252">
                  <c:v>51.482778000000003</c:v>
                </c:pt>
                <c:pt idx="2253">
                  <c:v>51.478611000000001</c:v>
                </c:pt>
                <c:pt idx="2254">
                  <c:v>51.512777999999997</c:v>
                </c:pt>
                <c:pt idx="2255">
                  <c:v>51.551667000000002</c:v>
                </c:pt>
                <c:pt idx="2256">
                  <c:v>51.533056000000002</c:v>
                </c:pt>
                <c:pt idx="2257">
                  <c:v>51.516388999999997</c:v>
                </c:pt>
                <c:pt idx="2258">
                  <c:v>51.505277999999997</c:v>
                </c:pt>
                <c:pt idx="2259">
                  <c:v>51.498888999999998</c:v>
                </c:pt>
                <c:pt idx="2260">
                  <c:v>51.499167</c:v>
                </c:pt>
                <c:pt idx="2261">
                  <c:v>51.463332999999999</c:v>
                </c:pt>
                <c:pt idx="2262">
                  <c:v>51.458888999999999</c:v>
                </c:pt>
                <c:pt idx="2263">
                  <c:v>51.461388999999997</c:v>
                </c:pt>
                <c:pt idx="2264">
                  <c:v>51.489722</c:v>
                </c:pt>
                <c:pt idx="2265">
                  <c:v>51.518056000000001</c:v>
                </c:pt>
                <c:pt idx="2266">
                  <c:v>51.536943999999998</c:v>
                </c:pt>
                <c:pt idx="2267">
                  <c:v>51.569721999999999</c:v>
                </c:pt>
                <c:pt idx="2268">
                  <c:v>51.603056000000002</c:v>
                </c:pt>
                <c:pt idx="2269">
                  <c:v>51.613056</c:v>
                </c:pt>
                <c:pt idx="2270">
                  <c:v>51.588611</c:v>
                </c:pt>
                <c:pt idx="2271">
                  <c:v>51.564999999999998</c:v>
                </c:pt>
                <c:pt idx="2272">
                  <c:v>51.544722</c:v>
                </c:pt>
                <c:pt idx="2273">
                  <c:v>51.556111000000001</c:v>
                </c:pt>
                <c:pt idx="2274">
                  <c:v>51.590277999999998</c:v>
                </c:pt>
                <c:pt idx="2275">
                  <c:v>51.613610999999999</c:v>
                </c:pt>
                <c:pt idx="2276">
                  <c:v>51.636111</c:v>
                </c:pt>
                <c:pt idx="2277">
                  <c:v>51.658889000000002</c:v>
                </c:pt>
                <c:pt idx="2278">
                  <c:v>51.679167</c:v>
                </c:pt>
                <c:pt idx="2279">
                  <c:v>51.721389000000002</c:v>
                </c:pt>
                <c:pt idx="2280">
                  <c:v>51.721389000000002</c:v>
                </c:pt>
                <c:pt idx="2281">
                  <c:v>51.752777999999999</c:v>
                </c:pt>
                <c:pt idx="2282">
                  <c:v>51.71</c:v>
                </c:pt>
                <c:pt idx="2283">
                  <c:v>51.683332999999998</c:v>
                </c:pt>
                <c:pt idx="2284">
                  <c:v>51.673611000000001</c:v>
                </c:pt>
                <c:pt idx="2285">
                  <c:v>51.655278000000003</c:v>
                </c:pt>
                <c:pt idx="2286">
                  <c:v>51.648055999999997</c:v>
                </c:pt>
                <c:pt idx="2287">
                  <c:v>51.615278000000004</c:v>
                </c:pt>
                <c:pt idx="2288">
                  <c:v>51.601944000000003</c:v>
                </c:pt>
                <c:pt idx="2289">
                  <c:v>51.601111000000003</c:v>
                </c:pt>
                <c:pt idx="2290">
                  <c:v>51.587778</c:v>
                </c:pt>
                <c:pt idx="2291">
                  <c:v>51.613332999999997</c:v>
                </c:pt>
                <c:pt idx="2292">
                  <c:v>51.643611</c:v>
                </c:pt>
                <c:pt idx="2293">
                  <c:v>51.671111000000003</c:v>
                </c:pt>
                <c:pt idx="2294">
                  <c:v>51.678055999999998</c:v>
                </c:pt>
                <c:pt idx="2295">
                  <c:v>51.708610999999998</c:v>
                </c:pt>
                <c:pt idx="2296">
                  <c:v>51.737499999999997</c:v>
                </c:pt>
                <c:pt idx="2297">
                  <c:v>51.756110999999997</c:v>
                </c:pt>
                <c:pt idx="2298">
                  <c:v>51.750278000000002</c:v>
                </c:pt>
                <c:pt idx="2299">
                  <c:v>51.766666999999998</c:v>
                </c:pt>
                <c:pt idx="2300">
                  <c:v>51.790832999999999</c:v>
                </c:pt>
                <c:pt idx="2301">
                  <c:v>51.826943999999997</c:v>
                </c:pt>
                <c:pt idx="2302">
                  <c:v>51.842778000000003</c:v>
                </c:pt>
                <c:pt idx="2303">
                  <c:v>51.866667</c:v>
                </c:pt>
                <c:pt idx="2304">
                  <c:v>51.868611000000001</c:v>
                </c:pt>
                <c:pt idx="2305">
                  <c:v>51.849722</c:v>
                </c:pt>
                <c:pt idx="2306">
                  <c:v>51.822778</c:v>
                </c:pt>
                <c:pt idx="2307">
                  <c:v>51.811110999999997</c:v>
                </c:pt>
                <c:pt idx="2308">
                  <c:v>51.818333000000003</c:v>
                </c:pt>
                <c:pt idx="2309">
                  <c:v>51.796944000000003</c:v>
                </c:pt>
                <c:pt idx="2310">
                  <c:v>51.774999999999999</c:v>
                </c:pt>
                <c:pt idx="2311">
                  <c:v>51.752499999999998</c:v>
                </c:pt>
                <c:pt idx="2312">
                  <c:v>51.756110999999997</c:v>
                </c:pt>
                <c:pt idx="2313">
                  <c:v>51.773888999999997</c:v>
                </c:pt>
                <c:pt idx="2314">
                  <c:v>51.798333</c:v>
                </c:pt>
                <c:pt idx="2315">
                  <c:v>51.846111000000001</c:v>
                </c:pt>
                <c:pt idx="2316">
                  <c:v>51.824167000000003</c:v>
                </c:pt>
                <c:pt idx="2317">
                  <c:v>51.789166999999999</c:v>
                </c:pt>
                <c:pt idx="2319">
                  <c:v>52.241943999999997</c:v>
                </c:pt>
                <c:pt idx="2320">
                  <c:v>52.195278000000002</c:v>
                </c:pt>
                <c:pt idx="2321">
                  <c:v>52.185833000000002</c:v>
                </c:pt>
                <c:pt idx="2322">
                  <c:v>52.193055999999999</c:v>
                </c:pt>
                <c:pt idx="2323">
                  <c:v>52.200277999999997</c:v>
                </c:pt>
                <c:pt idx="2324">
                  <c:v>52.1875</c:v>
                </c:pt>
                <c:pt idx="2325">
                  <c:v>52.173333</c:v>
                </c:pt>
                <c:pt idx="2326">
                  <c:v>52.203888999999997</c:v>
                </c:pt>
                <c:pt idx="2327">
                  <c:v>52.211666999999998</c:v>
                </c:pt>
                <c:pt idx="2328">
                  <c:v>52.220556000000002</c:v>
                </c:pt>
                <c:pt idx="2329">
                  <c:v>52.250278000000002</c:v>
                </c:pt>
                <c:pt idx="2330">
                  <c:v>52.233611000000003</c:v>
                </c:pt>
                <c:pt idx="2331">
                  <c:v>52.200277999999997</c:v>
                </c:pt>
                <c:pt idx="2332">
                  <c:v>52.168056</c:v>
                </c:pt>
                <c:pt idx="2333">
                  <c:v>52.136111</c:v>
                </c:pt>
                <c:pt idx="2334">
                  <c:v>52.143611</c:v>
                </c:pt>
                <c:pt idx="2335">
                  <c:v>52.186388999999998</c:v>
                </c:pt>
                <c:pt idx="2336">
                  <c:v>52.231110999999999</c:v>
                </c:pt>
                <c:pt idx="2337">
                  <c:v>52.276944</c:v>
                </c:pt>
                <c:pt idx="2338">
                  <c:v>52.244166999999997</c:v>
                </c:pt>
                <c:pt idx="2339">
                  <c:v>52.195</c:v>
                </c:pt>
                <c:pt idx="2340">
                  <c:v>52.165556000000002</c:v>
                </c:pt>
                <c:pt idx="2341">
                  <c:v>52.133056000000003</c:v>
                </c:pt>
                <c:pt idx="2342">
                  <c:v>52.141944000000002</c:v>
                </c:pt>
                <c:pt idx="2343">
                  <c:v>52.170278000000003</c:v>
                </c:pt>
                <c:pt idx="2344">
                  <c:v>52.154722</c:v>
                </c:pt>
                <c:pt idx="2345">
                  <c:v>52.130277999999997</c:v>
                </c:pt>
                <c:pt idx="2346">
                  <c:v>52.131110999999997</c:v>
                </c:pt>
                <c:pt idx="2347">
                  <c:v>52.125278000000002</c:v>
                </c:pt>
                <c:pt idx="2348">
                  <c:v>52.111389000000003</c:v>
                </c:pt>
                <c:pt idx="2349">
                  <c:v>52.085833000000001</c:v>
                </c:pt>
                <c:pt idx="2350">
                  <c:v>52.086388999999997</c:v>
                </c:pt>
                <c:pt idx="2351">
                  <c:v>52.059167000000002</c:v>
                </c:pt>
                <c:pt idx="2352">
                  <c:v>52.027777999999998</c:v>
                </c:pt>
                <c:pt idx="2353">
                  <c:v>51.989722</c:v>
                </c:pt>
                <c:pt idx="2354">
                  <c:v>51.977221999999998</c:v>
                </c:pt>
                <c:pt idx="2355">
                  <c:v>51.941667000000002</c:v>
                </c:pt>
                <c:pt idx="2356">
                  <c:v>51.945833</c:v>
                </c:pt>
                <c:pt idx="2357">
                  <c:v>51.931944000000001</c:v>
                </c:pt>
                <c:pt idx="2358">
                  <c:v>51.903333000000003</c:v>
                </c:pt>
                <c:pt idx="2359">
                  <c:v>51.874443999999997</c:v>
                </c:pt>
                <c:pt idx="2360">
                  <c:v>51.863056</c:v>
                </c:pt>
                <c:pt idx="2361">
                  <c:v>51.824444</c:v>
                </c:pt>
                <c:pt idx="2362">
                  <c:v>51.811110999999997</c:v>
                </c:pt>
                <c:pt idx="2363">
                  <c:v>51.792777999999998</c:v>
                </c:pt>
                <c:pt idx="2364">
                  <c:v>51.805</c:v>
                </c:pt>
                <c:pt idx="2365">
                  <c:v>51.839444</c:v>
                </c:pt>
                <c:pt idx="2367">
                  <c:v>53.378332999999998</c:v>
                </c:pt>
                <c:pt idx="2368">
                  <c:v>53.37</c:v>
                </c:pt>
                <c:pt idx="2369">
                  <c:v>53.34</c:v>
                </c:pt>
                <c:pt idx="2370">
                  <c:v>53.301110999999999</c:v>
                </c:pt>
                <c:pt idx="2371">
                  <c:v>53.275278</c:v>
                </c:pt>
                <c:pt idx="2372">
                  <c:v>53.223332999999997</c:v>
                </c:pt>
                <c:pt idx="2373">
                  <c:v>53.174722000000003</c:v>
                </c:pt>
                <c:pt idx="2374">
                  <c:v>53.127499999999998</c:v>
                </c:pt>
                <c:pt idx="2375">
                  <c:v>53.068055999999999</c:v>
                </c:pt>
                <c:pt idx="2376">
                  <c:v>53.0075</c:v>
                </c:pt>
                <c:pt idx="2377">
                  <c:v>52.968333000000001</c:v>
                </c:pt>
                <c:pt idx="2378">
                  <c:v>52.920555999999998</c:v>
                </c:pt>
                <c:pt idx="2379">
                  <c:v>52.873610999999997</c:v>
                </c:pt>
                <c:pt idx="2380">
                  <c:v>52.835000000000001</c:v>
                </c:pt>
                <c:pt idx="2381">
                  <c:v>52.783332999999999</c:v>
                </c:pt>
                <c:pt idx="2382">
                  <c:v>52.725000000000001</c:v>
                </c:pt>
                <c:pt idx="2383">
                  <c:v>52.682777999999999</c:v>
                </c:pt>
                <c:pt idx="2384">
                  <c:v>52.626666999999998</c:v>
                </c:pt>
                <c:pt idx="2385">
                  <c:v>52.572499999999998</c:v>
                </c:pt>
                <c:pt idx="2386">
                  <c:v>52.521110999999998</c:v>
                </c:pt>
                <c:pt idx="2387">
                  <c:v>52.479444000000001</c:v>
                </c:pt>
                <c:pt idx="2388">
                  <c:v>52.438611000000002</c:v>
                </c:pt>
                <c:pt idx="2389">
                  <c:v>52.393332999999998</c:v>
                </c:pt>
                <c:pt idx="2390">
                  <c:v>52.345832999999999</c:v>
                </c:pt>
                <c:pt idx="2391">
                  <c:v>52.347499999999997</c:v>
                </c:pt>
                <c:pt idx="2392">
                  <c:v>52.300277999999999</c:v>
                </c:pt>
                <c:pt idx="2393">
                  <c:v>52.314722000000003</c:v>
                </c:pt>
                <c:pt idx="2395">
                  <c:v>58.615833000000002</c:v>
                </c:pt>
                <c:pt idx="2396">
                  <c:v>58.592222</c:v>
                </c:pt>
                <c:pt idx="2397">
                  <c:v>58.574167000000003</c:v>
                </c:pt>
                <c:pt idx="2398">
                  <c:v>58.599443999999998</c:v>
                </c:pt>
                <c:pt idx="2399">
                  <c:v>58.561667</c:v>
                </c:pt>
                <c:pt idx="2400">
                  <c:v>58.526667000000003</c:v>
                </c:pt>
                <c:pt idx="2401">
                  <c:v>58.484166999999999</c:v>
                </c:pt>
                <c:pt idx="2402">
                  <c:v>58.442777999999997</c:v>
                </c:pt>
                <c:pt idx="2403">
                  <c:v>58.479166999999997</c:v>
                </c:pt>
                <c:pt idx="2404">
                  <c:v>58.518332999999998</c:v>
                </c:pt>
                <c:pt idx="2405">
                  <c:v>58.551943999999999</c:v>
                </c:pt>
                <c:pt idx="2406">
                  <c:v>58.579166999999998</c:v>
                </c:pt>
                <c:pt idx="2407">
                  <c:v>58.553055999999998</c:v>
                </c:pt>
                <c:pt idx="2408">
                  <c:v>58.518056000000001</c:v>
                </c:pt>
                <c:pt idx="2409">
                  <c:v>58.472499999999997</c:v>
                </c:pt>
                <c:pt idx="2410">
                  <c:v>58.458333000000003</c:v>
                </c:pt>
                <c:pt idx="2411">
                  <c:v>58.501111000000002</c:v>
                </c:pt>
                <c:pt idx="2412">
                  <c:v>58.535556</c:v>
                </c:pt>
                <c:pt idx="2413">
                  <c:v>58.526389000000002</c:v>
                </c:pt>
                <c:pt idx="2414">
                  <c:v>58.545833000000002</c:v>
                </c:pt>
                <c:pt idx="2415">
                  <c:v>58.555278000000001</c:v>
                </c:pt>
                <c:pt idx="2416">
                  <c:v>58.555556000000003</c:v>
                </c:pt>
                <c:pt idx="2417">
                  <c:v>58.596944000000001</c:v>
                </c:pt>
                <c:pt idx="2418">
                  <c:v>58.567500000000003</c:v>
                </c:pt>
                <c:pt idx="2419">
                  <c:v>58.562778000000002</c:v>
                </c:pt>
                <c:pt idx="2420">
                  <c:v>58.567222000000001</c:v>
                </c:pt>
                <c:pt idx="2421">
                  <c:v>58.600833000000002</c:v>
                </c:pt>
                <c:pt idx="2422">
                  <c:v>58.617221999999998</c:v>
                </c:pt>
                <c:pt idx="2423">
                  <c:v>58.611666999999997</c:v>
                </c:pt>
                <c:pt idx="2424">
                  <c:v>58.607222</c:v>
                </c:pt>
                <c:pt idx="2425">
                  <c:v>58.599443999999998</c:v>
                </c:pt>
                <c:pt idx="2426">
                  <c:v>58.629722000000001</c:v>
                </c:pt>
                <c:pt idx="2427">
                  <c:v>58.670555999999998</c:v>
                </c:pt>
                <c:pt idx="2428">
                  <c:v>58.646667000000001</c:v>
                </c:pt>
                <c:pt idx="2429">
                  <c:v>58.651111</c:v>
                </c:pt>
                <c:pt idx="2430">
                  <c:v>58.639721999999999</c:v>
                </c:pt>
                <c:pt idx="2431">
                  <c:v>58.647778000000002</c:v>
                </c:pt>
                <c:pt idx="2432">
                  <c:v>58.597777999999998</c:v>
                </c:pt>
                <c:pt idx="2433">
                  <c:v>58.560833000000002</c:v>
                </c:pt>
                <c:pt idx="2434">
                  <c:v>58.519722000000002</c:v>
                </c:pt>
                <c:pt idx="2435">
                  <c:v>58.473332999999997</c:v>
                </c:pt>
                <c:pt idx="2436">
                  <c:v>58.474167000000001</c:v>
                </c:pt>
                <c:pt idx="2437">
                  <c:v>58.428055999999998</c:v>
                </c:pt>
                <c:pt idx="2438">
                  <c:v>58.379722000000001</c:v>
                </c:pt>
                <c:pt idx="2439">
                  <c:v>58.341667000000001</c:v>
                </c:pt>
                <c:pt idx="2440">
                  <c:v>58.303888999999998</c:v>
                </c:pt>
                <c:pt idx="2441">
                  <c:v>58.283332999999999</c:v>
                </c:pt>
                <c:pt idx="2442">
                  <c:v>58.262500000000003</c:v>
                </c:pt>
                <c:pt idx="2443">
                  <c:v>58.223610999999998</c:v>
                </c:pt>
                <c:pt idx="2444">
                  <c:v>58.178610999999997</c:v>
                </c:pt>
                <c:pt idx="2445">
                  <c:v>58.145833000000003</c:v>
                </c:pt>
                <c:pt idx="2446">
                  <c:v>58.114167000000002</c:v>
                </c:pt>
                <c:pt idx="2447">
                  <c:v>58.086111000000002</c:v>
                </c:pt>
                <c:pt idx="2448">
                  <c:v>58.055</c:v>
                </c:pt>
                <c:pt idx="2449">
                  <c:v>58.026944</c:v>
                </c:pt>
                <c:pt idx="2450">
                  <c:v>57.987499999999997</c:v>
                </c:pt>
                <c:pt idx="2451">
                  <c:v>57.963332999999999</c:v>
                </c:pt>
                <c:pt idx="2452">
                  <c:v>57.917222000000002</c:v>
                </c:pt>
                <c:pt idx="2453">
                  <c:v>57.872222000000001</c:v>
                </c:pt>
                <c:pt idx="2454">
                  <c:v>57.858888999999998</c:v>
                </c:pt>
                <c:pt idx="2455">
                  <c:v>57.852778000000001</c:v>
                </c:pt>
                <c:pt idx="2456">
                  <c:v>57.830832999999998</c:v>
                </c:pt>
                <c:pt idx="2457">
                  <c:v>57.818333000000003</c:v>
                </c:pt>
                <c:pt idx="2458">
                  <c:v>57.833888999999999</c:v>
                </c:pt>
                <c:pt idx="2459">
                  <c:v>57.814722000000003</c:v>
                </c:pt>
                <c:pt idx="2460">
                  <c:v>57.818888999999999</c:v>
                </c:pt>
                <c:pt idx="2461">
                  <c:v>57.855556</c:v>
                </c:pt>
                <c:pt idx="2462">
                  <c:v>57.834167000000001</c:v>
                </c:pt>
                <c:pt idx="2463">
                  <c:v>57.791944000000001</c:v>
                </c:pt>
                <c:pt idx="2464">
                  <c:v>57.755277999999997</c:v>
                </c:pt>
                <c:pt idx="2465">
                  <c:v>57.711111000000002</c:v>
                </c:pt>
                <c:pt idx="2466">
                  <c:v>57.682222000000003</c:v>
                </c:pt>
                <c:pt idx="2467">
                  <c:v>57.730832999999997</c:v>
                </c:pt>
                <c:pt idx="2468">
                  <c:v>57.718333000000001</c:v>
                </c:pt>
                <c:pt idx="2469">
                  <c:v>57.681666999999997</c:v>
                </c:pt>
                <c:pt idx="2470">
                  <c:v>57.675556</c:v>
                </c:pt>
                <c:pt idx="2471">
                  <c:v>57.646110999999998</c:v>
                </c:pt>
                <c:pt idx="2472">
                  <c:v>57.610278000000001</c:v>
                </c:pt>
                <c:pt idx="2473">
                  <c:v>57.574722000000001</c:v>
                </c:pt>
                <c:pt idx="2474">
                  <c:v>57.588611</c:v>
                </c:pt>
                <c:pt idx="2475">
                  <c:v>57.626389000000003</c:v>
                </c:pt>
                <c:pt idx="2476">
                  <c:v>57.657221999999997</c:v>
                </c:pt>
                <c:pt idx="2477">
                  <c:v>57.666666999999997</c:v>
                </c:pt>
                <c:pt idx="2478">
                  <c:v>57.662778000000003</c:v>
                </c:pt>
                <c:pt idx="2479">
                  <c:v>57.671944000000003</c:v>
                </c:pt>
                <c:pt idx="2480">
                  <c:v>57.636389000000001</c:v>
                </c:pt>
                <c:pt idx="2481">
                  <c:v>57.597499999999997</c:v>
                </c:pt>
                <c:pt idx="2482">
                  <c:v>57.572778</c:v>
                </c:pt>
                <c:pt idx="2483">
                  <c:v>57.547499999999999</c:v>
                </c:pt>
                <c:pt idx="2484">
                  <c:v>57.534166999999997</c:v>
                </c:pt>
                <c:pt idx="2485">
                  <c:v>57.494444000000001</c:v>
                </c:pt>
                <c:pt idx="2486">
                  <c:v>57.5</c:v>
                </c:pt>
                <c:pt idx="2487">
                  <c:v>57.533611000000001</c:v>
                </c:pt>
                <c:pt idx="2488">
                  <c:v>57.569443999999997</c:v>
                </c:pt>
                <c:pt idx="2489">
                  <c:v>57.588332999999999</c:v>
                </c:pt>
                <c:pt idx="2490">
                  <c:v>57.588056000000002</c:v>
                </c:pt>
                <c:pt idx="2491">
                  <c:v>57.595556000000002</c:v>
                </c:pt>
                <c:pt idx="2492">
                  <c:v>57.625556000000003</c:v>
                </c:pt>
                <c:pt idx="2493">
                  <c:v>57.656666999999999</c:v>
                </c:pt>
                <c:pt idx="2494">
                  <c:v>57.66</c:v>
                </c:pt>
                <c:pt idx="2495">
                  <c:v>57.683332999999998</c:v>
                </c:pt>
                <c:pt idx="2496">
                  <c:v>57.705278</c:v>
                </c:pt>
                <c:pt idx="2497">
                  <c:v>57.716388999999999</c:v>
                </c:pt>
                <c:pt idx="2498">
                  <c:v>57.699167000000003</c:v>
                </c:pt>
                <c:pt idx="2499">
                  <c:v>57.678610999999997</c:v>
                </c:pt>
                <c:pt idx="2500">
                  <c:v>57.662500000000001</c:v>
                </c:pt>
                <c:pt idx="2501">
                  <c:v>57.676389</c:v>
                </c:pt>
                <c:pt idx="2502">
                  <c:v>57.697499999999998</c:v>
                </c:pt>
                <c:pt idx="2503">
                  <c:v>57.693888999999999</c:v>
                </c:pt>
                <c:pt idx="2504">
                  <c:v>57.681389000000003</c:v>
                </c:pt>
                <c:pt idx="2505">
                  <c:v>57.675556</c:v>
                </c:pt>
                <c:pt idx="2506">
                  <c:v>57.663888999999998</c:v>
                </c:pt>
                <c:pt idx="2507">
                  <c:v>57.662778000000003</c:v>
                </c:pt>
                <c:pt idx="2508">
                  <c:v>57.67</c:v>
                </c:pt>
                <c:pt idx="2509">
                  <c:v>57.671944000000003</c:v>
                </c:pt>
                <c:pt idx="2510">
                  <c:v>57.674999999999997</c:v>
                </c:pt>
                <c:pt idx="2511">
                  <c:v>57.685555999999998</c:v>
                </c:pt>
                <c:pt idx="2512">
                  <c:v>57.667777999999998</c:v>
                </c:pt>
                <c:pt idx="2513">
                  <c:v>57.645833000000003</c:v>
                </c:pt>
                <c:pt idx="2514">
                  <c:v>57.610556000000003</c:v>
                </c:pt>
                <c:pt idx="2515">
                  <c:v>57.560833000000002</c:v>
                </c:pt>
                <c:pt idx="2516">
                  <c:v>57.512777999999997</c:v>
                </c:pt>
                <c:pt idx="2518">
                  <c:v>57.47</c:v>
                </c:pt>
                <c:pt idx="2519">
                  <c:v>57.431111000000001</c:v>
                </c:pt>
                <c:pt idx="2520">
                  <c:v>57.399444000000003</c:v>
                </c:pt>
                <c:pt idx="2521">
                  <c:v>57.361389000000003</c:v>
                </c:pt>
                <c:pt idx="2522">
                  <c:v>57.320278000000002</c:v>
                </c:pt>
                <c:pt idx="2523">
                  <c:v>57.276389000000002</c:v>
                </c:pt>
                <c:pt idx="2524">
                  <c:v>57.225000000000001</c:v>
                </c:pt>
                <c:pt idx="2525">
                  <c:v>57.167777999999998</c:v>
                </c:pt>
                <c:pt idx="2526">
                  <c:v>57.118611000000001</c:v>
                </c:pt>
                <c:pt idx="2527">
                  <c:v>57.070556000000003</c:v>
                </c:pt>
                <c:pt idx="2528">
                  <c:v>57.023611000000002</c:v>
                </c:pt>
                <c:pt idx="2529">
                  <c:v>56.976388999999998</c:v>
                </c:pt>
                <c:pt idx="2530">
                  <c:v>56.923333</c:v>
                </c:pt>
                <c:pt idx="2531">
                  <c:v>56.872500000000002</c:v>
                </c:pt>
                <c:pt idx="2532">
                  <c:v>56.827221999999999</c:v>
                </c:pt>
                <c:pt idx="2533">
                  <c:v>56.79</c:v>
                </c:pt>
                <c:pt idx="2534">
                  <c:v>56.767499999999998</c:v>
                </c:pt>
                <c:pt idx="2535">
                  <c:v>56.723610999999998</c:v>
                </c:pt>
                <c:pt idx="2536">
                  <c:v>56.676667000000002</c:v>
                </c:pt>
                <c:pt idx="2537">
                  <c:v>56.643611</c:v>
                </c:pt>
                <c:pt idx="2538">
                  <c:v>56.600833000000002</c:v>
                </c:pt>
                <c:pt idx="2539">
                  <c:v>56.558056000000001</c:v>
                </c:pt>
                <c:pt idx="2540">
                  <c:v>56.530555999999997</c:v>
                </c:pt>
                <c:pt idx="2541">
                  <c:v>56.501111000000002</c:v>
                </c:pt>
                <c:pt idx="2542">
                  <c:v>56.461666999999998</c:v>
                </c:pt>
                <c:pt idx="2543">
                  <c:v>56.468055999999997</c:v>
                </c:pt>
                <c:pt idx="2544">
                  <c:v>56.462499999999999</c:v>
                </c:pt>
                <c:pt idx="2545">
                  <c:v>56.448056000000001</c:v>
                </c:pt>
                <c:pt idx="2546">
                  <c:v>56.436667</c:v>
                </c:pt>
                <c:pt idx="2547">
                  <c:v>56.408332999999999</c:v>
                </c:pt>
                <c:pt idx="2548">
                  <c:v>56.375556000000003</c:v>
                </c:pt>
                <c:pt idx="2549">
                  <c:v>56.36</c:v>
                </c:pt>
                <c:pt idx="2550">
                  <c:v>56.346666999999997</c:v>
                </c:pt>
                <c:pt idx="2551">
                  <c:v>56.364722</c:v>
                </c:pt>
                <c:pt idx="2552">
                  <c:v>56.389443999999997</c:v>
                </c:pt>
                <c:pt idx="2553">
                  <c:v>56.411667000000001</c:v>
                </c:pt>
                <c:pt idx="2554">
                  <c:v>56.434722000000001</c:v>
                </c:pt>
                <c:pt idx="2555">
                  <c:v>56.445833</c:v>
                </c:pt>
                <c:pt idx="2556">
                  <c:v>56.418889</c:v>
                </c:pt>
                <c:pt idx="2557">
                  <c:v>56.368056000000003</c:v>
                </c:pt>
                <c:pt idx="2558">
                  <c:v>56.342778000000003</c:v>
                </c:pt>
                <c:pt idx="2559">
                  <c:v>56.324722000000001</c:v>
                </c:pt>
                <c:pt idx="2560">
                  <c:v>56.303333000000002</c:v>
                </c:pt>
                <c:pt idx="2561">
                  <c:v>56.265833000000001</c:v>
                </c:pt>
                <c:pt idx="2562">
                  <c:v>56.231943999999999</c:v>
                </c:pt>
                <c:pt idx="2563">
                  <c:v>56.207777999999998</c:v>
                </c:pt>
                <c:pt idx="2564">
                  <c:v>56.186110999999997</c:v>
                </c:pt>
                <c:pt idx="2565">
                  <c:v>56.203055999999997</c:v>
                </c:pt>
                <c:pt idx="2566">
                  <c:v>56.19</c:v>
                </c:pt>
                <c:pt idx="2567">
                  <c:v>56.157778</c:v>
                </c:pt>
                <c:pt idx="2568">
                  <c:v>56.122500000000002</c:v>
                </c:pt>
                <c:pt idx="2569">
                  <c:v>56.079721999999997</c:v>
                </c:pt>
                <c:pt idx="2570">
                  <c:v>56.053888999999998</c:v>
                </c:pt>
                <c:pt idx="2571">
                  <c:v>56.044167000000002</c:v>
                </c:pt>
                <c:pt idx="2572">
                  <c:v>56.024721999999997</c:v>
                </c:pt>
                <c:pt idx="2573">
                  <c:v>56.021110999999998</c:v>
                </c:pt>
                <c:pt idx="2574">
                  <c:v>56.034999999999997</c:v>
                </c:pt>
                <c:pt idx="2575">
                  <c:v>56.051389</c:v>
                </c:pt>
                <c:pt idx="2576">
                  <c:v>56.038333000000002</c:v>
                </c:pt>
                <c:pt idx="2577">
                  <c:v>56.008611000000002</c:v>
                </c:pt>
                <c:pt idx="2578">
                  <c:v>56.0075</c:v>
                </c:pt>
                <c:pt idx="2579">
                  <c:v>55.994166999999997</c:v>
                </c:pt>
                <c:pt idx="2580">
                  <c:v>55.986944000000001</c:v>
                </c:pt>
                <c:pt idx="2581">
                  <c:v>55.975278000000003</c:v>
                </c:pt>
                <c:pt idx="2582">
                  <c:v>55.976666999999999</c:v>
                </c:pt>
                <c:pt idx="2583">
                  <c:v>55.958055999999999</c:v>
                </c:pt>
                <c:pt idx="2584">
                  <c:v>55.944167</c:v>
                </c:pt>
                <c:pt idx="2585">
                  <c:v>55.968888999999997</c:v>
                </c:pt>
                <c:pt idx="2586">
                  <c:v>56</c:v>
                </c:pt>
                <c:pt idx="2587">
                  <c:v>56.033889000000002</c:v>
                </c:pt>
                <c:pt idx="2588">
                  <c:v>56.059443999999999</c:v>
                </c:pt>
                <c:pt idx="2589">
                  <c:v>56.059167000000002</c:v>
                </c:pt>
                <c:pt idx="2590">
                  <c:v>56.035277999999998</c:v>
                </c:pt>
                <c:pt idx="2591">
                  <c:v>55.995832999999998</c:v>
                </c:pt>
                <c:pt idx="2592">
                  <c:v>56.001944000000002</c:v>
                </c:pt>
                <c:pt idx="2593">
                  <c:v>55.975278000000003</c:v>
                </c:pt>
                <c:pt idx="2594">
                  <c:v>55.943055999999999</c:v>
                </c:pt>
                <c:pt idx="2595">
                  <c:v>55.920833000000002</c:v>
                </c:pt>
                <c:pt idx="2596">
                  <c:v>55.916389000000002</c:v>
                </c:pt>
                <c:pt idx="2597">
                  <c:v>55.8825</c:v>
                </c:pt>
                <c:pt idx="2598">
                  <c:v>55.845278</c:v>
                </c:pt>
                <c:pt idx="2599">
                  <c:v>55.804721999999998</c:v>
                </c:pt>
                <c:pt idx="2600">
                  <c:v>55.760278</c:v>
                </c:pt>
                <c:pt idx="2601">
                  <c:v>55.721944000000001</c:v>
                </c:pt>
                <c:pt idx="2602">
                  <c:v>55.685000000000002</c:v>
                </c:pt>
                <c:pt idx="2603">
                  <c:v>55.643056000000001</c:v>
                </c:pt>
                <c:pt idx="2604">
                  <c:v>55.645555999999999</c:v>
                </c:pt>
                <c:pt idx="2605">
                  <c:v>55.609444000000003</c:v>
                </c:pt>
                <c:pt idx="2606">
                  <c:v>55.603889000000002</c:v>
                </c:pt>
                <c:pt idx="2607">
                  <c:v>55.567500000000003</c:v>
                </c:pt>
                <c:pt idx="2608">
                  <c:v>55.526944</c:v>
                </c:pt>
                <c:pt idx="2609">
                  <c:v>55.482222</c:v>
                </c:pt>
                <c:pt idx="2610">
                  <c:v>55.423889000000003</c:v>
                </c:pt>
                <c:pt idx="2611">
                  <c:v>55.374721999999998</c:v>
                </c:pt>
                <c:pt idx="2612">
                  <c:v>55.329444000000002</c:v>
                </c:pt>
                <c:pt idx="2613">
                  <c:v>55.275278</c:v>
                </c:pt>
                <c:pt idx="2614">
                  <c:v>55.232222</c:v>
                </c:pt>
                <c:pt idx="2615">
                  <c:v>55.184167000000002</c:v>
                </c:pt>
                <c:pt idx="2616">
                  <c:v>55.136944</c:v>
                </c:pt>
                <c:pt idx="2617">
                  <c:v>55.083333000000003</c:v>
                </c:pt>
                <c:pt idx="2618">
                  <c:v>55.046111000000003</c:v>
                </c:pt>
                <c:pt idx="2619">
                  <c:v>55.002777999999999</c:v>
                </c:pt>
                <c:pt idx="2620">
                  <c:v>54.965277999999998</c:v>
                </c:pt>
                <c:pt idx="2621">
                  <c:v>54.909166999999997</c:v>
                </c:pt>
                <c:pt idx="2622">
                  <c:v>54.856110999999999</c:v>
                </c:pt>
                <c:pt idx="2623">
                  <c:v>54.807499999999997</c:v>
                </c:pt>
                <c:pt idx="2624">
                  <c:v>54.756110999999997</c:v>
                </c:pt>
                <c:pt idx="2625">
                  <c:v>54.718333000000001</c:v>
                </c:pt>
                <c:pt idx="2626">
                  <c:v>54.690556000000001</c:v>
                </c:pt>
                <c:pt idx="2627">
                  <c:v>54.650832999999999</c:v>
                </c:pt>
                <c:pt idx="2628">
                  <c:v>54.605556</c:v>
                </c:pt>
                <c:pt idx="2629">
                  <c:v>54.615555999999998</c:v>
                </c:pt>
                <c:pt idx="2630">
                  <c:v>54.620832999999998</c:v>
                </c:pt>
                <c:pt idx="2631">
                  <c:v>54.599722</c:v>
                </c:pt>
                <c:pt idx="2632">
                  <c:v>54.584721999999999</c:v>
                </c:pt>
                <c:pt idx="2633">
                  <c:v>54.568888999999999</c:v>
                </c:pt>
                <c:pt idx="2634">
                  <c:v>54.543889</c:v>
                </c:pt>
                <c:pt idx="2635">
                  <c:v>54.517778</c:v>
                </c:pt>
                <c:pt idx="2636">
                  <c:v>54.486666999999997</c:v>
                </c:pt>
                <c:pt idx="2637">
                  <c:v>54.460555999999997</c:v>
                </c:pt>
                <c:pt idx="2638">
                  <c:v>54.412778000000003</c:v>
                </c:pt>
                <c:pt idx="2639">
                  <c:v>54.377499999999998</c:v>
                </c:pt>
                <c:pt idx="2640">
                  <c:v>54.332777999999998</c:v>
                </c:pt>
                <c:pt idx="2641">
                  <c:v>54.281944000000003</c:v>
                </c:pt>
                <c:pt idx="2642">
                  <c:v>54.243333</c:v>
                </c:pt>
                <c:pt idx="2643">
                  <c:v>54.219444000000003</c:v>
                </c:pt>
                <c:pt idx="2644">
                  <c:v>54.174999999999997</c:v>
                </c:pt>
                <c:pt idx="2645">
                  <c:v>54.148333000000001</c:v>
                </c:pt>
                <c:pt idx="2646">
                  <c:v>54.125</c:v>
                </c:pt>
                <c:pt idx="2648">
                  <c:v>54.093055999999997</c:v>
                </c:pt>
                <c:pt idx="2649">
                  <c:v>54.055278000000001</c:v>
                </c:pt>
                <c:pt idx="2650">
                  <c:v>53.998888999999998</c:v>
                </c:pt>
                <c:pt idx="2651">
                  <c:v>53.950277999999997</c:v>
                </c:pt>
                <c:pt idx="2652">
                  <c:v>53.900832999999999</c:v>
                </c:pt>
                <c:pt idx="2653">
                  <c:v>53.856110999999999</c:v>
                </c:pt>
                <c:pt idx="2654">
                  <c:v>53.815832999999998</c:v>
                </c:pt>
                <c:pt idx="2655">
                  <c:v>53.774166999999998</c:v>
                </c:pt>
                <c:pt idx="2656">
                  <c:v>53.733888999999998</c:v>
                </c:pt>
                <c:pt idx="2657">
                  <c:v>53.693888999999999</c:v>
                </c:pt>
                <c:pt idx="2658">
                  <c:v>53.653610999999998</c:v>
                </c:pt>
                <c:pt idx="2659">
                  <c:v>53.608611000000003</c:v>
                </c:pt>
                <c:pt idx="2660">
                  <c:v>53.563611000000002</c:v>
                </c:pt>
                <c:pt idx="2661">
                  <c:v>53.610833</c:v>
                </c:pt>
                <c:pt idx="2662">
                  <c:v>53.638055999999999</c:v>
                </c:pt>
                <c:pt idx="2663">
                  <c:v>53.626111000000002</c:v>
                </c:pt>
                <c:pt idx="2664">
                  <c:v>53.638610999999997</c:v>
                </c:pt>
                <c:pt idx="2665">
                  <c:v>53.672499999999999</c:v>
                </c:pt>
                <c:pt idx="2666">
                  <c:v>53.708610999999998</c:v>
                </c:pt>
                <c:pt idx="2667">
                  <c:v>53.73</c:v>
                </c:pt>
                <c:pt idx="2668">
                  <c:v>53.712221999999997</c:v>
                </c:pt>
                <c:pt idx="2669">
                  <c:v>53.708333000000003</c:v>
                </c:pt>
                <c:pt idx="2670">
                  <c:v>53.710555999999997</c:v>
                </c:pt>
                <c:pt idx="2671">
                  <c:v>53.714722000000002</c:v>
                </c:pt>
                <c:pt idx="2672">
                  <c:v>53.691389000000001</c:v>
                </c:pt>
                <c:pt idx="2673">
                  <c:v>53.693888999999999</c:v>
                </c:pt>
                <c:pt idx="2674">
                  <c:v>53.686943999999997</c:v>
                </c:pt>
                <c:pt idx="2675">
                  <c:v>53.675556</c:v>
                </c:pt>
                <c:pt idx="2676">
                  <c:v>53.686943999999997</c:v>
                </c:pt>
                <c:pt idx="2677">
                  <c:v>53.699722000000001</c:v>
                </c:pt>
                <c:pt idx="2678">
                  <c:v>53.684722000000001</c:v>
                </c:pt>
                <c:pt idx="2679">
                  <c:v>53.642221999999997</c:v>
                </c:pt>
                <c:pt idx="2680">
                  <c:v>53.608333000000002</c:v>
                </c:pt>
                <c:pt idx="2681">
                  <c:v>53.573332999999998</c:v>
                </c:pt>
                <c:pt idx="2682">
                  <c:v>53.557222000000003</c:v>
                </c:pt>
                <c:pt idx="2683">
                  <c:v>53.519444</c:v>
                </c:pt>
                <c:pt idx="2684">
                  <c:v>53.486944000000001</c:v>
                </c:pt>
                <c:pt idx="2685">
                  <c:v>53.464722000000002</c:v>
                </c:pt>
                <c:pt idx="2686">
                  <c:v>53.422221999999998</c:v>
                </c:pt>
                <c:pt idx="2687">
                  <c:v>53.384444000000002</c:v>
                </c:pt>
                <c:pt idx="2688">
                  <c:v>53.338056000000002</c:v>
                </c:pt>
                <c:pt idx="2689">
                  <c:v>53.289166999999999</c:v>
                </c:pt>
                <c:pt idx="2690">
                  <c:v>53.242778000000001</c:v>
                </c:pt>
                <c:pt idx="2691">
                  <c:v>53.191110999999999</c:v>
                </c:pt>
                <c:pt idx="2692">
                  <c:v>53.1325</c:v>
                </c:pt>
                <c:pt idx="2693">
                  <c:v>53.082222000000002</c:v>
                </c:pt>
                <c:pt idx="2694">
                  <c:v>53.052222</c:v>
                </c:pt>
                <c:pt idx="2695">
                  <c:v>53.021110999999998</c:v>
                </c:pt>
                <c:pt idx="2696">
                  <c:v>52.983333000000002</c:v>
                </c:pt>
                <c:pt idx="2697">
                  <c:v>52.944721999999999</c:v>
                </c:pt>
                <c:pt idx="2698">
                  <c:v>52.91</c:v>
                </c:pt>
                <c:pt idx="2699">
                  <c:v>52.881388999999999</c:v>
                </c:pt>
                <c:pt idx="2700">
                  <c:v>52.883056000000003</c:v>
                </c:pt>
                <c:pt idx="2701">
                  <c:v>52.852499999999999</c:v>
                </c:pt>
                <c:pt idx="2702">
                  <c:v>52.81</c:v>
                </c:pt>
                <c:pt idx="2703">
                  <c:v>52.802778000000004</c:v>
                </c:pt>
                <c:pt idx="2704">
                  <c:v>52.780555999999997</c:v>
                </c:pt>
                <c:pt idx="2705">
                  <c:v>52.796944000000003</c:v>
                </c:pt>
                <c:pt idx="2706">
                  <c:v>52.837499999999999</c:v>
                </c:pt>
                <c:pt idx="2707">
                  <c:v>52.894722000000002</c:v>
                </c:pt>
                <c:pt idx="2708">
                  <c:v>52.944443999999997</c:v>
                </c:pt>
                <c:pt idx="2709">
                  <c:v>52.962778</c:v>
                </c:pt>
                <c:pt idx="2710">
                  <c:v>52.963889000000002</c:v>
                </c:pt>
                <c:pt idx="2711">
                  <c:v>52.960555999999997</c:v>
                </c:pt>
                <c:pt idx="2712">
                  <c:v>52.955832999999998</c:v>
                </c:pt>
                <c:pt idx="2713">
                  <c:v>52.952778000000002</c:v>
                </c:pt>
                <c:pt idx="2714">
                  <c:v>52.953055999999997</c:v>
                </c:pt>
                <c:pt idx="2715">
                  <c:v>52.972499999999997</c:v>
                </c:pt>
                <c:pt idx="2716">
                  <c:v>52.952500000000001</c:v>
                </c:pt>
                <c:pt idx="2717">
                  <c:v>52.94</c:v>
                </c:pt>
                <c:pt idx="2718">
                  <c:v>52.927778000000004</c:v>
                </c:pt>
                <c:pt idx="2719">
                  <c:v>52.904722</c:v>
                </c:pt>
                <c:pt idx="2720">
                  <c:v>52.875</c:v>
                </c:pt>
                <c:pt idx="2721">
                  <c:v>52.842222</c:v>
                </c:pt>
                <c:pt idx="2722">
                  <c:v>52.811110999999997</c:v>
                </c:pt>
                <c:pt idx="2723">
                  <c:v>52.779443999999998</c:v>
                </c:pt>
                <c:pt idx="2724">
                  <c:v>52.742778000000001</c:v>
                </c:pt>
                <c:pt idx="2725">
                  <c:v>52.696389000000003</c:v>
                </c:pt>
                <c:pt idx="2726">
                  <c:v>52.647221999999999</c:v>
                </c:pt>
                <c:pt idx="2727">
                  <c:v>52.592500000000001</c:v>
                </c:pt>
                <c:pt idx="2728">
                  <c:v>52.536389</c:v>
                </c:pt>
                <c:pt idx="2729">
                  <c:v>52.486666999999997</c:v>
                </c:pt>
                <c:pt idx="2730">
                  <c:v>52.438611000000002</c:v>
                </c:pt>
                <c:pt idx="2731">
                  <c:v>52.378610999999999</c:v>
                </c:pt>
                <c:pt idx="2732">
                  <c:v>52.327500000000001</c:v>
                </c:pt>
                <c:pt idx="2733">
                  <c:v>52.280278000000003</c:v>
                </c:pt>
                <c:pt idx="2734">
                  <c:v>52.218055999999997</c:v>
                </c:pt>
                <c:pt idx="2735">
                  <c:v>52.160277999999998</c:v>
                </c:pt>
                <c:pt idx="2736">
                  <c:v>52.099167000000001</c:v>
                </c:pt>
                <c:pt idx="2737">
                  <c:v>52.066943999999999</c:v>
                </c:pt>
                <c:pt idx="2738">
                  <c:v>52.046111000000003</c:v>
                </c:pt>
                <c:pt idx="2739">
                  <c:v>52.001944000000002</c:v>
                </c:pt>
                <c:pt idx="2740">
                  <c:v>51.960278000000002</c:v>
                </c:pt>
                <c:pt idx="2741">
                  <c:v>51.935277999999997</c:v>
                </c:pt>
                <c:pt idx="2742">
                  <c:v>51.976388999999998</c:v>
                </c:pt>
                <c:pt idx="2743">
                  <c:v>51.984721999999998</c:v>
                </c:pt>
                <c:pt idx="2744">
                  <c:v>51.954999999999998</c:v>
                </c:pt>
                <c:pt idx="2745">
                  <c:v>51.963889000000002</c:v>
                </c:pt>
                <c:pt idx="2746">
                  <c:v>51.943888999999999</c:v>
                </c:pt>
                <c:pt idx="2747">
                  <c:v>51.943333000000003</c:v>
                </c:pt>
                <c:pt idx="2748">
                  <c:v>51.937221999999998</c:v>
                </c:pt>
                <c:pt idx="2749">
                  <c:v>51.905833000000001</c:v>
                </c:pt>
                <c:pt idx="2750">
                  <c:v>51.869444000000001</c:v>
                </c:pt>
                <c:pt idx="2751">
                  <c:v>51.881943999999997</c:v>
                </c:pt>
                <c:pt idx="2752">
                  <c:v>51.843055999999997</c:v>
                </c:pt>
                <c:pt idx="2753">
                  <c:v>51.806111000000001</c:v>
                </c:pt>
                <c:pt idx="2754">
                  <c:v>51.781111000000003</c:v>
                </c:pt>
                <c:pt idx="2755">
                  <c:v>51.770277999999998</c:v>
                </c:pt>
                <c:pt idx="2756">
                  <c:v>51.802222</c:v>
                </c:pt>
                <c:pt idx="2757">
                  <c:v>51.8</c:v>
                </c:pt>
                <c:pt idx="2758">
                  <c:v>51.768332999999998</c:v>
                </c:pt>
                <c:pt idx="2759">
                  <c:v>51.743333</c:v>
                </c:pt>
                <c:pt idx="2760">
                  <c:v>51.735278000000001</c:v>
                </c:pt>
                <c:pt idx="2761">
                  <c:v>51.708055999999999</c:v>
                </c:pt>
                <c:pt idx="2762">
                  <c:v>51.718333000000001</c:v>
                </c:pt>
                <c:pt idx="2763">
                  <c:v>51.739167000000002</c:v>
                </c:pt>
                <c:pt idx="2764">
                  <c:v>51.720278</c:v>
                </c:pt>
                <c:pt idx="2765">
                  <c:v>51.661667000000001</c:v>
                </c:pt>
                <c:pt idx="2766">
                  <c:v>51.626389000000003</c:v>
                </c:pt>
                <c:pt idx="2767">
                  <c:v>51.625278000000002</c:v>
                </c:pt>
                <c:pt idx="2768">
                  <c:v>51.601111000000003</c:v>
                </c:pt>
                <c:pt idx="2769">
                  <c:v>51.615833000000002</c:v>
                </c:pt>
                <c:pt idx="2770">
                  <c:v>51.579444000000002</c:v>
                </c:pt>
                <c:pt idx="2771">
                  <c:v>51.548889000000003</c:v>
                </c:pt>
                <c:pt idx="2772">
                  <c:v>51.522500000000001</c:v>
                </c:pt>
                <c:pt idx="2773">
                  <c:v>51.532778</c:v>
                </c:pt>
                <c:pt idx="2774">
                  <c:v>51.519167000000003</c:v>
                </c:pt>
                <c:pt idx="2775">
                  <c:v>51.512777999999997</c:v>
                </c:pt>
                <c:pt idx="2776">
                  <c:v>51.500278000000002</c:v>
                </c:pt>
                <c:pt idx="2777">
                  <c:v>51.458610999999998</c:v>
                </c:pt>
                <c:pt idx="2778">
                  <c:v>51.450277999999997</c:v>
                </c:pt>
                <c:pt idx="2779">
                  <c:v>51.484999999999999</c:v>
                </c:pt>
                <c:pt idx="2780">
                  <c:v>51.486389000000003</c:v>
                </c:pt>
                <c:pt idx="2781">
                  <c:v>51.475278000000003</c:v>
                </c:pt>
                <c:pt idx="2782">
                  <c:v>51.444721999999999</c:v>
                </c:pt>
                <c:pt idx="2783">
                  <c:v>51.44</c:v>
                </c:pt>
                <c:pt idx="2784">
                  <c:v>51.413611000000003</c:v>
                </c:pt>
                <c:pt idx="2785">
                  <c:v>51.385832999999998</c:v>
                </c:pt>
                <c:pt idx="2786">
                  <c:v>51.386944</c:v>
                </c:pt>
                <c:pt idx="2787">
                  <c:v>51.406111000000003</c:v>
                </c:pt>
                <c:pt idx="2788">
                  <c:v>51.418332999999997</c:v>
                </c:pt>
                <c:pt idx="2789">
                  <c:v>51.438889000000003</c:v>
                </c:pt>
                <c:pt idx="2790">
                  <c:v>51.421944000000003</c:v>
                </c:pt>
                <c:pt idx="2791">
                  <c:v>51.385278</c:v>
                </c:pt>
                <c:pt idx="2792">
                  <c:v>51.357778000000003</c:v>
                </c:pt>
                <c:pt idx="2793">
                  <c:v>51.368056000000003</c:v>
                </c:pt>
                <c:pt idx="2794">
                  <c:v>51.348610999999998</c:v>
                </c:pt>
                <c:pt idx="2795">
                  <c:v>51.347222000000002</c:v>
                </c:pt>
                <c:pt idx="2796">
                  <c:v>51.364722</c:v>
                </c:pt>
                <c:pt idx="2797">
                  <c:v>51.371943999999999</c:v>
                </c:pt>
                <c:pt idx="2798">
                  <c:v>51.383889000000003</c:v>
                </c:pt>
                <c:pt idx="2799">
                  <c:v>51.386111</c:v>
                </c:pt>
                <c:pt idx="2800">
                  <c:v>51.393889000000001</c:v>
                </c:pt>
                <c:pt idx="2802">
                  <c:v>51.339722000000002</c:v>
                </c:pt>
                <c:pt idx="2803">
                  <c:v>51.3125</c:v>
                </c:pt>
                <c:pt idx="2804">
                  <c:v>51.263333000000003</c:v>
                </c:pt>
                <c:pt idx="2805">
                  <c:v>51.209443999999998</c:v>
                </c:pt>
                <c:pt idx="2806">
                  <c:v>51.151944</c:v>
                </c:pt>
                <c:pt idx="2807">
                  <c:v>51.122777999999997</c:v>
                </c:pt>
                <c:pt idx="2808">
                  <c:v>51.101388999999998</c:v>
                </c:pt>
                <c:pt idx="2809">
                  <c:v>51.078611000000002</c:v>
                </c:pt>
                <c:pt idx="2810">
                  <c:v>51.073889000000001</c:v>
                </c:pt>
                <c:pt idx="2811">
                  <c:v>51.045555999999998</c:v>
                </c:pt>
                <c:pt idx="2812">
                  <c:v>51.0075</c:v>
                </c:pt>
                <c:pt idx="2813">
                  <c:v>50.949444</c:v>
                </c:pt>
                <c:pt idx="2814">
                  <c:v>50.912778000000003</c:v>
                </c:pt>
                <c:pt idx="2815">
                  <c:v>50.927222</c:v>
                </c:pt>
                <c:pt idx="2816">
                  <c:v>50.928333000000002</c:v>
                </c:pt>
                <c:pt idx="2817">
                  <c:v>50.898055999999997</c:v>
                </c:pt>
                <c:pt idx="2818">
                  <c:v>50.866943999999997</c:v>
                </c:pt>
                <c:pt idx="2819">
                  <c:v>50.849722</c:v>
                </c:pt>
                <c:pt idx="2820">
                  <c:v>50.837499999999999</c:v>
                </c:pt>
                <c:pt idx="2821">
                  <c:v>50.827221999999999</c:v>
                </c:pt>
                <c:pt idx="2822">
                  <c:v>50.803610999999997</c:v>
                </c:pt>
                <c:pt idx="2823">
                  <c:v>50.767778</c:v>
                </c:pt>
                <c:pt idx="2824">
                  <c:v>50.74</c:v>
                </c:pt>
                <c:pt idx="2825">
                  <c:v>50.761667000000003</c:v>
                </c:pt>
                <c:pt idx="2826">
                  <c:v>50.779167000000001</c:v>
                </c:pt>
                <c:pt idx="2827">
                  <c:v>50.791944000000001</c:v>
                </c:pt>
                <c:pt idx="2828">
                  <c:v>50.811667</c:v>
                </c:pt>
                <c:pt idx="2829">
                  <c:v>50.826110999999997</c:v>
                </c:pt>
                <c:pt idx="2830">
                  <c:v>50.824444</c:v>
                </c:pt>
                <c:pt idx="2831">
                  <c:v>50.807499999999997</c:v>
                </c:pt>
                <c:pt idx="2832">
                  <c:v>50.794443999999999</c:v>
                </c:pt>
                <c:pt idx="2833">
                  <c:v>50.790832999999999</c:v>
                </c:pt>
                <c:pt idx="2834">
                  <c:v>50.781111000000003</c:v>
                </c:pt>
                <c:pt idx="2835">
                  <c:v>50.770833000000003</c:v>
                </c:pt>
                <c:pt idx="2836">
                  <c:v>50.766111000000002</c:v>
                </c:pt>
                <c:pt idx="2837">
                  <c:v>50.725000000000001</c:v>
                </c:pt>
                <c:pt idx="2838">
                  <c:v>50.745277999999999</c:v>
                </c:pt>
                <c:pt idx="2839">
                  <c:v>50.766666999999998</c:v>
                </c:pt>
                <c:pt idx="2840">
                  <c:v>50.798333</c:v>
                </c:pt>
                <c:pt idx="2841">
                  <c:v>50.827221999999999</c:v>
                </c:pt>
                <c:pt idx="2842">
                  <c:v>50.842500000000001</c:v>
                </c:pt>
                <c:pt idx="2843">
                  <c:v>50.813056000000003</c:v>
                </c:pt>
                <c:pt idx="2844">
                  <c:v>50.776111</c:v>
                </c:pt>
                <c:pt idx="2845">
                  <c:v>50.792777999999998</c:v>
                </c:pt>
                <c:pt idx="2846">
                  <c:v>50.840555999999999</c:v>
                </c:pt>
                <c:pt idx="2847">
                  <c:v>50.802778000000004</c:v>
                </c:pt>
                <c:pt idx="2848">
                  <c:v>50.780833000000001</c:v>
                </c:pt>
                <c:pt idx="2849">
                  <c:v>50.826388999999999</c:v>
                </c:pt>
                <c:pt idx="2850">
                  <c:v>50.841667000000001</c:v>
                </c:pt>
                <c:pt idx="2851">
                  <c:v>50.828611000000002</c:v>
                </c:pt>
                <c:pt idx="2852">
                  <c:v>50.781111000000003</c:v>
                </c:pt>
                <c:pt idx="2853">
                  <c:v>50.799166999999997</c:v>
                </c:pt>
                <c:pt idx="2854">
                  <c:v>50.829444000000002</c:v>
                </c:pt>
                <c:pt idx="2855">
                  <c:v>50.859444000000003</c:v>
                </c:pt>
                <c:pt idx="2856">
                  <c:v>50.888888999999999</c:v>
                </c:pt>
                <c:pt idx="2857">
                  <c:v>50.915556000000002</c:v>
                </c:pt>
                <c:pt idx="2858">
                  <c:v>50.889443999999997</c:v>
                </c:pt>
                <c:pt idx="2859">
                  <c:v>50.855832999999997</c:v>
                </c:pt>
                <c:pt idx="2860">
                  <c:v>50.818333000000003</c:v>
                </c:pt>
                <c:pt idx="2861">
                  <c:v>50.778888999999999</c:v>
                </c:pt>
                <c:pt idx="2862">
                  <c:v>50.768611</c:v>
                </c:pt>
                <c:pt idx="2863">
                  <c:v>50.744444000000001</c:v>
                </c:pt>
                <c:pt idx="2864">
                  <c:v>50.711388999999997</c:v>
                </c:pt>
                <c:pt idx="2865">
                  <c:v>50.733888999999998</c:v>
                </c:pt>
                <c:pt idx="2866">
                  <c:v>50.731110999999999</c:v>
                </c:pt>
                <c:pt idx="2867">
                  <c:v>50.708888999999999</c:v>
                </c:pt>
                <c:pt idx="2868">
                  <c:v>50.716110999999998</c:v>
                </c:pt>
                <c:pt idx="2869">
                  <c:v>50.695278000000002</c:v>
                </c:pt>
                <c:pt idx="2870">
                  <c:v>50.702221999999999</c:v>
                </c:pt>
                <c:pt idx="2871">
                  <c:v>50.704999999999998</c:v>
                </c:pt>
                <c:pt idx="2872">
                  <c:v>50.688889000000003</c:v>
                </c:pt>
                <c:pt idx="2873">
                  <c:v>50.696944000000002</c:v>
                </c:pt>
                <c:pt idx="2874">
                  <c:v>50.681111000000001</c:v>
                </c:pt>
                <c:pt idx="2875">
                  <c:v>50.655555999999997</c:v>
                </c:pt>
                <c:pt idx="2876">
                  <c:v>50.625</c:v>
                </c:pt>
                <c:pt idx="2877">
                  <c:v>50.586944000000003</c:v>
                </c:pt>
                <c:pt idx="2878">
                  <c:v>50.577221999999999</c:v>
                </c:pt>
                <c:pt idx="2879">
                  <c:v>50.604444000000001</c:v>
                </c:pt>
                <c:pt idx="2880">
                  <c:v>50.6175</c:v>
                </c:pt>
                <c:pt idx="2881">
                  <c:v>50.621110999999999</c:v>
                </c:pt>
                <c:pt idx="2882">
                  <c:v>50.631943999999997</c:v>
                </c:pt>
                <c:pt idx="2883">
                  <c:v>50.597777999999998</c:v>
                </c:pt>
                <c:pt idx="2884">
                  <c:v>50.562221999999998</c:v>
                </c:pt>
                <c:pt idx="2885">
                  <c:v>50.516944000000002</c:v>
                </c:pt>
                <c:pt idx="2887">
                  <c:v>50.549166999999997</c:v>
                </c:pt>
                <c:pt idx="2888">
                  <c:v>50.585833000000001</c:v>
                </c:pt>
                <c:pt idx="2889">
                  <c:v>50.617778000000001</c:v>
                </c:pt>
                <c:pt idx="2890">
                  <c:v>50.649166999999998</c:v>
                </c:pt>
                <c:pt idx="2891">
                  <c:v>50.672221999999998</c:v>
                </c:pt>
                <c:pt idx="2892">
                  <c:v>50.700833000000003</c:v>
                </c:pt>
                <c:pt idx="2893">
                  <c:v>50.717500000000001</c:v>
                </c:pt>
                <c:pt idx="2894">
                  <c:v>50.718055999999997</c:v>
                </c:pt>
                <c:pt idx="2895">
                  <c:v>50.695</c:v>
                </c:pt>
                <c:pt idx="2896">
                  <c:v>50.687221999999998</c:v>
                </c:pt>
                <c:pt idx="2897">
                  <c:v>50.682222000000003</c:v>
                </c:pt>
                <c:pt idx="2898">
                  <c:v>50.667777999999998</c:v>
                </c:pt>
                <c:pt idx="2899">
                  <c:v>50.627777999999999</c:v>
                </c:pt>
                <c:pt idx="2900">
                  <c:v>50.604444000000001</c:v>
                </c:pt>
                <c:pt idx="2901">
                  <c:v>50.637777999999997</c:v>
                </c:pt>
                <c:pt idx="2902">
                  <c:v>50.669722</c:v>
                </c:pt>
                <c:pt idx="2903">
                  <c:v>50.620277999999999</c:v>
                </c:pt>
                <c:pt idx="2904">
                  <c:v>50.570556000000003</c:v>
                </c:pt>
                <c:pt idx="2905">
                  <c:v>50.529167000000001</c:v>
                </c:pt>
                <c:pt idx="2906">
                  <c:v>50.475555999999997</c:v>
                </c:pt>
                <c:pt idx="2907">
                  <c:v>50.452778000000002</c:v>
                </c:pt>
                <c:pt idx="2908">
                  <c:v>50.405555999999997</c:v>
                </c:pt>
                <c:pt idx="2909">
                  <c:v>50.383333</c:v>
                </c:pt>
                <c:pt idx="2910">
                  <c:v>50.338332999999999</c:v>
                </c:pt>
                <c:pt idx="2911">
                  <c:v>50.335278000000002</c:v>
                </c:pt>
                <c:pt idx="2912">
                  <c:v>50.309722000000001</c:v>
                </c:pt>
                <c:pt idx="2913">
                  <c:v>50.262777999999997</c:v>
                </c:pt>
                <c:pt idx="2914">
                  <c:v>50.221389000000002</c:v>
                </c:pt>
                <c:pt idx="2915">
                  <c:v>50.214167000000003</c:v>
                </c:pt>
                <c:pt idx="2916">
                  <c:v>50.217778000000003</c:v>
                </c:pt>
                <c:pt idx="2917">
                  <c:v>50.256388999999999</c:v>
                </c:pt>
                <c:pt idx="2918">
                  <c:v>50.288333000000002</c:v>
                </c:pt>
                <c:pt idx="2919">
                  <c:v>50.300832999999997</c:v>
                </c:pt>
                <c:pt idx="2920">
                  <c:v>50.298333</c:v>
                </c:pt>
                <c:pt idx="2921">
                  <c:v>50.33</c:v>
                </c:pt>
                <c:pt idx="2922">
                  <c:v>50.355277999999998</c:v>
                </c:pt>
                <c:pt idx="2923">
                  <c:v>50.354444000000001</c:v>
                </c:pt>
                <c:pt idx="2924">
                  <c:v>50.321944000000002</c:v>
                </c:pt>
                <c:pt idx="2925">
                  <c:v>50.331944</c:v>
                </c:pt>
                <c:pt idx="2926">
                  <c:v>50.354722000000002</c:v>
                </c:pt>
                <c:pt idx="2927">
                  <c:v>50.354722000000002</c:v>
                </c:pt>
                <c:pt idx="2928">
                  <c:v>50.326943999999997</c:v>
                </c:pt>
                <c:pt idx="2929">
                  <c:v>50.325277999999997</c:v>
                </c:pt>
                <c:pt idx="2930">
                  <c:v>50.320833</c:v>
                </c:pt>
                <c:pt idx="2931">
                  <c:v>50.338332999999999</c:v>
                </c:pt>
                <c:pt idx="2932">
                  <c:v>50.310833000000002</c:v>
                </c:pt>
                <c:pt idx="2933">
                  <c:v>50.269167000000003</c:v>
                </c:pt>
                <c:pt idx="2934">
                  <c:v>50.224167000000001</c:v>
                </c:pt>
                <c:pt idx="2935">
                  <c:v>50.224722</c:v>
                </c:pt>
                <c:pt idx="2936">
                  <c:v>50.198611</c:v>
                </c:pt>
                <c:pt idx="2937">
                  <c:v>50.161943999999998</c:v>
                </c:pt>
                <c:pt idx="2938">
                  <c:v>50.150832999999999</c:v>
                </c:pt>
                <c:pt idx="2939">
                  <c:v>50.183056000000001</c:v>
                </c:pt>
                <c:pt idx="2940">
                  <c:v>50.209443999999998</c:v>
                </c:pt>
                <c:pt idx="2941">
                  <c:v>50.17</c:v>
                </c:pt>
                <c:pt idx="2942">
                  <c:v>50.140555999999997</c:v>
                </c:pt>
                <c:pt idx="2943">
                  <c:v>50.102778000000001</c:v>
                </c:pt>
                <c:pt idx="2944">
                  <c:v>50.083055999999999</c:v>
                </c:pt>
                <c:pt idx="2945">
                  <c:v>50.036110999999998</c:v>
                </c:pt>
                <c:pt idx="2946">
                  <c:v>50.008889000000003</c:v>
                </c:pt>
                <c:pt idx="2947">
                  <c:v>49.973056</c:v>
                </c:pt>
                <c:pt idx="2948">
                  <c:v>49.976111000000003</c:v>
                </c:pt>
                <c:pt idx="2949">
                  <c:v>50.023333000000001</c:v>
                </c:pt>
                <c:pt idx="2950">
                  <c:v>50.067500000000003</c:v>
                </c:pt>
                <c:pt idx="2951">
                  <c:v>50.093333000000001</c:v>
                </c:pt>
                <c:pt idx="2952">
                  <c:v>50.108611000000003</c:v>
                </c:pt>
                <c:pt idx="2953">
                  <c:v>50.125278000000002</c:v>
                </c:pt>
                <c:pt idx="2954">
                  <c:v>50.083055999999999</c:v>
                </c:pt>
                <c:pt idx="2955">
                  <c:v>50.047499999999999</c:v>
                </c:pt>
                <c:pt idx="2956">
                  <c:v>50.038055999999997</c:v>
                </c:pt>
                <c:pt idx="2957">
                  <c:v>50.074722000000001</c:v>
                </c:pt>
                <c:pt idx="2958">
                  <c:v>50.121110999999999</c:v>
                </c:pt>
                <c:pt idx="2959">
                  <c:v>50.161667000000001</c:v>
                </c:pt>
                <c:pt idx="2960">
                  <c:v>50.184443999999999</c:v>
                </c:pt>
                <c:pt idx="2961">
                  <c:v>50.208055999999999</c:v>
                </c:pt>
                <c:pt idx="2962">
                  <c:v>50.198056000000001</c:v>
                </c:pt>
                <c:pt idx="2963">
                  <c:v>50.214444</c:v>
                </c:pt>
                <c:pt idx="2964">
                  <c:v>50.238056</c:v>
                </c:pt>
                <c:pt idx="2965">
                  <c:v>50.269444</c:v>
                </c:pt>
                <c:pt idx="2966">
                  <c:v>50.304443999999997</c:v>
                </c:pt>
                <c:pt idx="2967">
                  <c:v>50.338056000000002</c:v>
                </c:pt>
                <c:pt idx="2968">
                  <c:v>50.384444000000002</c:v>
                </c:pt>
                <c:pt idx="2969">
                  <c:v>50.413611000000003</c:v>
                </c:pt>
                <c:pt idx="2970">
                  <c:v>50.436110999999997</c:v>
                </c:pt>
                <c:pt idx="2971">
                  <c:v>50.486666999999997</c:v>
                </c:pt>
                <c:pt idx="2972">
                  <c:v>50.536110999999998</c:v>
                </c:pt>
                <c:pt idx="2973">
                  <c:v>50.551389</c:v>
                </c:pt>
                <c:pt idx="2974">
                  <c:v>50.556944000000001</c:v>
                </c:pt>
                <c:pt idx="2975">
                  <c:v>50.580556000000001</c:v>
                </c:pt>
                <c:pt idx="2976">
                  <c:v>50.589167000000003</c:v>
                </c:pt>
                <c:pt idx="2977">
                  <c:v>50.619444000000001</c:v>
                </c:pt>
                <c:pt idx="2978">
                  <c:v>50.667777999999998</c:v>
                </c:pt>
                <c:pt idx="2979">
                  <c:v>50.694721999999999</c:v>
                </c:pt>
                <c:pt idx="2980">
                  <c:v>50.736666999999997</c:v>
                </c:pt>
                <c:pt idx="2981">
                  <c:v>50.769167000000003</c:v>
                </c:pt>
                <c:pt idx="2982">
                  <c:v>50.816667000000002</c:v>
                </c:pt>
                <c:pt idx="2983">
                  <c:v>50.874443999999997</c:v>
                </c:pt>
                <c:pt idx="2984">
                  <c:v>50.931111000000001</c:v>
                </c:pt>
                <c:pt idx="2985">
                  <c:v>50.989443999999999</c:v>
                </c:pt>
                <c:pt idx="2987">
                  <c:v>51.008056000000003</c:v>
                </c:pt>
                <c:pt idx="2988">
                  <c:v>50.985556000000003</c:v>
                </c:pt>
                <c:pt idx="2989">
                  <c:v>50.998610999999997</c:v>
                </c:pt>
                <c:pt idx="2990">
                  <c:v>51.031666999999999</c:v>
                </c:pt>
                <c:pt idx="2991">
                  <c:v>51.074444</c:v>
                </c:pt>
                <c:pt idx="2992">
                  <c:v>51.120277999999999</c:v>
                </c:pt>
                <c:pt idx="2993">
                  <c:v>51.154722</c:v>
                </c:pt>
                <c:pt idx="2994">
                  <c:v>51.192222000000001</c:v>
                </c:pt>
                <c:pt idx="2995">
                  <c:v>51.204999999999998</c:v>
                </c:pt>
                <c:pt idx="2996">
                  <c:v>51.205278</c:v>
                </c:pt>
                <c:pt idx="2997">
                  <c:v>51.216943999999998</c:v>
                </c:pt>
                <c:pt idx="2998">
                  <c:v>51.224443999999998</c:v>
                </c:pt>
                <c:pt idx="2999">
                  <c:v>51.227499999999999</c:v>
                </c:pt>
                <c:pt idx="3000">
                  <c:v>51.217222</c:v>
                </c:pt>
                <c:pt idx="3001">
                  <c:v>51.210278000000002</c:v>
                </c:pt>
                <c:pt idx="3002">
                  <c:v>51.216110999999998</c:v>
                </c:pt>
                <c:pt idx="3003">
                  <c:v>51.197499999999998</c:v>
                </c:pt>
                <c:pt idx="3004">
                  <c:v>51.174722000000003</c:v>
                </c:pt>
                <c:pt idx="3005">
                  <c:v>51.173333</c:v>
                </c:pt>
                <c:pt idx="3006">
                  <c:v>51.192500000000003</c:v>
                </c:pt>
                <c:pt idx="3007">
                  <c:v>51.196944000000002</c:v>
                </c:pt>
                <c:pt idx="3008">
                  <c:v>51.206389000000001</c:v>
                </c:pt>
                <c:pt idx="3009">
                  <c:v>51.250278000000002</c:v>
                </c:pt>
                <c:pt idx="3010">
                  <c:v>51.310833000000002</c:v>
                </c:pt>
                <c:pt idx="3011">
                  <c:v>51.333888999999999</c:v>
                </c:pt>
                <c:pt idx="3012">
                  <c:v>51.377777999999999</c:v>
                </c:pt>
                <c:pt idx="3013">
                  <c:v>51.397221999999999</c:v>
                </c:pt>
                <c:pt idx="3014">
                  <c:v>51.436388999999998</c:v>
                </c:pt>
                <c:pt idx="3015">
                  <c:v>51.472777999999998</c:v>
                </c:pt>
                <c:pt idx="3016">
                  <c:v>51.489722</c:v>
                </c:pt>
                <c:pt idx="3017">
                  <c:v>51.524166999999998</c:v>
                </c:pt>
                <c:pt idx="3018">
                  <c:v>51.570278000000002</c:v>
                </c:pt>
                <c:pt idx="3019">
                  <c:v>51.608611000000003</c:v>
                </c:pt>
                <c:pt idx="3020">
                  <c:v>51.654722</c:v>
                </c:pt>
                <c:pt idx="3021">
                  <c:v>51.688611000000002</c:v>
                </c:pt>
                <c:pt idx="3022">
                  <c:v>51.732222</c:v>
                </c:pt>
                <c:pt idx="3023">
                  <c:v>51.752499999999998</c:v>
                </c:pt>
                <c:pt idx="3024">
                  <c:v>51.753056000000001</c:v>
                </c:pt>
                <c:pt idx="3025">
                  <c:v>51.738056</c:v>
                </c:pt>
                <c:pt idx="3026">
                  <c:v>51.699444</c:v>
                </c:pt>
                <c:pt idx="3027">
                  <c:v>51.669443999999999</c:v>
                </c:pt>
                <c:pt idx="3028">
                  <c:v>51.629443999999999</c:v>
                </c:pt>
                <c:pt idx="3029">
                  <c:v>51.592222</c:v>
                </c:pt>
                <c:pt idx="3030">
                  <c:v>51.572499999999998</c:v>
                </c:pt>
                <c:pt idx="3031">
                  <c:v>51.548056000000003</c:v>
                </c:pt>
                <c:pt idx="3032">
                  <c:v>51.538611000000003</c:v>
                </c:pt>
                <c:pt idx="3033">
                  <c:v>51.551943999999999</c:v>
                </c:pt>
                <c:pt idx="3034">
                  <c:v>51.518611</c:v>
                </c:pt>
                <c:pt idx="3035">
                  <c:v>51.491943999999997</c:v>
                </c:pt>
                <c:pt idx="3036">
                  <c:v>51.454444000000002</c:v>
                </c:pt>
                <c:pt idx="3037">
                  <c:v>51.407221999999997</c:v>
                </c:pt>
                <c:pt idx="3038">
                  <c:v>51.392778</c:v>
                </c:pt>
                <c:pt idx="3039">
                  <c:v>51.384999999999998</c:v>
                </c:pt>
                <c:pt idx="3040">
                  <c:v>51.380555999999999</c:v>
                </c:pt>
                <c:pt idx="3041">
                  <c:v>51.393056000000001</c:v>
                </c:pt>
                <c:pt idx="3042">
                  <c:v>51.418056</c:v>
                </c:pt>
                <c:pt idx="3043">
                  <c:v>51.450277999999997</c:v>
                </c:pt>
                <c:pt idx="3044">
                  <c:v>51.468611000000003</c:v>
                </c:pt>
                <c:pt idx="3045">
                  <c:v>51.498333000000002</c:v>
                </c:pt>
                <c:pt idx="3046">
                  <c:v>51.550832999999997</c:v>
                </c:pt>
                <c:pt idx="3047">
                  <c:v>51.59</c:v>
                </c:pt>
                <c:pt idx="3048">
                  <c:v>51.619444000000001</c:v>
                </c:pt>
                <c:pt idx="3049">
                  <c:v>51.613332999999997</c:v>
                </c:pt>
                <c:pt idx="3050">
                  <c:v>51.581944</c:v>
                </c:pt>
                <c:pt idx="3051">
                  <c:v>51.563333</c:v>
                </c:pt>
                <c:pt idx="3052">
                  <c:v>51.555</c:v>
                </c:pt>
                <c:pt idx="3053">
                  <c:v>51.556666999999997</c:v>
                </c:pt>
                <c:pt idx="3054">
                  <c:v>51.535277999999998</c:v>
                </c:pt>
                <c:pt idx="3055">
                  <c:v>51.556389000000003</c:v>
                </c:pt>
                <c:pt idx="3056">
                  <c:v>51.591110999999998</c:v>
                </c:pt>
                <c:pt idx="3057">
                  <c:v>51.626389000000003</c:v>
                </c:pt>
                <c:pt idx="3058">
                  <c:v>51.628056000000001</c:v>
                </c:pt>
                <c:pt idx="3059">
                  <c:v>51.633056000000003</c:v>
                </c:pt>
                <c:pt idx="3060">
                  <c:v>51.662222</c:v>
                </c:pt>
                <c:pt idx="3061">
                  <c:v>51.659722000000002</c:v>
                </c:pt>
                <c:pt idx="3062">
                  <c:v>51.675832999999997</c:v>
                </c:pt>
                <c:pt idx="3063">
                  <c:v>51.675277999999999</c:v>
                </c:pt>
                <c:pt idx="3064">
                  <c:v>51.690832999999998</c:v>
                </c:pt>
                <c:pt idx="3065">
                  <c:v>51.726388999999998</c:v>
                </c:pt>
                <c:pt idx="3066">
                  <c:v>51.732778000000003</c:v>
                </c:pt>
                <c:pt idx="3067">
                  <c:v>51.764443999999997</c:v>
                </c:pt>
                <c:pt idx="3068">
                  <c:v>51.76</c:v>
                </c:pt>
                <c:pt idx="3069">
                  <c:v>51.767499999999998</c:v>
                </c:pt>
                <c:pt idx="3070">
                  <c:v>51.736389000000003</c:v>
                </c:pt>
                <c:pt idx="3071">
                  <c:v>51.734444000000003</c:v>
                </c:pt>
                <c:pt idx="3072">
                  <c:v>51.727221999999998</c:v>
                </c:pt>
                <c:pt idx="3073">
                  <c:v>51.69</c:v>
                </c:pt>
                <c:pt idx="3074">
                  <c:v>51.648611000000002</c:v>
                </c:pt>
                <c:pt idx="3075">
                  <c:v>51.633333</c:v>
                </c:pt>
                <c:pt idx="3076">
                  <c:v>51.639721999999999</c:v>
                </c:pt>
                <c:pt idx="3077">
                  <c:v>51.605832999999997</c:v>
                </c:pt>
                <c:pt idx="3078">
                  <c:v>51.609721999999998</c:v>
                </c:pt>
                <c:pt idx="3079">
                  <c:v>51.626944000000002</c:v>
                </c:pt>
                <c:pt idx="3080">
                  <c:v>51.664166999999999</c:v>
                </c:pt>
                <c:pt idx="3081">
                  <c:v>51.685833000000002</c:v>
                </c:pt>
                <c:pt idx="3082">
                  <c:v>51.687221999999998</c:v>
                </c:pt>
                <c:pt idx="3083">
                  <c:v>51.689444000000002</c:v>
                </c:pt>
                <c:pt idx="3084">
                  <c:v>51.707222000000002</c:v>
                </c:pt>
                <c:pt idx="3085">
                  <c:v>51.708333000000003</c:v>
                </c:pt>
                <c:pt idx="3086">
                  <c:v>51.708610999999998</c:v>
                </c:pt>
                <c:pt idx="3087">
                  <c:v>51.715277999999998</c:v>
                </c:pt>
                <c:pt idx="3088">
                  <c:v>51.706667000000003</c:v>
                </c:pt>
                <c:pt idx="3089">
                  <c:v>51.700555999999999</c:v>
                </c:pt>
                <c:pt idx="3090">
                  <c:v>51.730832999999997</c:v>
                </c:pt>
                <c:pt idx="3091">
                  <c:v>51.749167</c:v>
                </c:pt>
                <c:pt idx="3092">
                  <c:v>51.771110999999998</c:v>
                </c:pt>
                <c:pt idx="3093">
                  <c:v>51.827778000000002</c:v>
                </c:pt>
                <c:pt idx="3094">
                  <c:v>51.863056</c:v>
                </c:pt>
                <c:pt idx="3095">
                  <c:v>51.868056000000003</c:v>
                </c:pt>
                <c:pt idx="3096">
                  <c:v>51.864443999999999</c:v>
                </c:pt>
                <c:pt idx="3097">
                  <c:v>51.909444000000001</c:v>
                </c:pt>
                <c:pt idx="3098">
                  <c:v>51.923889000000003</c:v>
                </c:pt>
                <c:pt idx="3099">
                  <c:v>51.947778</c:v>
                </c:pt>
                <c:pt idx="3100">
                  <c:v>51.970556000000002</c:v>
                </c:pt>
                <c:pt idx="3101">
                  <c:v>52.014167</c:v>
                </c:pt>
                <c:pt idx="3102">
                  <c:v>52.017778</c:v>
                </c:pt>
                <c:pt idx="3103">
                  <c:v>52.000833</c:v>
                </c:pt>
                <c:pt idx="3104">
                  <c:v>52.025832999999999</c:v>
                </c:pt>
                <c:pt idx="3105">
                  <c:v>52.015555999999997</c:v>
                </c:pt>
                <c:pt idx="3106">
                  <c:v>52.052222</c:v>
                </c:pt>
                <c:pt idx="3107">
                  <c:v>52.087221999999997</c:v>
                </c:pt>
                <c:pt idx="3108">
                  <c:v>52.101944000000003</c:v>
                </c:pt>
                <c:pt idx="3109">
                  <c:v>52.132778000000002</c:v>
                </c:pt>
                <c:pt idx="3110">
                  <c:v>52.138055999999999</c:v>
                </c:pt>
                <c:pt idx="3111">
                  <c:v>52.145000000000003</c:v>
                </c:pt>
                <c:pt idx="3112">
                  <c:v>52.171666999999999</c:v>
                </c:pt>
                <c:pt idx="3113">
                  <c:v>52.208610999999998</c:v>
                </c:pt>
                <c:pt idx="3114">
                  <c:v>52.221389000000002</c:v>
                </c:pt>
                <c:pt idx="3115">
                  <c:v>52.249443999999997</c:v>
                </c:pt>
                <c:pt idx="3116">
                  <c:v>52.288611000000003</c:v>
                </c:pt>
                <c:pt idx="3117">
                  <c:v>52.329166999999998</c:v>
                </c:pt>
                <c:pt idx="3118">
                  <c:v>52.378889000000001</c:v>
                </c:pt>
                <c:pt idx="3119">
                  <c:v>52.442222000000001</c:v>
                </c:pt>
                <c:pt idx="3120">
                  <c:v>52.498333000000002</c:v>
                </c:pt>
                <c:pt idx="3121">
                  <c:v>52.521388999999999</c:v>
                </c:pt>
                <c:pt idx="3122">
                  <c:v>52.547499999999999</c:v>
                </c:pt>
                <c:pt idx="3123">
                  <c:v>52.541944000000001</c:v>
                </c:pt>
                <c:pt idx="3124">
                  <c:v>52.567500000000003</c:v>
                </c:pt>
                <c:pt idx="3125">
                  <c:v>52.609721999999998</c:v>
                </c:pt>
                <c:pt idx="3126">
                  <c:v>52.661943999999998</c:v>
                </c:pt>
                <c:pt idx="3127">
                  <c:v>52.704721999999997</c:v>
                </c:pt>
                <c:pt idx="3128">
                  <c:v>52.732222</c:v>
                </c:pt>
                <c:pt idx="3129">
                  <c:v>52.719721999999997</c:v>
                </c:pt>
                <c:pt idx="3130">
                  <c:v>52.759166999999998</c:v>
                </c:pt>
                <c:pt idx="3131">
                  <c:v>52.798611000000001</c:v>
                </c:pt>
                <c:pt idx="3132">
                  <c:v>52.846666999999997</c:v>
                </c:pt>
                <c:pt idx="3133">
                  <c:v>52.892221999999997</c:v>
                </c:pt>
                <c:pt idx="3134">
                  <c:v>52.905278000000003</c:v>
                </c:pt>
                <c:pt idx="3135">
                  <c:v>52.892778</c:v>
                </c:pt>
                <c:pt idx="3136">
                  <c:v>52.879443999999999</c:v>
                </c:pt>
                <c:pt idx="3137">
                  <c:v>52.850833000000002</c:v>
                </c:pt>
                <c:pt idx="3138">
                  <c:v>52.803888999999998</c:v>
                </c:pt>
                <c:pt idx="3139">
                  <c:v>52.777222000000002</c:v>
                </c:pt>
                <c:pt idx="3140">
                  <c:v>52.812778000000002</c:v>
                </c:pt>
                <c:pt idx="3141">
                  <c:v>52.801389</c:v>
                </c:pt>
                <c:pt idx="3142">
                  <c:v>52.783332999999999</c:v>
                </c:pt>
                <c:pt idx="3144">
                  <c:v>52.829444000000002</c:v>
                </c:pt>
                <c:pt idx="3145">
                  <c:v>52.867778000000001</c:v>
                </c:pt>
                <c:pt idx="3146">
                  <c:v>52.903333000000003</c:v>
                </c:pt>
                <c:pt idx="3147">
                  <c:v>52.934722000000001</c:v>
                </c:pt>
                <c:pt idx="3148">
                  <c:v>52.951110999999997</c:v>
                </c:pt>
                <c:pt idx="3149">
                  <c:v>52.984721999999998</c:v>
                </c:pt>
                <c:pt idx="3150">
                  <c:v>53.018611</c:v>
                </c:pt>
                <c:pt idx="3151">
                  <c:v>53.067777999999997</c:v>
                </c:pt>
                <c:pt idx="3152">
                  <c:v>53.106389</c:v>
                </c:pt>
                <c:pt idx="3153">
                  <c:v>53.134444000000002</c:v>
                </c:pt>
                <c:pt idx="3154">
                  <c:v>53.169722</c:v>
                </c:pt>
                <c:pt idx="3155">
                  <c:v>53.214167000000003</c:v>
                </c:pt>
                <c:pt idx="3156">
                  <c:v>53.229444000000001</c:v>
                </c:pt>
                <c:pt idx="3157">
                  <c:v>53.237777999999999</c:v>
                </c:pt>
                <c:pt idx="3158">
                  <c:v>53.263610999999997</c:v>
                </c:pt>
                <c:pt idx="3159">
                  <c:v>53.280278000000003</c:v>
                </c:pt>
                <c:pt idx="3160">
                  <c:v>53.310555999999998</c:v>
                </c:pt>
                <c:pt idx="3161">
                  <c:v>53.329166999999998</c:v>
                </c:pt>
                <c:pt idx="3162">
                  <c:v>53.313889000000003</c:v>
                </c:pt>
                <c:pt idx="3163">
                  <c:v>53.287222</c:v>
                </c:pt>
                <c:pt idx="3164">
                  <c:v>53.281111000000003</c:v>
                </c:pt>
                <c:pt idx="3165">
                  <c:v>53.304167</c:v>
                </c:pt>
                <c:pt idx="3166">
                  <c:v>53.324722000000001</c:v>
                </c:pt>
                <c:pt idx="3167">
                  <c:v>53.345556000000002</c:v>
                </c:pt>
                <c:pt idx="3168">
                  <c:v>53.333888999999999</c:v>
                </c:pt>
                <c:pt idx="3169">
                  <c:v>53.303055999999998</c:v>
                </c:pt>
                <c:pt idx="3170">
                  <c:v>53.272778000000002</c:v>
                </c:pt>
                <c:pt idx="3171">
                  <c:v>53.239722</c:v>
                </c:pt>
                <c:pt idx="3172">
                  <c:v>53.261111</c:v>
                </c:pt>
                <c:pt idx="3173">
                  <c:v>53.301943999999999</c:v>
                </c:pt>
                <c:pt idx="3174">
                  <c:v>53.338056000000002</c:v>
                </c:pt>
                <c:pt idx="3175">
                  <c:v>53.378332999999998</c:v>
                </c:pt>
                <c:pt idx="3176">
                  <c:v>53.410277999999998</c:v>
                </c:pt>
                <c:pt idx="3177">
                  <c:v>53.430556000000003</c:v>
                </c:pt>
                <c:pt idx="3178">
                  <c:v>53.398055999999997</c:v>
                </c:pt>
                <c:pt idx="3179">
                  <c:v>53.351666999999999</c:v>
                </c:pt>
                <c:pt idx="3180">
                  <c:v>53.309167000000002</c:v>
                </c:pt>
                <c:pt idx="3181">
                  <c:v>53.283332999999999</c:v>
                </c:pt>
                <c:pt idx="3182">
                  <c:v>53.297221999999998</c:v>
                </c:pt>
                <c:pt idx="3183">
                  <c:v>53.336944000000003</c:v>
                </c:pt>
                <c:pt idx="3184">
                  <c:v>53.327221999999999</c:v>
                </c:pt>
                <c:pt idx="3185">
                  <c:v>53.345278</c:v>
                </c:pt>
                <c:pt idx="3186">
                  <c:v>53.372777999999997</c:v>
                </c:pt>
                <c:pt idx="3187">
                  <c:v>53.413055999999997</c:v>
                </c:pt>
                <c:pt idx="3188">
                  <c:v>53.462778</c:v>
                </c:pt>
                <c:pt idx="3189">
                  <c:v>53.5075</c:v>
                </c:pt>
                <c:pt idx="3190">
                  <c:v>53.549166999999997</c:v>
                </c:pt>
                <c:pt idx="3191">
                  <c:v>53.598889</c:v>
                </c:pt>
                <c:pt idx="3192">
                  <c:v>53.643332999999998</c:v>
                </c:pt>
                <c:pt idx="3193">
                  <c:v>53.683610999999999</c:v>
                </c:pt>
                <c:pt idx="3194">
                  <c:v>53.71</c:v>
                </c:pt>
                <c:pt idx="3195">
                  <c:v>53.735556000000003</c:v>
                </c:pt>
                <c:pt idx="3196">
                  <c:v>53.734999999999999</c:v>
                </c:pt>
                <c:pt idx="3197">
                  <c:v>53.729166999999997</c:v>
                </c:pt>
                <c:pt idx="3198">
                  <c:v>53.758056000000003</c:v>
                </c:pt>
                <c:pt idx="3199">
                  <c:v>53.818055999999999</c:v>
                </c:pt>
                <c:pt idx="3200">
                  <c:v>53.882221999999999</c:v>
                </c:pt>
                <c:pt idx="3201">
                  <c:v>53.928888999999998</c:v>
                </c:pt>
                <c:pt idx="3202">
                  <c:v>53.940277999999999</c:v>
                </c:pt>
                <c:pt idx="3203">
                  <c:v>53.946389000000003</c:v>
                </c:pt>
                <c:pt idx="3204">
                  <c:v>53.976111000000003</c:v>
                </c:pt>
                <c:pt idx="3205">
                  <c:v>53.992778000000001</c:v>
                </c:pt>
                <c:pt idx="3206">
                  <c:v>54.039166999999999</c:v>
                </c:pt>
                <c:pt idx="3207">
                  <c:v>54.076110999999997</c:v>
                </c:pt>
                <c:pt idx="3208">
                  <c:v>54.114167000000002</c:v>
                </c:pt>
                <c:pt idx="3209">
                  <c:v>54.157499999999999</c:v>
                </c:pt>
                <c:pt idx="3210">
                  <c:v>54.194167</c:v>
                </c:pt>
                <c:pt idx="3211">
                  <c:v>54.183056000000001</c:v>
                </c:pt>
                <c:pt idx="3212">
                  <c:v>54.150278</c:v>
                </c:pt>
                <c:pt idx="3213">
                  <c:v>54.180556000000003</c:v>
                </c:pt>
                <c:pt idx="3214">
                  <c:v>54.16</c:v>
                </c:pt>
                <c:pt idx="3215">
                  <c:v>54.114443999999999</c:v>
                </c:pt>
                <c:pt idx="3216">
                  <c:v>54.082500000000003</c:v>
                </c:pt>
                <c:pt idx="3217">
                  <c:v>54.076667</c:v>
                </c:pt>
                <c:pt idx="3218">
                  <c:v>54.106667000000002</c:v>
                </c:pt>
                <c:pt idx="3219">
                  <c:v>54.159166999999997</c:v>
                </c:pt>
                <c:pt idx="3220">
                  <c:v>54.193610999999997</c:v>
                </c:pt>
                <c:pt idx="3221">
                  <c:v>54.245832999999998</c:v>
                </c:pt>
                <c:pt idx="3222">
                  <c:v>54.230277999999998</c:v>
                </c:pt>
                <c:pt idx="3223">
                  <c:v>54.193055999999999</c:v>
                </c:pt>
                <c:pt idx="3224">
                  <c:v>54.208333000000003</c:v>
                </c:pt>
                <c:pt idx="3225">
                  <c:v>54.248055999999998</c:v>
                </c:pt>
                <c:pt idx="3226">
                  <c:v>54.295555999999998</c:v>
                </c:pt>
                <c:pt idx="3227">
                  <c:v>54.346389000000002</c:v>
                </c:pt>
                <c:pt idx="3228">
                  <c:v>54.387222000000001</c:v>
                </c:pt>
                <c:pt idx="3229">
                  <c:v>54.426667000000002</c:v>
                </c:pt>
                <c:pt idx="3230">
                  <c:v>54.464722000000002</c:v>
                </c:pt>
                <c:pt idx="3231">
                  <c:v>54.503332999999998</c:v>
                </c:pt>
                <c:pt idx="3232">
                  <c:v>54.546111000000003</c:v>
                </c:pt>
                <c:pt idx="3233">
                  <c:v>54.598889</c:v>
                </c:pt>
                <c:pt idx="3234">
                  <c:v>54.655000000000001</c:v>
                </c:pt>
                <c:pt idx="3235">
                  <c:v>54.702221999999999</c:v>
                </c:pt>
                <c:pt idx="3236">
                  <c:v>54.739167000000002</c:v>
                </c:pt>
                <c:pt idx="3237">
                  <c:v>54.791111000000001</c:v>
                </c:pt>
                <c:pt idx="3238">
                  <c:v>54.833333000000003</c:v>
                </c:pt>
                <c:pt idx="3239">
                  <c:v>54.879443999999999</c:v>
                </c:pt>
                <c:pt idx="3240">
                  <c:v>54.882221999999999</c:v>
                </c:pt>
                <c:pt idx="3241">
                  <c:v>54.888333000000003</c:v>
                </c:pt>
                <c:pt idx="3242">
                  <c:v>54.913055999999997</c:v>
                </c:pt>
                <c:pt idx="3243">
                  <c:v>54.946389000000003</c:v>
                </c:pt>
                <c:pt idx="3244">
                  <c:v>54.931944000000001</c:v>
                </c:pt>
                <c:pt idx="3245">
                  <c:v>54.933332999999998</c:v>
                </c:pt>
                <c:pt idx="3246">
                  <c:v>54.949167000000003</c:v>
                </c:pt>
                <c:pt idx="3247">
                  <c:v>54.960833000000001</c:v>
                </c:pt>
                <c:pt idx="3248">
                  <c:v>54.98</c:v>
                </c:pt>
                <c:pt idx="3249">
                  <c:v>54.963332999999999</c:v>
                </c:pt>
                <c:pt idx="3250">
                  <c:v>54.964722000000002</c:v>
                </c:pt>
                <c:pt idx="3251">
                  <c:v>54.976111000000003</c:v>
                </c:pt>
                <c:pt idx="3252">
                  <c:v>54.985833</c:v>
                </c:pt>
                <c:pt idx="3253">
                  <c:v>54.988610999999999</c:v>
                </c:pt>
                <c:pt idx="3254">
                  <c:v>54.981667000000002</c:v>
                </c:pt>
                <c:pt idx="3255">
                  <c:v>54.955832999999998</c:v>
                </c:pt>
                <c:pt idx="3256">
                  <c:v>54.900556000000002</c:v>
                </c:pt>
                <c:pt idx="3257">
                  <c:v>54.878056000000001</c:v>
                </c:pt>
                <c:pt idx="3258">
                  <c:v>54.871943999999999</c:v>
                </c:pt>
                <c:pt idx="3259">
                  <c:v>54.863056</c:v>
                </c:pt>
                <c:pt idx="3260">
                  <c:v>54.873610999999997</c:v>
                </c:pt>
                <c:pt idx="3261">
                  <c:v>54.86</c:v>
                </c:pt>
                <c:pt idx="3262">
                  <c:v>54.824444</c:v>
                </c:pt>
                <c:pt idx="3263">
                  <c:v>54.797221999999998</c:v>
                </c:pt>
                <c:pt idx="3264">
                  <c:v>54.766944000000002</c:v>
                </c:pt>
                <c:pt idx="3265">
                  <c:v>54.772778000000002</c:v>
                </c:pt>
                <c:pt idx="3266">
                  <c:v>54.830832999999998</c:v>
                </c:pt>
                <c:pt idx="3267">
                  <c:v>54.789721999999998</c:v>
                </c:pt>
                <c:pt idx="3268">
                  <c:v>54.779167000000001</c:v>
                </c:pt>
                <c:pt idx="3269">
                  <c:v>54.801943999999999</c:v>
                </c:pt>
                <c:pt idx="3270">
                  <c:v>54.840277999999998</c:v>
                </c:pt>
                <c:pt idx="3271">
                  <c:v>54.850278000000003</c:v>
                </c:pt>
                <c:pt idx="3272">
                  <c:v>54.848332999999997</c:v>
                </c:pt>
                <c:pt idx="3273">
                  <c:v>54.876389000000003</c:v>
                </c:pt>
                <c:pt idx="3274">
                  <c:v>54.899166999999998</c:v>
                </c:pt>
                <c:pt idx="3275">
                  <c:v>54.858055999999998</c:v>
                </c:pt>
                <c:pt idx="3276">
                  <c:v>54.817500000000003</c:v>
                </c:pt>
                <c:pt idx="3277">
                  <c:v>54.783889000000002</c:v>
                </c:pt>
                <c:pt idx="3278">
                  <c:v>54.731110999999999</c:v>
                </c:pt>
                <c:pt idx="3279">
                  <c:v>54.683332999999998</c:v>
                </c:pt>
                <c:pt idx="3281">
                  <c:v>54.694443999999997</c:v>
                </c:pt>
                <c:pt idx="3282">
                  <c:v>54.719444000000003</c:v>
                </c:pt>
                <c:pt idx="3283">
                  <c:v>54.760556000000001</c:v>
                </c:pt>
                <c:pt idx="3284">
                  <c:v>54.788333000000002</c:v>
                </c:pt>
                <c:pt idx="3285">
                  <c:v>54.818333000000003</c:v>
                </c:pt>
                <c:pt idx="3286">
                  <c:v>54.841667000000001</c:v>
                </c:pt>
                <c:pt idx="3287">
                  <c:v>54.852221999999998</c:v>
                </c:pt>
                <c:pt idx="3288">
                  <c:v>54.828888999999997</c:v>
                </c:pt>
                <c:pt idx="3289">
                  <c:v>54.79</c:v>
                </c:pt>
                <c:pt idx="3290">
                  <c:v>54.741943999999997</c:v>
                </c:pt>
                <c:pt idx="3291">
                  <c:v>54.695</c:v>
                </c:pt>
                <c:pt idx="3292">
                  <c:v>54.647778000000002</c:v>
                </c:pt>
                <c:pt idx="3293">
                  <c:v>54.634999999999998</c:v>
                </c:pt>
                <c:pt idx="3294">
                  <c:v>54.668332999999997</c:v>
                </c:pt>
                <c:pt idx="3295">
                  <c:v>54.716388999999999</c:v>
                </c:pt>
                <c:pt idx="3296">
                  <c:v>54.755277999999997</c:v>
                </c:pt>
                <c:pt idx="3297">
                  <c:v>54.792499999999997</c:v>
                </c:pt>
                <c:pt idx="3298">
                  <c:v>54.826667</c:v>
                </c:pt>
                <c:pt idx="3299">
                  <c:v>54.872500000000002</c:v>
                </c:pt>
                <c:pt idx="3300">
                  <c:v>54.917499999999997</c:v>
                </c:pt>
                <c:pt idx="3301">
                  <c:v>54.976666999999999</c:v>
                </c:pt>
                <c:pt idx="3302">
                  <c:v>55.009721999999996</c:v>
                </c:pt>
                <c:pt idx="3303">
                  <c:v>54.977499999999999</c:v>
                </c:pt>
                <c:pt idx="3304">
                  <c:v>54.923611000000001</c:v>
                </c:pt>
                <c:pt idx="3305">
                  <c:v>54.903888999999999</c:v>
                </c:pt>
                <c:pt idx="3306">
                  <c:v>54.947221999999996</c:v>
                </c:pt>
                <c:pt idx="3307">
                  <c:v>54.994722000000003</c:v>
                </c:pt>
                <c:pt idx="3308">
                  <c:v>55.047221999999998</c:v>
                </c:pt>
                <c:pt idx="3309">
                  <c:v>55.097499999999997</c:v>
                </c:pt>
                <c:pt idx="3310">
                  <c:v>55.147500000000001</c:v>
                </c:pt>
                <c:pt idx="3311">
                  <c:v>55.183332999999998</c:v>
                </c:pt>
                <c:pt idx="3312">
                  <c:v>55.219444000000003</c:v>
                </c:pt>
                <c:pt idx="3313">
                  <c:v>55.275556000000002</c:v>
                </c:pt>
                <c:pt idx="3314">
                  <c:v>55.328888999999997</c:v>
                </c:pt>
                <c:pt idx="3315">
                  <c:v>55.369444000000001</c:v>
                </c:pt>
                <c:pt idx="3316">
                  <c:v>55.418610999999999</c:v>
                </c:pt>
                <c:pt idx="3317">
                  <c:v>55.438333</c:v>
                </c:pt>
                <c:pt idx="3318">
                  <c:v>55.486944000000001</c:v>
                </c:pt>
                <c:pt idx="3319">
                  <c:v>55.534999999999997</c:v>
                </c:pt>
                <c:pt idx="3320">
                  <c:v>55.565277999999999</c:v>
                </c:pt>
                <c:pt idx="3321">
                  <c:v>55.609444000000003</c:v>
                </c:pt>
                <c:pt idx="3322">
                  <c:v>55.629443999999999</c:v>
                </c:pt>
                <c:pt idx="3323">
                  <c:v>55.663055999999997</c:v>
                </c:pt>
                <c:pt idx="3324">
                  <c:v>55.692222000000001</c:v>
                </c:pt>
                <c:pt idx="3325">
                  <c:v>55.731389</c:v>
                </c:pt>
                <c:pt idx="3326">
                  <c:v>55.78</c:v>
                </c:pt>
                <c:pt idx="3327">
                  <c:v>55.832222000000002</c:v>
                </c:pt>
                <c:pt idx="3328">
                  <c:v>55.888888999999999</c:v>
                </c:pt>
                <c:pt idx="3329">
                  <c:v>55.933056000000001</c:v>
                </c:pt>
                <c:pt idx="3330">
                  <c:v>55.954999999999998</c:v>
                </c:pt>
                <c:pt idx="3331">
                  <c:v>55.940832999999998</c:v>
                </c:pt>
                <c:pt idx="3332">
                  <c:v>55.928610999999997</c:v>
                </c:pt>
                <c:pt idx="3333">
                  <c:v>55.921944000000003</c:v>
                </c:pt>
                <c:pt idx="3334">
                  <c:v>55.934443999999999</c:v>
                </c:pt>
                <c:pt idx="3335">
                  <c:v>55.953611000000002</c:v>
                </c:pt>
                <c:pt idx="3336">
                  <c:v>55.989443999999999</c:v>
                </c:pt>
                <c:pt idx="3337">
                  <c:v>56.019722000000002</c:v>
                </c:pt>
                <c:pt idx="3338">
                  <c:v>56.061943999999997</c:v>
                </c:pt>
                <c:pt idx="3339">
                  <c:v>56.016666999999998</c:v>
                </c:pt>
                <c:pt idx="3340">
                  <c:v>55.98</c:v>
                </c:pt>
                <c:pt idx="3341">
                  <c:v>55.992221999999998</c:v>
                </c:pt>
                <c:pt idx="3342">
                  <c:v>56.041944000000001</c:v>
                </c:pt>
                <c:pt idx="3343">
                  <c:v>56.093611000000003</c:v>
                </c:pt>
                <c:pt idx="3344">
                  <c:v>56.109166999999999</c:v>
                </c:pt>
                <c:pt idx="3345">
                  <c:v>56.115833000000002</c:v>
                </c:pt>
                <c:pt idx="3346">
                  <c:v>56.130555999999999</c:v>
                </c:pt>
                <c:pt idx="3347">
                  <c:v>56.081111</c:v>
                </c:pt>
                <c:pt idx="3348">
                  <c:v>56.023888999999997</c:v>
                </c:pt>
                <c:pt idx="3349">
                  <c:v>55.986389000000003</c:v>
                </c:pt>
                <c:pt idx="3350">
                  <c:v>55.947778</c:v>
                </c:pt>
                <c:pt idx="3351">
                  <c:v>55.895833000000003</c:v>
                </c:pt>
                <c:pt idx="3352">
                  <c:v>55.853611000000001</c:v>
                </c:pt>
                <c:pt idx="3353">
                  <c:v>55.888055999999999</c:v>
                </c:pt>
                <c:pt idx="3354">
                  <c:v>55.942777999999997</c:v>
                </c:pt>
                <c:pt idx="3355">
                  <c:v>55.949444</c:v>
                </c:pt>
                <c:pt idx="3356">
                  <c:v>55.899166999999998</c:v>
                </c:pt>
                <c:pt idx="3357">
                  <c:v>55.924444000000001</c:v>
                </c:pt>
                <c:pt idx="3358">
                  <c:v>55.963611</c:v>
                </c:pt>
                <c:pt idx="3359">
                  <c:v>55.913888999999998</c:v>
                </c:pt>
                <c:pt idx="3360">
                  <c:v>55.866388999999998</c:v>
                </c:pt>
                <c:pt idx="3361">
                  <c:v>55.826110999999997</c:v>
                </c:pt>
                <c:pt idx="3362">
                  <c:v>55.848889</c:v>
                </c:pt>
                <c:pt idx="3363">
                  <c:v>55.886111</c:v>
                </c:pt>
                <c:pt idx="3364">
                  <c:v>55.944167</c:v>
                </c:pt>
                <c:pt idx="3365">
                  <c:v>55.9925</c:v>
                </c:pt>
                <c:pt idx="3366">
                  <c:v>56.043056</c:v>
                </c:pt>
                <c:pt idx="3367">
                  <c:v>56.078888999999997</c:v>
                </c:pt>
                <c:pt idx="3368">
                  <c:v>56.122222000000001</c:v>
                </c:pt>
                <c:pt idx="3369">
                  <c:v>56.144722000000002</c:v>
                </c:pt>
                <c:pt idx="3370">
                  <c:v>56.185555999999998</c:v>
                </c:pt>
                <c:pt idx="3371">
                  <c:v>56.219444000000003</c:v>
                </c:pt>
                <c:pt idx="3372">
                  <c:v>56.248055999999998</c:v>
                </c:pt>
                <c:pt idx="3373">
                  <c:v>56.246110999999999</c:v>
                </c:pt>
                <c:pt idx="3374">
                  <c:v>56.231110999999999</c:v>
                </c:pt>
                <c:pt idx="3375">
                  <c:v>56.179167</c:v>
                </c:pt>
                <c:pt idx="3376">
                  <c:v>56.149721999999997</c:v>
                </c:pt>
                <c:pt idx="3377">
                  <c:v>56.119444000000001</c:v>
                </c:pt>
                <c:pt idx="3378">
                  <c:v>56.08</c:v>
                </c:pt>
                <c:pt idx="3379">
                  <c:v>56.038333000000002</c:v>
                </c:pt>
                <c:pt idx="3380">
                  <c:v>56</c:v>
                </c:pt>
                <c:pt idx="3381">
                  <c:v>56.011389000000001</c:v>
                </c:pt>
                <c:pt idx="3382">
                  <c:v>55.954999999999998</c:v>
                </c:pt>
                <c:pt idx="3383">
                  <c:v>55.907221999999997</c:v>
                </c:pt>
                <c:pt idx="3384">
                  <c:v>55.862777999999999</c:v>
                </c:pt>
                <c:pt idx="3385">
                  <c:v>55.825277999999997</c:v>
                </c:pt>
                <c:pt idx="3386">
                  <c:v>55.779167000000001</c:v>
                </c:pt>
                <c:pt idx="3387">
                  <c:v>55.748055999999998</c:v>
                </c:pt>
                <c:pt idx="3388">
                  <c:v>55.711388999999997</c:v>
                </c:pt>
                <c:pt idx="3389">
                  <c:v>55.660832999999997</c:v>
                </c:pt>
                <c:pt idx="3390">
                  <c:v>55.610556000000003</c:v>
                </c:pt>
                <c:pt idx="3391">
                  <c:v>55.572499999999998</c:v>
                </c:pt>
                <c:pt idx="3392">
                  <c:v>55.524999999999999</c:v>
                </c:pt>
                <c:pt idx="3393">
                  <c:v>55.476944000000003</c:v>
                </c:pt>
                <c:pt idx="3394">
                  <c:v>55.428055999999998</c:v>
                </c:pt>
                <c:pt idx="3395">
                  <c:v>55.401111</c:v>
                </c:pt>
                <c:pt idx="3396">
                  <c:v>55.352778000000001</c:v>
                </c:pt>
                <c:pt idx="3397">
                  <c:v>55.314166999999998</c:v>
                </c:pt>
                <c:pt idx="3398">
                  <c:v>55.300832999999997</c:v>
                </c:pt>
                <c:pt idx="3399">
                  <c:v>55.284166999999997</c:v>
                </c:pt>
                <c:pt idx="3400">
                  <c:v>55.314722000000003</c:v>
                </c:pt>
                <c:pt idx="3401">
                  <c:v>55.368611000000001</c:v>
                </c:pt>
                <c:pt idx="3402">
                  <c:v>55.413888999999998</c:v>
                </c:pt>
                <c:pt idx="3403">
                  <c:v>55.453888999999997</c:v>
                </c:pt>
                <c:pt idx="3404">
                  <c:v>55.515555999999997</c:v>
                </c:pt>
                <c:pt idx="3405">
                  <c:v>55.568333000000003</c:v>
                </c:pt>
                <c:pt idx="3406">
                  <c:v>55.617221999999998</c:v>
                </c:pt>
                <c:pt idx="3407">
                  <c:v>55.673611000000001</c:v>
                </c:pt>
                <c:pt idx="3408">
                  <c:v>55.707777999999998</c:v>
                </c:pt>
                <c:pt idx="3409">
                  <c:v>55.754443999999999</c:v>
                </c:pt>
                <c:pt idx="3410">
                  <c:v>55.786943999999998</c:v>
                </c:pt>
                <c:pt idx="3411">
                  <c:v>55.828333000000001</c:v>
                </c:pt>
                <c:pt idx="3412">
                  <c:v>55.817777999999997</c:v>
                </c:pt>
                <c:pt idx="3413">
                  <c:v>55.779443999999998</c:v>
                </c:pt>
                <c:pt idx="3414">
                  <c:v>55.767778</c:v>
                </c:pt>
                <c:pt idx="3415">
                  <c:v>55.799166999999997</c:v>
                </c:pt>
                <c:pt idx="3416">
                  <c:v>55.850833000000002</c:v>
                </c:pt>
                <c:pt idx="3417">
                  <c:v>55.898611000000002</c:v>
                </c:pt>
                <c:pt idx="3418">
                  <c:v>55.929167</c:v>
                </c:pt>
                <c:pt idx="3419">
                  <c:v>55.897778000000002</c:v>
                </c:pt>
                <c:pt idx="3420">
                  <c:v>55.912778000000003</c:v>
                </c:pt>
                <c:pt idx="3421">
                  <c:v>55.956111</c:v>
                </c:pt>
                <c:pt idx="3422">
                  <c:v>56.001666999999998</c:v>
                </c:pt>
                <c:pt idx="3423">
                  <c:v>56.029443999999998</c:v>
                </c:pt>
                <c:pt idx="3424">
                  <c:v>56.017499999999998</c:v>
                </c:pt>
                <c:pt idx="3425">
                  <c:v>55.978889000000002</c:v>
                </c:pt>
                <c:pt idx="3426">
                  <c:v>55.934722000000001</c:v>
                </c:pt>
                <c:pt idx="3427">
                  <c:v>55.984444000000003</c:v>
                </c:pt>
                <c:pt idx="3428">
                  <c:v>56.024721999999997</c:v>
                </c:pt>
                <c:pt idx="3429">
                  <c:v>56.071111000000002</c:v>
                </c:pt>
                <c:pt idx="3430">
                  <c:v>56.077778000000002</c:v>
                </c:pt>
                <c:pt idx="3431">
                  <c:v>56.115833000000002</c:v>
                </c:pt>
                <c:pt idx="3432">
                  <c:v>56.162222</c:v>
                </c:pt>
                <c:pt idx="3433">
                  <c:v>56.167777999999998</c:v>
                </c:pt>
                <c:pt idx="3434">
                  <c:v>56.126389000000003</c:v>
                </c:pt>
                <c:pt idx="3435">
                  <c:v>56.155833000000001</c:v>
                </c:pt>
                <c:pt idx="3436">
                  <c:v>56.203333000000001</c:v>
                </c:pt>
                <c:pt idx="3437">
                  <c:v>56.236389000000003</c:v>
                </c:pt>
                <c:pt idx="3438">
                  <c:v>56.299166999999997</c:v>
                </c:pt>
                <c:pt idx="3439">
                  <c:v>56.343611000000003</c:v>
                </c:pt>
                <c:pt idx="3440">
                  <c:v>56.389721999999999</c:v>
                </c:pt>
                <c:pt idx="3441">
                  <c:v>56.436110999999997</c:v>
                </c:pt>
                <c:pt idx="3442">
                  <c:v>56.448889000000001</c:v>
                </c:pt>
                <c:pt idx="3443">
                  <c:v>56.450277999999997</c:v>
                </c:pt>
                <c:pt idx="3444">
                  <c:v>56.452778000000002</c:v>
                </c:pt>
                <c:pt idx="3445">
                  <c:v>56.457777999999998</c:v>
                </c:pt>
                <c:pt idx="3446">
                  <c:v>56.484444000000003</c:v>
                </c:pt>
                <c:pt idx="3447">
                  <c:v>56.475000000000001</c:v>
                </c:pt>
                <c:pt idx="3448">
                  <c:v>56.514443999999997</c:v>
                </c:pt>
                <c:pt idx="3449">
                  <c:v>56.511111</c:v>
                </c:pt>
                <c:pt idx="3450">
                  <c:v>56.539166999999999</c:v>
                </c:pt>
                <c:pt idx="3451">
                  <c:v>56.545555999999998</c:v>
                </c:pt>
                <c:pt idx="3452">
                  <c:v>56.520833000000003</c:v>
                </c:pt>
                <c:pt idx="3453">
                  <c:v>56.559722000000001</c:v>
                </c:pt>
                <c:pt idx="3454">
                  <c:v>56.597222000000002</c:v>
                </c:pt>
                <c:pt idx="3455">
                  <c:v>56.631943999999997</c:v>
                </c:pt>
                <c:pt idx="3456">
                  <c:v>56.663888999999998</c:v>
                </c:pt>
                <c:pt idx="3457">
                  <c:v>56.680833</c:v>
                </c:pt>
                <c:pt idx="3458">
                  <c:v>56.685000000000002</c:v>
                </c:pt>
                <c:pt idx="3459">
                  <c:v>56.689722000000003</c:v>
                </c:pt>
                <c:pt idx="3460">
                  <c:v>56.693888999999999</c:v>
                </c:pt>
                <c:pt idx="3461">
                  <c:v>56.726111000000003</c:v>
                </c:pt>
                <c:pt idx="3462">
                  <c:v>56.768889000000001</c:v>
                </c:pt>
                <c:pt idx="3463">
                  <c:v>56.813056000000003</c:v>
                </c:pt>
                <c:pt idx="3464">
                  <c:v>56.783332999999999</c:v>
                </c:pt>
                <c:pt idx="3465">
                  <c:v>56.755000000000003</c:v>
                </c:pt>
                <c:pt idx="3466">
                  <c:v>56.709167000000001</c:v>
                </c:pt>
                <c:pt idx="3467">
                  <c:v>56.688611000000002</c:v>
                </c:pt>
                <c:pt idx="3468">
                  <c:v>56.652500000000003</c:v>
                </c:pt>
                <c:pt idx="3469">
                  <c:v>56.625556000000003</c:v>
                </c:pt>
                <c:pt idx="3470">
                  <c:v>56.590555999999999</c:v>
                </c:pt>
                <c:pt idx="3471">
                  <c:v>56.549722000000003</c:v>
                </c:pt>
                <c:pt idx="3472">
                  <c:v>56.516111000000002</c:v>
                </c:pt>
                <c:pt idx="3473">
                  <c:v>56.49</c:v>
                </c:pt>
                <c:pt idx="3474">
                  <c:v>56.515000000000001</c:v>
                </c:pt>
                <c:pt idx="3475">
                  <c:v>56.529722</c:v>
                </c:pt>
                <c:pt idx="3476">
                  <c:v>56.546388999999998</c:v>
                </c:pt>
                <c:pt idx="3477">
                  <c:v>56.580832999999998</c:v>
                </c:pt>
                <c:pt idx="3478">
                  <c:v>56.624167</c:v>
                </c:pt>
                <c:pt idx="3479">
                  <c:v>56.651389000000002</c:v>
                </c:pt>
                <c:pt idx="3480">
                  <c:v>56.655000000000001</c:v>
                </c:pt>
                <c:pt idx="3481">
                  <c:v>56.680833</c:v>
                </c:pt>
                <c:pt idx="3482">
                  <c:v>56.679167</c:v>
                </c:pt>
                <c:pt idx="3483">
                  <c:v>56.676943999999999</c:v>
                </c:pt>
                <c:pt idx="3484">
                  <c:v>56.6875</c:v>
                </c:pt>
                <c:pt idx="3485">
                  <c:v>56.692777999999997</c:v>
                </c:pt>
                <c:pt idx="3486">
                  <c:v>56.698889000000001</c:v>
                </c:pt>
                <c:pt idx="3487">
                  <c:v>56.672499999999999</c:v>
                </c:pt>
                <c:pt idx="3488">
                  <c:v>56.679167</c:v>
                </c:pt>
                <c:pt idx="3489">
                  <c:v>56.676667000000002</c:v>
                </c:pt>
                <c:pt idx="3490">
                  <c:v>56.678333000000002</c:v>
                </c:pt>
                <c:pt idx="3491">
                  <c:v>56.696944000000002</c:v>
                </c:pt>
                <c:pt idx="3493">
                  <c:v>56.748610999999997</c:v>
                </c:pt>
                <c:pt idx="3494">
                  <c:v>56.756388999999999</c:v>
                </c:pt>
                <c:pt idx="3495">
                  <c:v>56.763610999999997</c:v>
                </c:pt>
                <c:pt idx="3496">
                  <c:v>56.757221999999999</c:v>
                </c:pt>
                <c:pt idx="3497">
                  <c:v>56.763055999999999</c:v>
                </c:pt>
                <c:pt idx="3498">
                  <c:v>56.769444</c:v>
                </c:pt>
                <c:pt idx="3499">
                  <c:v>56.793332999999997</c:v>
                </c:pt>
                <c:pt idx="3500">
                  <c:v>56.825555999999999</c:v>
                </c:pt>
                <c:pt idx="3501">
                  <c:v>56.842500000000001</c:v>
                </c:pt>
                <c:pt idx="3502">
                  <c:v>56.858611000000003</c:v>
                </c:pt>
                <c:pt idx="3503">
                  <c:v>56.867221999999998</c:v>
                </c:pt>
                <c:pt idx="3504">
                  <c:v>56.858333000000002</c:v>
                </c:pt>
                <c:pt idx="3505">
                  <c:v>56.886111</c:v>
                </c:pt>
                <c:pt idx="3506">
                  <c:v>56.881110999999997</c:v>
                </c:pt>
                <c:pt idx="3507">
                  <c:v>56.886667000000003</c:v>
                </c:pt>
                <c:pt idx="3508">
                  <c:v>56.901944</c:v>
                </c:pt>
                <c:pt idx="3509">
                  <c:v>56.942500000000003</c:v>
                </c:pt>
                <c:pt idx="3510">
                  <c:v>56.9925</c:v>
                </c:pt>
                <c:pt idx="3511">
                  <c:v>57.011389000000001</c:v>
                </c:pt>
                <c:pt idx="3512">
                  <c:v>56.982778000000003</c:v>
                </c:pt>
                <c:pt idx="3513">
                  <c:v>56.981667000000002</c:v>
                </c:pt>
                <c:pt idx="3514">
                  <c:v>57</c:v>
                </c:pt>
                <c:pt idx="3515">
                  <c:v>56.986111000000001</c:v>
                </c:pt>
                <c:pt idx="3516">
                  <c:v>57.009721999999996</c:v>
                </c:pt>
                <c:pt idx="3517">
                  <c:v>57.036389</c:v>
                </c:pt>
                <c:pt idx="3518">
                  <c:v>57.056111000000001</c:v>
                </c:pt>
                <c:pt idx="3519">
                  <c:v>57.094444000000003</c:v>
                </c:pt>
                <c:pt idx="3520">
                  <c:v>57.121667000000002</c:v>
                </c:pt>
                <c:pt idx="3521">
                  <c:v>57.101944000000003</c:v>
                </c:pt>
                <c:pt idx="3522">
                  <c:v>57.095278</c:v>
                </c:pt>
                <c:pt idx="3523">
                  <c:v>57.103056000000002</c:v>
                </c:pt>
                <c:pt idx="3524">
                  <c:v>57.113889</c:v>
                </c:pt>
                <c:pt idx="3525">
                  <c:v>57.140278000000002</c:v>
                </c:pt>
                <c:pt idx="3526">
                  <c:v>57.168610999999999</c:v>
                </c:pt>
                <c:pt idx="3527">
                  <c:v>57.209167000000001</c:v>
                </c:pt>
                <c:pt idx="3528">
                  <c:v>57.248055999999998</c:v>
                </c:pt>
                <c:pt idx="3529">
                  <c:v>57.264167</c:v>
                </c:pt>
                <c:pt idx="3530">
                  <c:v>57.229444000000001</c:v>
                </c:pt>
                <c:pt idx="3531">
                  <c:v>57.223332999999997</c:v>
                </c:pt>
                <c:pt idx="3532">
                  <c:v>57.239443999999999</c:v>
                </c:pt>
                <c:pt idx="3533">
                  <c:v>57.274444000000003</c:v>
                </c:pt>
                <c:pt idx="3534">
                  <c:v>57.276389000000002</c:v>
                </c:pt>
                <c:pt idx="3535">
                  <c:v>57.281944000000003</c:v>
                </c:pt>
                <c:pt idx="3536">
                  <c:v>57.325277999999997</c:v>
                </c:pt>
                <c:pt idx="3537">
                  <c:v>57.341943999999998</c:v>
                </c:pt>
                <c:pt idx="3538">
                  <c:v>57.364167000000002</c:v>
                </c:pt>
                <c:pt idx="3539">
                  <c:v>57.398611000000002</c:v>
                </c:pt>
                <c:pt idx="3540">
                  <c:v>57.395277999999998</c:v>
                </c:pt>
                <c:pt idx="3541">
                  <c:v>57.361389000000003</c:v>
                </c:pt>
                <c:pt idx="3542">
                  <c:v>57.366943999999997</c:v>
                </c:pt>
                <c:pt idx="3543">
                  <c:v>57.395000000000003</c:v>
                </c:pt>
                <c:pt idx="3544">
                  <c:v>57.366388999999998</c:v>
                </c:pt>
                <c:pt idx="3545">
                  <c:v>57.343055999999997</c:v>
                </c:pt>
                <c:pt idx="3546">
                  <c:v>57.380555999999999</c:v>
                </c:pt>
                <c:pt idx="3547">
                  <c:v>57.419443999999999</c:v>
                </c:pt>
                <c:pt idx="3548">
                  <c:v>57.442222000000001</c:v>
                </c:pt>
                <c:pt idx="3549">
                  <c:v>57.499443999999997</c:v>
                </c:pt>
                <c:pt idx="3550">
                  <c:v>57.555833</c:v>
                </c:pt>
                <c:pt idx="3551">
                  <c:v>57.575000000000003</c:v>
                </c:pt>
                <c:pt idx="3552">
                  <c:v>57.541111000000001</c:v>
                </c:pt>
                <c:pt idx="3553">
                  <c:v>57.530278000000003</c:v>
                </c:pt>
                <c:pt idx="3554">
                  <c:v>57.516944000000002</c:v>
                </c:pt>
                <c:pt idx="3555">
                  <c:v>57.530278000000003</c:v>
                </c:pt>
                <c:pt idx="3556">
                  <c:v>57.541944000000001</c:v>
                </c:pt>
                <c:pt idx="3557">
                  <c:v>57.55</c:v>
                </c:pt>
                <c:pt idx="3558">
                  <c:v>57.564999999999998</c:v>
                </c:pt>
                <c:pt idx="3559">
                  <c:v>57.591667000000001</c:v>
                </c:pt>
                <c:pt idx="3560">
                  <c:v>57.629722000000001</c:v>
                </c:pt>
                <c:pt idx="3561">
                  <c:v>57.670278000000003</c:v>
                </c:pt>
                <c:pt idx="3562">
                  <c:v>57.698056000000001</c:v>
                </c:pt>
                <c:pt idx="3563">
                  <c:v>57.71</c:v>
                </c:pt>
                <c:pt idx="3564">
                  <c:v>57.734721999999998</c:v>
                </c:pt>
                <c:pt idx="3565">
                  <c:v>57.772221999999999</c:v>
                </c:pt>
                <c:pt idx="3566">
                  <c:v>57.826943999999997</c:v>
                </c:pt>
                <c:pt idx="3567">
                  <c:v>57.854166999999997</c:v>
                </c:pt>
                <c:pt idx="3568">
                  <c:v>57.862777999999999</c:v>
                </c:pt>
                <c:pt idx="3569">
                  <c:v>57.818333000000003</c:v>
                </c:pt>
                <c:pt idx="3570">
                  <c:v>57.770277999999998</c:v>
                </c:pt>
                <c:pt idx="3571">
                  <c:v>57.788055999999997</c:v>
                </c:pt>
                <c:pt idx="3572">
                  <c:v>57.817777999999997</c:v>
                </c:pt>
                <c:pt idx="3573">
                  <c:v>57.856943999999999</c:v>
                </c:pt>
                <c:pt idx="3574">
                  <c:v>57.903055999999999</c:v>
                </c:pt>
                <c:pt idx="3575">
                  <c:v>57.905833000000001</c:v>
                </c:pt>
                <c:pt idx="3576">
                  <c:v>57.876111000000002</c:v>
                </c:pt>
                <c:pt idx="3577">
                  <c:v>57.848889</c:v>
                </c:pt>
                <c:pt idx="3578">
                  <c:v>57.895000000000003</c:v>
                </c:pt>
                <c:pt idx="3579">
                  <c:v>57.886111</c:v>
                </c:pt>
                <c:pt idx="3580">
                  <c:v>57.854999999999997</c:v>
                </c:pt>
                <c:pt idx="3581">
                  <c:v>57.860833</c:v>
                </c:pt>
                <c:pt idx="3582">
                  <c:v>57.89</c:v>
                </c:pt>
                <c:pt idx="3583">
                  <c:v>57.916111000000001</c:v>
                </c:pt>
                <c:pt idx="3584">
                  <c:v>57.931666999999997</c:v>
                </c:pt>
                <c:pt idx="3585">
                  <c:v>57.908611000000001</c:v>
                </c:pt>
                <c:pt idx="3586">
                  <c:v>57.889443999999997</c:v>
                </c:pt>
                <c:pt idx="3587">
                  <c:v>57.862499999999997</c:v>
                </c:pt>
                <c:pt idx="3588">
                  <c:v>57.835833000000001</c:v>
                </c:pt>
                <c:pt idx="3589">
                  <c:v>57.878332999999998</c:v>
                </c:pt>
                <c:pt idx="3590">
                  <c:v>57.910277999999998</c:v>
                </c:pt>
                <c:pt idx="3591">
                  <c:v>57.945833</c:v>
                </c:pt>
                <c:pt idx="3592">
                  <c:v>57.973056</c:v>
                </c:pt>
                <c:pt idx="3593">
                  <c:v>58.002222000000003</c:v>
                </c:pt>
                <c:pt idx="3594">
                  <c:v>58.031944000000003</c:v>
                </c:pt>
                <c:pt idx="3595">
                  <c:v>58.067777999999997</c:v>
                </c:pt>
                <c:pt idx="3596">
                  <c:v>58.095832999999999</c:v>
                </c:pt>
                <c:pt idx="3597">
                  <c:v>58.067777999999997</c:v>
                </c:pt>
                <c:pt idx="3598">
                  <c:v>58.064722000000003</c:v>
                </c:pt>
                <c:pt idx="3599">
                  <c:v>58.106110999999999</c:v>
                </c:pt>
                <c:pt idx="3600">
                  <c:v>58.130555999999999</c:v>
                </c:pt>
                <c:pt idx="3601">
                  <c:v>58.146943999999998</c:v>
                </c:pt>
                <c:pt idx="3602">
                  <c:v>58.179443999999997</c:v>
                </c:pt>
                <c:pt idx="3603">
                  <c:v>58.218888999999997</c:v>
                </c:pt>
                <c:pt idx="3604">
                  <c:v>58.253889000000001</c:v>
                </c:pt>
                <c:pt idx="3605">
                  <c:v>58.226111000000003</c:v>
                </c:pt>
                <c:pt idx="3606">
                  <c:v>58.242778000000001</c:v>
                </c:pt>
                <c:pt idx="3607">
                  <c:v>58.253332999999998</c:v>
                </c:pt>
                <c:pt idx="3608">
                  <c:v>58.251944000000002</c:v>
                </c:pt>
                <c:pt idx="3609">
                  <c:v>58.236111000000001</c:v>
                </c:pt>
                <c:pt idx="3610">
                  <c:v>58.246943999999999</c:v>
                </c:pt>
                <c:pt idx="3611">
                  <c:v>58.2575</c:v>
                </c:pt>
                <c:pt idx="3612">
                  <c:v>58.273888999999997</c:v>
                </c:pt>
                <c:pt idx="3613">
                  <c:v>58.312221999999998</c:v>
                </c:pt>
                <c:pt idx="3614">
                  <c:v>58.333888999999999</c:v>
                </c:pt>
                <c:pt idx="3615">
                  <c:v>58.375833</c:v>
                </c:pt>
                <c:pt idx="3616">
                  <c:v>58.393611</c:v>
                </c:pt>
                <c:pt idx="3617">
                  <c:v>58.393056000000001</c:v>
                </c:pt>
                <c:pt idx="3618">
                  <c:v>58.415556000000002</c:v>
                </c:pt>
                <c:pt idx="3619">
                  <c:v>58.441110999999999</c:v>
                </c:pt>
                <c:pt idx="3620">
                  <c:v>58.443610999999997</c:v>
                </c:pt>
                <c:pt idx="3621">
                  <c:v>58.467500000000001</c:v>
                </c:pt>
                <c:pt idx="3622">
                  <c:v>58.506943999999997</c:v>
                </c:pt>
                <c:pt idx="3623">
                  <c:v>58.536943999999998</c:v>
                </c:pt>
                <c:pt idx="3624">
                  <c:v>58.590277999999998</c:v>
                </c:pt>
                <c:pt idx="3626">
                  <c:v>59.517778</c:v>
                </c:pt>
                <c:pt idx="3627">
                  <c:v>59.543610999999999</c:v>
                </c:pt>
                <c:pt idx="3629">
                  <c:v>59.350278000000003</c:v>
                </c:pt>
                <c:pt idx="3630">
                  <c:v>59.384444000000002</c:v>
                </c:pt>
                <c:pt idx="3632">
                  <c:v>59.262222000000001</c:v>
                </c:pt>
                <c:pt idx="3633">
                  <c:v>59.24</c:v>
                </c:pt>
                <c:pt idx="3634">
                  <c:v>59.233333000000002</c:v>
                </c:pt>
                <c:pt idx="3635">
                  <c:v>59.233888999999998</c:v>
                </c:pt>
                <c:pt idx="3636">
                  <c:v>59.202500000000001</c:v>
                </c:pt>
                <c:pt idx="3637">
                  <c:v>59.201943999999997</c:v>
                </c:pt>
                <c:pt idx="3638">
                  <c:v>59.244722000000003</c:v>
                </c:pt>
                <c:pt idx="3639">
                  <c:v>59.278055999999999</c:v>
                </c:pt>
                <c:pt idx="3640">
                  <c:v>59.304443999999997</c:v>
                </c:pt>
                <c:pt idx="3641">
                  <c:v>59.274721999999997</c:v>
                </c:pt>
                <c:pt idx="3642">
                  <c:v>59.278610999999998</c:v>
                </c:pt>
                <c:pt idx="3643">
                  <c:v>59.307499999999997</c:v>
                </c:pt>
                <c:pt idx="3644">
                  <c:v>59.279722</c:v>
                </c:pt>
                <c:pt idx="3646">
                  <c:v>59.082777999999998</c:v>
                </c:pt>
                <c:pt idx="3647">
                  <c:v>59.082777999999998</c:v>
                </c:pt>
                <c:pt idx="3648">
                  <c:v>59.090833000000003</c:v>
                </c:pt>
                <c:pt idx="3649">
                  <c:v>59.095278</c:v>
                </c:pt>
                <c:pt idx="3650">
                  <c:v>59.127777999999999</c:v>
                </c:pt>
                <c:pt idx="3651">
                  <c:v>59.156944000000003</c:v>
                </c:pt>
                <c:pt idx="3652">
                  <c:v>59.140278000000002</c:v>
                </c:pt>
                <c:pt idx="3653">
                  <c:v>59.120556000000001</c:v>
                </c:pt>
                <c:pt idx="3655">
                  <c:v>59.033611000000001</c:v>
                </c:pt>
                <c:pt idx="3656">
                  <c:v>59.031111000000003</c:v>
                </c:pt>
                <c:pt idx="3657">
                  <c:v>59.062221999999998</c:v>
                </c:pt>
                <c:pt idx="3658">
                  <c:v>59.063056000000003</c:v>
                </c:pt>
                <c:pt idx="3660">
                  <c:v>58.919167000000002</c:v>
                </c:pt>
                <c:pt idx="3661">
                  <c:v>58.896388999999999</c:v>
                </c:pt>
                <c:pt idx="3662">
                  <c:v>58.892221999999997</c:v>
                </c:pt>
                <c:pt idx="3663">
                  <c:v>58.907221999999997</c:v>
                </c:pt>
                <c:pt idx="3664">
                  <c:v>58.957777999999998</c:v>
                </c:pt>
                <c:pt idx="3665">
                  <c:v>58.937778000000002</c:v>
                </c:pt>
                <c:pt idx="3666">
                  <c:v>58.929443999999997</c:v>
                </c:pt>
                <c:pt idx="3667">
                  <c:v>58.913333000000002</c:v>
                </c:pt>
                <c:pt idx="3668">
                  <c:v>58.945833</c:v>
                </c:pt>
                <c:pt idx="3669">
                  <c:v>58.995277999999999</c:v>
                </c:pt>
                <c:pt idx="3670">
                  <c:v>59.029167000000001</c:v>
                </c:pt>
                <c:pt idx="3671">
                  <c:v>59.003889000000001</c:v>
                </c:pt>
                <c:pt idx="3672">
                  <c:v>58.963611</c:v>
                </c:pt>
                <c:pt idx="3673">
                  <c:v>58.960555999999997</c:v>
                </c:pt>
                <c:pt idx="3674">
                  <c:v>59.0075</c:v>
                </c:pt>
                <c:pt idx="3675">
                  <c:v>59.056111000000001</c:v>
                </c:pt>
                <c:pt idx="3676">
                  <c:v>59.111944000000001</c:v>
                </c:pt>
                <c:pt idx="3677">
                  <c:v>59.141944000000002</c:v>
                </c:pt>
                <c:pt idx="3678">
                  <c:v>59.140278000000002</c:v>
                </c:pt>
                <c:pt idx="3679">
                  <c:v>59.12</c:v>
                </c:pt>
                <c:pt idx="3680">
                  <c:v>59.09</c:v>
                </c:pt>
                <c:pt idx="3681">
                  <c:v>59.064722000000003</c:v>
                </c:pt>
                <c:pt idx="3682">
                  <c:v>59.048333</c:v>
                </c:pt>
                <c:pt idx="3683">
                  <c:v>59.010278</c:v>
                </c:pt>
                <c:pt idx="3684">
                  <c:v>58.985833</c:v>
                </c:pt>
                <c:pt idx="3685">
                  <c:v>59.009166999999998</c:v>
                </c:pt>
                <c:pt idx="3686">
                  <c:v>59.006110999999997</c:v>
                </c:pt>
                <c:pt idx="3687">
                  <c:v>58.989443999999999</c:v>
                </c:pt>
                <c:pt idx="3688">
                  <c:v>58.980277999999998</c:v>
                </c:pt>
                <c:pt idx="3689">
                  <c:v>58.97</c:v>
                </c:pt>
                <c:pt idx="3690">
                  <c:v>58.943888999999999</c:v>
                </c:pt>
                <c:pt idx="3691">
                  <c:v>58.963332999999999</c:v>
                </c:pt>
                <c:pt idx="3693">
                  <c:v>58.850278000000003</c:v>
                </c:pt>
                <c:pt idx="3694">
                  <c:v>58.863610999999999</c:v>
                </c:pt>
                <c:pt idx="3696">
                  <c:v>58.776944</c:v>
                </c:pt>
                <c:pt idx="3697">
                  <c:v>58.731389</c:v>
                </c:pt>
                <c:pt idx="3698">
                  <c:v>58.762777999999997</c:v>
                </c:pt>
                <c:pt idx="3699">
                  <c:v>58.803055999999998</c:v>
                </c:pt>
                <c:pt idx="3700">
                  <c:v>58.821111000000002</c:v>
                </c:pt>
                <c:pt idx="3701">
                  <c:v>58.830832999999998</c:v>
                </c:pt>
                <c:pt idx="3702">
                  <c:v>58.836944000000003</c:v>
                </c:pt>
                <c:pt idx="3704">
                  <c:v>58.742221999999998</c:v>
                </c:pt>
                <c:pt idx="3706">
                  <c:v>58.683332999999998</c:v>
                </c:pt>
                <c:pt idx="3708">
                  <c:v>58.850278000000003</c:v>
                </c:pt>
                <c:pt idx="3710">
                  <c:v>58.819721999999999</c:v>
                </c:pt>
                <c:pt idx="3711">
                  <c:v>58.849443999999998</c:v>
                </c:pt>
                <c:pt idx="3712">
                  <c:v>58.825555999999999</c:v>
                </c:pt>
                <c:pt idx="3714">
                  <c:v>58.819721999999999</c:v>
                </c:pt>
                <c:pt idx="3715">
                  <c:v>58.792499999999997</c:v>
                </c:pt>
                <c:pt idx="3716">
                  <c:v>58.803610999999997</c:v>
                </c:pt>
                <c:pt idx="3717">
                  <c:v>58.780555999999997</c:v>
                </c:pt>
                <c:pt idx="3718">
                  <c:v>58.777222000000002</c:v>
                </c:pt>
                <c:pt idx="3719">
                  <c:v>58.811388999999998</c:v>
                </c:pt>
                <c:pt idx="3720">
                  <c:v>58.852778000000001</c:v>
                </c:pt>
                <c:pt idx="3721">
                  <c:v>58.882221999999999</c:v>
                </c:pt>
                <c:pt idx="3722">
                  <c:v>58.921388999999998</c:v>
                </c:pt>
                <c:pt idx="3723">
                  <c:v>58.906388999999997</c:v>
                </c:pt>
                <c:pt idx="3724">
                  <c:v>58.876666999999998</c:v>
                </c:pt>
                <c:pt idx="3726">
                  <c:v>58.931944000000001</c:v>
                </c:pt>
                <c:pt idx="3728">
                  <c:v>59.083333000000003</c:v>
                </c:pt>
                <c:pt idx="3730">
                  <c:v>59.13</c:v>
                </c:pt>
                <c:pt idx="3731">
                  <c:v>59.1325</c:v>
                </c:pt>
                <c:pt idx="3732">
                  <c:v>59.174166999999997</c:v>
                </c:pt>
                <c:pt idx="3733">
                  <c:v>59.194443999999997</c:v>
                </c:pt>
                <c:pt idx="3734">
                  <c:v>59.188889000000003</c:v>
                </c:pt>
                <c:pt idx="3736">
                  <c:v>59.141666999999998</c:v>
                </c:pt>
                <c:pt idx="3738">
                  <c:v>59.115278000000004</c:v>
                </c:pt>
                <c:pt idx="3740">
                  <c:v>59.314722000000003</c:v>
                </c:pt>
                <c:pt idx="3741">
                  <c:v>59.299722000000003</c:v>
                </c:pt>
                <c:pt idx="3742">
                  <c:v>59.266111000000002</c:v>
                </c:pt>
                <c:pt idx="3743">
                  <c:v>59.228611000000001</c:v>
                </c:pt>
                <c:pt idx="3744">
                  <c:v>59.268056000000001</c:v>
                </c:pt>
                <c:pt idx="3745">
                  <c:v>59.28</c:v>
                </c:pt>
                <c:pt idx="3746">
                  <c:v>59.274166999999998</c:v>
                </c:pt>
                <c:pt idx="3747">
                  <c:v>59.316667000000002</c:v>
                </c:pt>
                <c:pt idx="3748">
                  <c:v>59.328055999999997</c:v>
                </c:pt>
                <c:pt idx="3749">
                  <c:v>59.353611000000001</c:v>
                </c:pt>
                <c:pt idx="3751">
                  <c:v>59.323332999999998</c:v>
                </c:pt>
                <c:pt idx="3752">
                  <c:v>59.348889</c:v>
                </c:pt>
                <c:pt idx="3753">
                  <c:v>59.373888999999998</c:v>
                </c:pt>
                <c:pt idx="3755">
                  <c:v>59.223610999999998</c:v>
                </c:pt>
                <c:pt idx="3757">
                  <c:v>59.172499999999999</c:v>
                </c:pt>
                <c:pt idx="3758">
                  <c:v>59.139443999999997</c:v>
                </c:pt>
                <c:pt idx="3759">
                  <c:v>59.173333</c:v>
                </c:pt>
                <c:pt idx="3760">
                  <c:v>59.195833</c:v>
                </c:pt>
                <c:pt idx="3761">
                  <c:v>59.246389000000001</c:v>
                </c:pt>
                <c:pt idx="3762">
                  <c:v>59.224722</c:v>
                </c:pt>
                <c:pt idx="3764">
                  <c:v>59.244444000000001</c:v>
                </c:pt>
                <c:pt idx="3766">
                  <c:v>55.677222</c:v>
                </c:pt>
                <c:pt idx="3768">
                  <c:v>52.968611000000003</c:v>
                </c:pt>
                <c:pt idx="3770">
                  <c:v>51.766388999999997</c:v>
                </c:pt>
                <c:pt idx="3771">
                  <c:v>51.793056</c:v>
                </c:pt>
                <c:pt idx="3772">
                  <c:v>51.78</c:v>
                </c:pt>
                <c:pt idx="3774">
                  <c:v>50.658611000000001</c:v>
                </c:pt>
                <c:pt idx="3775">
                  <c:v>50.609444000000003</c:v>
                </c:pt>
                <c:pt idx="3776">
                  <c:v>50.584443999999998</c:v>
                </c:pt>
                <c:pt idx="3777">
                  <c:v>50.585833000000001</c:v>
                </c:pt>
                <c:pt idx="3778">
                  <c:v>50.62</c:v>
                </c:pt>
                <c:pt idx="3779">
                  <c:v>50.645277999999998</c:v>
                </c:pt>
                <c:pt idx="3780">
                  <c:v>50.668332999999997</c:v>
                </c:pt>
                <c:pt idx="3781">
                  <c:v>50.668889</c:v>
                </c:pt>
                <c:pt idx="3782">
                  <c:v>50.703888999999997</c:v>
                </c:pt>
                <c:pt idx="3783">
                  <c:v>50.726388999999998</c:v>
                </c:pt>
                <c:pt idx="3784">
                  <c:v>50.725833000000002</c:v>
                </c:pt>
                <c:pt idx="3785">
                  <c:v>50.758333</c:v>
                </c:pt>
                <c:pt idx="3786">
                  <c:v>50.767778</c:v>
                </c:pt>
                <c:pt idx="3787">
                  <c:v>50.740555999999998</c:v>
                </c:pt>
                <c:pt idx="3788">
                  <c:v>50.735278000000001</c:v>
                </c:pt>
                <c:pt idx="3789">
                  <c:v>50.696944000000002</c:v>
                </c:pt>
                <c:pt idx="3791">
                  <c:v>49.965277999999998</c:v>
                </c:pt>
                <c:pt idx="3793">
                  <c:v>49.911943999999998</c:v>
                </c:pt>
                <c:pt idx="3795">
                  <c:v>49.953888999999997</c:v>
                </c:pt>
                <c:pt idx="3797">
                  <c:v>51.158332999999999</c:v>
                </c:pt>
                <c:pt idx="3799">
                  <c:v>51.738332999999997</c:v>
                </c:pt>
                <c:pt idx="3801">
                  <c:v>51.873610999999997</c:v>
                </c:pt>
                <c:pt idx="3803">
                  <c:v>53.308889000000001</c:v>
                </c:pt>
                <c:pt idx="3804">
                  <c:v>53.270277999999998</c:v>
                </c:pt>
                <c:pt idx="3805">
                  <c:v>53.242221999999998</c:v>
                </c:pt>
                <c:pt idx="3806">
                  <c:v>53.281111000000003</c:v>
                </c:pt>
                <c:pt idx="3807">
                  <c:v>53.306666999999997</c:v>
                </c:pt>
                <c:pt idx="3809">
                  <c:v>53.413888999999998</c:v>
                </c:pt>
                <c:pt idx="3810">
                  <c:v>53.385832999999998</c:v>
                </c:pt>
                <c:pt idx="3811">
                  <c:v>53.345278</c:v>
                </c:pt>
                <c:pt idx="3812">
                  <c:v>53.298611000000001</c:v>
                </c:pt>
                <c:pt idx="3813">
                  <c:v>53.306389000000003</c:v>
                </c:pt>
                <c:pt idx="3814">
                  <c:v>53.306389000000003</c:v>
                </c:pt>
                <c:pt idx="3815">
                  <c:v>53.265555999999997</c:v>
                </c:pt>
                <c:pt idx="3816">
                  <c:v>53.236111000000001</c:v>
                </c:pt>
                <c:pt idx="3817">
                  <c:v>53.207222000000002</c:v>
                </c:pt>
                <c:pt idx="3818">
                  <c:v>53.166944000000001</c:v>
                </c:pt>
                <c:pt idx="3819">
                  <c:v>53.137500000000003</c:v>
                </c:pt>
                <c:pt idx="3820">
                  <c:v>53.133889000000003</c:v>
                </c:pt>
                <c:pt idx="3821">
                  <c:v>53.147500000000001</c:v>
                </c:pt>
                <c:pt idx="3822">
                  <c:v>53.174722000000003</c:v>
                </c:pt>
                <c:pt idx="3823">
                  <c:v>53.22</c:v>
                </c:pt>
                <c:pt idx="3824">
                  <c:v>53.262777999999997</c:v>
                </c:pt>
                <c:pt idx="3825">
                  <c:v>53.313889000000003</c:v>
                </c:pt>
                <c:pt idx="3826">
                  <c:v>53.368056000000003</c:v>
                </c:pt>
                <c:pt idx="3827">
                  <c:v>53.401944</c:v>
                </c:pt>
                <c:pt idx="3828">
                  <c:v>53.416944000000001</c:v>
                </c:pt>
                <c:pt idx="3830">
                  <c:v>54.096389000000002</c:v>
                </c:pt>
                <c:pt idx="3831">
                  <c:v>54.057222000000003</c:v>
                </c:pt>
                <c:pt idx="3832">
                  <c:v>54.060833000000002</c:v>
                </c:pt>
                <c:pt idx="3833">
                  <c:v>54.106389</c:v>
                </c:pt>
                <c:pt idx="3835">
                  <c:v>54.356389</c:v>
                </c:pt>
                <c:pt idx="3836">
                  <c:v>54.309722000000001</c:v>
                </c:pt>
                <c:pt idx="3837">
                  <c:v>54.271388999999999</c:v>
                </c:pt>
                <c:pt idx="3838">
                  <c:v>54.224443999999998</c:v>
                </c:pt>
                <c:pt idx="3839">
                  <c:v>54.186388999999998</c:v>
                </c:pt>
                <c:pt idx="3840">
                  <c:v>54.158889000000002</c:v>
                </c:pt>
                <c:pt idx="3841">
                  <c:v>54.125</c:v>
                </c:pt>
                <c:pt idx="3842">
                  <c:v>54.095556000000002</c:v>
                </c:pt>
                <c:pt idx="3843">
                  <c:v>54.058610999999999</c:v>
                </c:pt>
                <c:pt idx="3844">
                  <c:v>54.071944000000002</c:v>
                </c:pt>
                <c:pt idx="3845">
                  <c:v>54.061110999999997</c:v>
                </c:pt>
                <c:pt idx="3846">
                  <c:v>54.081944</c:v>
                </c:pt>
                <c:pt idx="3847">
                  <c:v>54.126944000000002</c:v>
                </c:pt>
                <c:pt idx="3848">
                  <c:v>54.176943999999999</c:v>
                </c:pt>
                <c:pt idx="3849">
                  <c:v>54.222499999999997</c:v>
                </c:pt>
                <c:pt idx="3850">
                  <c:v>54.251389000000003</c:v>
                </c:pt>
                <c:pt idx="3851">
                  <c:v>54.296944000000003</c:v>
                </c:pt>
                <c:pt idx="3852">
                  <c:v>54.35</c:v>
                </c:pt>
                <c:pt idx="3853">
                  <c:v>54.384999999999998</c:v>
                </c:pt>
                <c:pt idx="3854">
                  <c:v>54.402500000000003</c:v>
                </c:pt>
                <c:pt idx="3856">
                  <c:v>54.054721999999998</c:v>
                </c:pt>
                <c:pt idx="3858">
                  <c:v>55.730832999999997</c:v>
                </c:pt>
                <c:pt idx="3860">
                  <c:v>55.885832999999998</c:v>
                </c:pt>
                <c:pt idx="3861">
                  <c:v>55.843611000000003</c:v>
                </c:pt>
                <c:pt idx="3862">
                  <c:v>55.802500000000002</c:v>
                </c:pt>
                <c:pt idx="3863">
                  <c:v>55.755277999999997</c:v>
                </c:pt>
                <c:pt idx="3864">
                  <c:v>55.724167000000001</c:v>
                </c:pt>
                <c:pt idx="3865">
                  <c:v>55.766388999999997</c:v>
                </c:pt>
                <c:pt idx="3866">
                  <c:v>55.804167</c:v>
                </c:pt>
                <c:pt idx="3867">
                  <c:v>55.847499999999997</c:v>
                </c:pt>
                <c:pt idx="3868">
                  <c:v>55.891944000000002</c:v>
                </c:pt>
                <c:pt idx="3870">
                  <c:v>55.790832999999999</c:v>
                </c:pt>
                <c:pt idx="3872">
                  <c:v>55.522500000000001</c:v>
                </c:pt>
                <c:pt idx="3874">
                  <c:v>55.694721999999999</c:v>
                </c:pt>
                <c:pt idx="3875">
                  <c:v>55.651111</c:v>
                </c:pt>
                <c:pt idx="3876">
                  <c:v>55.598889</c:v>
                </c:pt>
                <c:pt idx="3877">
                  <c:v>55.561667</c:v>
                </c:pt>
                <c:pt idx="3878">
                  <c:v>55.523055999999997</c:v>
                </c:pt>
                <c:pt idx="3879">
                  <c:v>55.490555999999998</c:v>
                </c:pt>
                <c:pt idx="3880">
                  <c:v>55.444443999999997</c:v>
                </c:pt>
                <c:pt idx="3881">
                  <c:v>55.429443999999997</c:v>
                </c:pt>
                <c:pt idx="3882">
                  <c:v>55.443888999999999</c:v>
                </c:pt>
                <c:pt idx="3883">
                  <c:v>55.475000000000001</c:v>
                </c:pt>
                <c:pt idx="3884">
                  <c:v>55.52</c:v>
                </c:pt>
                <c:pt idx="3885">
                  <c:v>55.569721999999999</c:v>
                </c:pt>
                <c:pt idx="3886">
                  <c:v>55.617778000000001</c:v>
                </c:pt>
                <c:pt idx="3887">
                  <c:v>55.674444000000001</c:v>
                </c:pt>
                <c:pt idx="3888">
                  <c:v>55.703055999999997</c:v>
                </c:pt>
                <c:pt idx="3890">
                  <c:v>55.281111000000003</c:v>
                </c:pt>
                <c:pt idx="3892">
                  <c:v>55.69</c:v>
                </c:pt>
                <c:pt idx="3893">
                  <c:v>55.647778000000002</c:v>
                </c:pt>
                <c:pt idx="3894">
                  <c:v>55.681111000000001</c:v>
                </c:pt>
                <c:pt idx="3895">
                  <c:v>55.725555999999997</c:v>
                </c:pt>
                <c:pt idx="3897">
                  <c:v>55.871389000000001</c:v>
                </c:pt>
                <c:pt idx="3898">
                  <c:v>55.815556000000001</c:v>
                </c:pt>
                <c:pt idx="3899">
                  <c:v>55.771388999999999</c:v>
                </c:pt>
                <c:pt idx="3900">
                  <c:v>55.723889</c:v>
                </c:pt>
                <c:pt idx="3901">
                  <c:v>55.676110999999999</c:v>
                </c:pt>
                <c:pt idx="3902">
                  <c:v>55.643056000000001</c:v>
                </c:pt>
                <c:pt idx="3903">
                  <c:v>55.623888999999998</c:v>
                </c:pt>
                <c:pt idx="3904">
                  <c:v>55.615833000000002</c:v>
                </c:pt>
                <c:pt idx="3905">
                  <c:v>55.576667</c:v>
                </c:pt>
                <c:pt idx="3906">
                  <c:v>55.598610999999998</c:v>
                </c:pt>
                <c:pt idx="3907">
                  <c:v>55.646667000000001</c:v>
                </c:pt>
                <c:pt idx="3908">
                  <c:v>55.684167000000002</c:v>
                </c:pt>
                <c:pt idx="3909">
                  <c:v>55.718611000000003</c:v>
                </c:pt>
                <c:pt idx="3910">
                  <c:v>55.753332999999998</c:v>
                </c:pt>
                <c:pt idx="3911">
                  <c:v>55.771943999999998</c:v>
                </c:pt>
                <c:pt idx="3912">
                  <c:v>55.74</c:v>
                </c:pt>
                <c:pt idx="3913">
                  <c:v>55.695</c:v>
                </c:pt>
                <c:pt idx="3914">
                  <c:v>55.666666999999997</c:v>
                </c:pt>
                <c:pt idx="3915">
                  <c:v>55.697221999999996</c:v>
                </c:pt>
                <c:pt idx="3916">
                  <c:v>55.739722</c:v>
                </c:pt>
                <c:pt idx="3917">
                  <c:v>55.777777999999998</c:v>
                </c:pt>
                <c:pt idx="3918">
                  <c:v>55.816667000000002</c:v>
                </c:pt>
                <c:pt idx="3919">
                  <c:v>55.855277999999998</c:v>
                </c:pt>
                <c:pt idx="3920">
                  <c:v>55.878332999999998</c:v>
                </c:pt>
                <c:pt idx="3921">
                  <c:v>55.831111</c:v>
                </c:pt>
                <c:pt idx="3922">
                  <c:v>55.852221999999998</c:v>
                </c:pt>
                <c:pt idx="3923">
                  <c:v>55.889721999999999</c:v>
                </c:pt>
                <c:pt idx="3924">
                  <c:v>55.919722</c:v>
                </c:pt>
                <c:pt idx="3925">
                  <c:v>55.926667000000002</c:v>
                </c:pt>
                <c:pt idx="3927">
                  <c:v>55.910832999999997</c:v>
                </c:pt>
                <c:pt idx="3928">
                  <c:v>55.876666999999998</c:v>
                </c:pt>
                <c:pt idx="3929">
                  <c:v>55.842778000000003</c:v>
                </c:pt>
                <c:pt idx="3930">
                  <c:v>55.789721999999998</c:v>
                </c:pt>
                <c:pt idx="3931">
                  <c:v>55.803333000000002</c:v>
                </c:pt>
                <c:pt idx="3932">
                  <c:v>55.844166999999999</c:v>
                </c:pt>
                <c:pt idx="3933">
                  <c:v>55.898888999999997</c:v>
                </c:pt>
                <c:pt idx="3934">
                  <c:v>55.941110999999999</c:v>
                </c:pt>
                <c:pt idx="3935">
                  <c:v>55.946666999999998</c:v>
                </c:pt>
                <c:pt idx="3936">
                  <c:v>55.963611</c:v>
                </c:pt>
                <c:pt idx="3938">
                  <c:v>56.096666999999997</c:v>
                </c:pt>
                <c:pt idx="3939">
                  <c:v>56.050277999999999</c:v>
                </c:pt>
                <c:pt idx="3940">
                  <c:v>56.002777999999999</c:v>
                </c:pt>
                <c:pt idx="3941">
                  <c:v>55.965277999999998</c:v>
                </c:pt>
                <c:pt idx="3942">
                  <c:v>55.962221999999997</c:v>
                </c:pt>
                <c:pt idx="3943">
                  <c:v>55.971111000000001</c:v>
                </c:pt>
                <c:pt idx="3944">
                  <c:v>56.019722000000002</c:v>
                </c:pt>
                <c:pt idx="3945">
                  <c:v>56.053333000000002</c:v>
                </c:pt>
                <c:pt idx="3946">
                  <c:v>56.083333000000003</c:v>
                </c:pt>
                <c:pt idx="3947">
                  <c:v>56.112222000000003</c:v>
                </c:pt>
                <c:pt idx="3948">
                  <c:v>56.143332999999998</c:v>
                </c:pt>
                <c:pt idx="3950">
                  <c:v>56.206389000000001</c:v>
                </c:pt>
                <c:pt idx="3952">
                  <c:v>56.216110999999998</c:v>
                </c:pt>
                <c:pt idx="3953">
                  <c:v>56.203055999999997</c:v>
                </c:pt>
                <c:pt idx="3954">
                  <c:v>56.259444000000002</c:v>
                </c:pt>
                <c:pt idx="3956">
                  <c:v>56.268889000000001</c:v>
                </c:pt>
                <c:pt idx="3957">
                  <c:v>56.304443999999997</c:v>
                </c:pt>
                <c:pt idx="3959">
                  <c:v>56.368889000000003</c:v>
                </c:pt>
                <c:pt idx="3960">
                  <c:v>56.400278</c:v>
                </c:pt>
                <c:pt idx="3962">
                  <c:v>56.152500000000003</c:v>
                </c:pt>
                <c:pt idx="3963">
                  <c:v>56.185000000000002</c:v>
                </c:pt>
                <c:pt idx="3965">
                  <c:v>56.211388999999997</c:v>
                </c:pt>
                <c:pt idx="3967">
                  <c:v>56.07</c:v>
                </c:pt>
                <c:pt idx="3968">
                  <c:v>56.027222000000002</c:v>
                </c:pt>
                <c:pt idx="3969">
                  <c:v>56.033056000000002</c:v>
                </c:pt>
                <c:pt idx="3970">
                  <c:v>56.079166999999998</c:v>
                </c:pt>
                <c:pt idx="3971">
                  <c:v>56.101388999999998</c:v>
                </c:pt>
                <c:pt idx="3973">
                  <c:v>56.018056000000001</c:v>
                </c:pt>
                <c:pt idx="3975">
                  <c:v>56.406944000000003</c:v>
                </c:pt>
                <c:pt idx="3976">
                  <c:v>56.393056000000001</c:v>
                </c:pt>
                <c:pt idx="3977">
                  <c:v>56.371389000000001</c:v>
                </c:pt>
                <c:pt idx="3978">
                  <c:v>56.368611000000001</c:v>
                </c:pt>
                <c:pt idx="3979">
                  <c:v>56.332777999999998</c:v>
                </c:pt>
                <c:pt idx="3980">
                  <c:v>56.310555999999998</c:v>
                </c:pt>
                <c:pt idx="3981">
                  <c:v>56.325833000000003</c:v>
                </c:pt>
                <c:pt idx="3982">
                  <c:v>56.339167000000003</c:v>
                </c:pt>
                <c:pt idx="3983">
                  <c:v>56.315277999999999</c:v>
                </c:pt>
                <c:pt idx="3984">
                  <c:v>56.290556000000002</c:v>
                </c:pt>
                <c:pt idx="3985">
                  <c:v>56.282778</c:v>
                </c:pt>
                <c:pt idx="3986">
                  <c:v>56.281944000000003</c:v>
                </c:pt>
                <c:pt idx="3987">
                  <c:v>56.263888999999999</c:v>
                </c:pt>
                <c:pt idx="3988">
                  <c:v>56.293610999999999</c:v>
                </c:pt>
                <c:pt idx="3989">
                  <c:v>56.333055999999999</c:v>
                </c:pt>
                <c:pt idx="3990">
                  <c:v>56.327778000000002</c:v>
                </c:pt>
                <c:pt idx="3991">
                  <c:v>56.324167000000003</c:v>
                </c:pt>
                <c:pt idx="3992">
                  <c:v>56.330556000000001</c:v>
                </c:pt>
                <c:pt idx="3993">
                  <c:v>56.347777999999998</c:v>
                </c:pt>
                <c:pt idx="3994">
                  <c:v>56.370832999999998</c:v>
                </c:pt>
                <c:pt idx="3995">
                  <c:v>56.370832999999998</c:v>
                </c:pt>
                <c:pt idx="3996">
                  <c:v>56.352778000000001</c:v>
                </c:pt>
                <c:pt idx="3997">
                  <c:v>56.381943999999997</c:v>
                </c:pt>
                <c:pt idx="3998">
                  <c:v>56.421111000000003</c:v>
                </c:pt>
                <c:pt idx="3999">
                  <c:v>56.444167</c:v>
                </c:pt>
                <c:pt idx="4000">
                  <c:v>56.472499999999997</c:v>
                </c:pt>
                <c:pt idx="4001">
                  <c:v>56.480277999999998</c:v>
                </c:pt>
                <c:pt idx="4002">
                  <c:v>56.474722</c:v>
                </c:pt>
                <c:pt idx="4003">
                  <c:v>56.507778000000002</c:v>
                </c:pt>
                <c:pt idx="4004">
                  <c:v>56.520555999999999</c:v>
                </c:pt>
                <c:pt idx="4005">
                  <c:v>56.551943999999999</c:v>
                </c:pt>
                <c:pt idx="4006">
                  <c:v>56.570556000000003</c:v>
                </c:pt>
                <c:pt idx="4007">
                  <c:v>56.599443999999998</c:v>
                </c:pt>
                <c:pt idx="4008">
                  <c:v>56.587499999999999</c:v>
                </c:pt>
                <c:pt idx="4009">
                  <c:v>56.621389000000001</c:v>
                </c:pt>
                <c:pt idx="4010">
                  <c:v>56.645833000000003</c:v>
                </c:pt>
                <c:pt idx="4011">
                  <c:v>56.625</c:v>
                </c:pt>
                <c:pt idx="4012">
                  <c:v>56.584443999999998</c:v>
                </c:pt>
                <c:pt idx="4013">
                  <c:v>56.542777999999998</c:v>
                </c:pt>
                <c:pt idx="4014">
                  <c:v>56.511944</c:v>
                </c:pt>
                <c:pt idx="4015">
                  <c:v>56.501389000000003</c:v>
                </c:pt>
                <c:pt idx="4016">
                  <c:v>56.483611000000003</c:v>
                </c:pt>
                <c:pt idx="4017">
                  <c:v>56.460278000000002</c:v>
                </c:pt>
                <c:pt idx="4019">
                  <c:v>56.506667</c:v>
                </c:pt>
                <c:pt idx="4020">
                  <c:v>56.469721999999997</c:v>
                </c:pt>
                <c:pt idx="4021">
                  <c:v>56.459443999999998</c:v>
                </c:pt>
                <c:pt idx="4022">
                  <c:v>56.496667000000002</c:v>
                </c:pt>
                <c:pt idx="4023">
                  <c:v>56.529722</c:v>
                </c:pt>
                <c:pt idx="4024">
                  <c:v>56.546944000000003</c:v>
                </c:pt>
                <c:pt idx="4026">
                  <c:v>56.289721999999998</c:v>
                </c:pt>
                <c:pt idx="4028">
                  <c:v>56.302778000000004</c:v>
                </c:pt>
                <c:pt idx="4029">
                  <c:v>56.337778</c:v>
                </c:pt>
                <c:pt idx="4031">
                  <c:v>56.462778</c:v>
                </c:pt>
                <c:pt idx="4032">
                  <c:v>56.484721999999998</c:v>
                </c:pt>
                <c:pt idx="4034">
                  <c:v>56.493333</c:v>
                </c:pt>
                <c:pt idx="4036">
                  <c:v>56.484444000000003</c:v>
                </c:pt>
                <c:pt idx="4038">
                  <c:v>56.516388999999997</c:v>
                </c:pt>
                <c:pt idx="4039">
                  <c:v>56.483055999999998</c:v>
                </c:pt>
                <c:pt idx="4040">
                  <c:v>56.457222000000002</c:v>
                </c:pt>
                <c:pt idx="4041">
                  <c:v>56.451110999999997</c:v>
                </c:pt>
                <c:pt idx="4042">
                  <c:v>56.486944000000001</c:v>
                </c:pt>
                <c:pt idx="4043">
                  <c:v>56.517778</c:v>
                </c:pt>
                <c:pt idx="4044">
                  <c:v>56.53</c:v>
                </c:pt>
                <c:pt idx="4045">
                  <c:v>56.548056000000003</c:v>
                </c:pt>
                <c:pt idx="4047">
                  <c:v>56.628610999999999</c:v>
                </c:pt>
                <c:pt idx="4048">
                  <c:v>56.590277999999998</c:v>
                </c:pt>
                <c:pt idx="4049">
                  <c:v>56.571111000000002</c:v>
                </c:pt>
                <c:pt idx="4050">
                  <c:v>56.555556000000003</c:v>
                </c:pt>
                <c:pt idx="4051">
                  <c:v>56.586388999999997</c:v>
                </c:pt>
                <c:pt idx="4052">
                  <c:v>56.630277999999997</c:v>
                </c:pt>
                <c:pt idx="4053">
                  <c:v>56.658056000000002</c:v>
                </c:pt>
                <c:pt idx="4054">
                  <c:v>56.680556000000003</c:v>
                </c:pt>
                <c:pt idx="4056">
                  <c:v>56.800556</c:v>
                </c:pt>
                <c:pt idx="4058">
                  <c:v>56.837221999999997</c:v>
                </c:pt>
                <c:pt idx="4060">
                  <c:v>56.871389000000001</c:v>
                </c:pt>
                <c:pt idx="4061">
                  <c:v>56.894722000000002</c:v>
                </c:pt>
                <c:pt idx="4062">
                  <c:v>56.930556000000003</c:v>
                </c:pt>
                <c:pt idx="4063">
                  <c:v>56.921111000000003</c:v>
                </c:pt>
                <c:pt idx="4065">
                  <c:v>56.949167000000003</c:v>
                </c:pt>
                <c:pt idx="4066">
                  <c:v>56.946666999999998</c:v>
                </c:pt>
                <c:pt idx="4067">
                  <c:v>56.979444000000001</c:v>
                </c:pt>
                <c:pt idx="4068">
                  <c:v>57.009166999999998</c:v>
                </c:pt>
                <c:pt idx="4069">
                  <c:v>57.041666999999997</c:v>
                </c:pt>
                <c:pt idx="4070">
                  <c:v>57.051389</c:v>
                </c:pt>
                <c:pt idx="4071">
                  <c:v>57.020555999999999</c:v>
                </c:pt>
                <c:pt idx="4073">
                  <c:v>57.041666999999997</c:v>
                </c:pt>
                <c:pt idx="4074">
                  <c:v>57.059167000000002</c:v>
                </c:pt>
                <c:pt idx="4075">
                  <c:v>57.055556000000003</c:v>
                </c:pt>
                <c:pt idx="4077">
                  <c:v>57.041944000000001</c:v>
                </c:pt>
                <c:pt idx="4079">
                  <c:v>57.512222000000001</c:v>
                </c:pt>
                <c:pt idx="4080">
                  <c:v>57.454166999999998</c:v>
                </c:pt>
                <c:pt idx="4081">
                  <c:v>57.406388999999997</c:v>
                </c:pt>
                <c:pt idx="4082">
                  <c:v>57.394167000000003</c:v>
                </c:pt>
                <c:pt idx="4083">
                  <c:v>57.350555999999997</c:v>
                </c:pt>
                <c:pt idx="4084">
                  <c:v>57.307499999999997</c:v>
                </c:pt>
                <c:pt idx="4085">
                  <c:v>57.275832999999999</c:v>
                </c:pt>
                <c:pt idx="4086">
                  <c:v>57.272778000000002</c:v>
                </c:pt>
                <c:pt idx="4087">
                  <c:v>57.25</c:v>
                </c:pt>
                <c:pt idx="4088">
                  <c:v>57.246943999999999</c:v>
                </c:pt>
                <c:pt idx="4089">
                  <c:v>57.268056000000001</c:v>
                </c:pt>
                <c:pt idx="4090">
                  <c:v>57.262222000000001</c:v>
                </c:pt>
                <c:pt idx="4091">
                  <c:v>57.235833</c:v>
                </c:pt>
                <c:pt idx="4092">
                  <c:v>57.191389000000001</c:v>
                </c:pt>
                <c:pt idx="4093">
                  <c:v>57.168332999999997</c:v>
                </c:pt>
                <c:pt idx="4094">
                  <c:v>57.131667</c:v>
                </c:pt>
                <c:pt idx="4095">
                  <c:v>57.099167000000001</c:v>
                </c:pt>
                <c:pt idx="4096">
                  <c:v>57.057222000000003</c:v>
                </c:pt>
                <c:pt idx="4097">
                  <c:v>57.028333000000003</c:v>
                </c:pt>
                <c:pt idx="4098">
                  <c:v>57.030833000000001</c:v>
                </c:pt>
                <c:pt idx="4099">
                  <c:v>57.08</c:v>
                </c:pt>
                <c:pt idx="4100">
                  <c:v>57.126944000000002</c:v>
                </c:pt>
                <c:pt idx="4101">
                  <c:v>57.158889000000002</c:v>
                </c:pt>
                <c:pt idx="4102">
                  <c:v>57.181389000000003</c:v>
                </c:pt>
                <c:pt idx="4103">
                  <c:v>57.171111000000003</c:v>
                </c:pt>
                <c:pt idx="4104">
                  <c:v>57.188889000000003</c:v>
                </c:pt>
                <c:pt idx="4105">
                  <c:v>57.189166999999998</c:v>
                </c:pt>
                <c:pt idx="4106">
                  <c:v>57.143056000000001</c:v>
                </c:pt>
                <c:pt idx="4107">
                  <c:v>57.150278</c:v>
                </c:pt>
                <c:pt idx="4108">
                  <c:v>57.186943999999997</c:v>
                </c:pt>
                <c:pt idx="4109">
                  <c:v>57.169167000000002</c:v>
                </c:pt>
                <c:pt idx="4110">
                  <c:v>57.161389</c:v>
                </c:pt>
                <c:pt idx="4111">
                  <c:v>57.189722000000003</c:v>
                </c:pt>
                <c:pt idx="4112">
                  <c:v>57.206667000000003</c:v>
                </c:pt>
                <c:pt idx="4113">
                  <c:v>57.232500000000002</c:v>
                </c:pt>
                <c:pt idx="4114">
                  <c:v>57.258056000000003</c:v>
                </c:pt>
                <c:pt idx="4115">
                  <c:v>57.298611000000001</c:v>
                </c:pt>
                <c:pt idx="4116">
                  <c:v>57.331944</c:v>
                </c:pt>
                <c:pt idx="4117">
                  <c:v>57.300277999999999</c:v>
                </c:pt>
                <c:pt idx="4118">
                  <c:v>57.311943999999997</c:v>
                </c:pt>
                <c:pt idx="4119">
                  <c:v>57.351944000000003</c:v>
                </c:pt>
                <c:pt idx="4120">
                  <c:v>57.355832999999997</c:v>
                </c:pt>
                <c:pt idx="4121">
                  <c:v>57.395555999999999</c:v>
                </c:pt>
                <c:pt idx="4122">
                  <c:v>57.385832999999998</c:v>
                </c:pt>
                <c:pt idx="4123">
                  <c:v>57.385278</c:v>
                </c:pt>
                <c:pt idx="4124">
                  <c:v>57.346389000000002</c:v>
                </c:pt>
                <c:pt idx="4125">
                  <c:v>57.346389000000002</c:v>
                </c:pt>
                <c:pt idx="4126">
                  <c:v>57.363889</c:v>
                </c:pt>
                <c:pt idx="4127">
                  <c:v>57.407778</c:v>
                </c:pt>
                <c:pt idx="4128">
                  <c:v>57.438333</c:v>
                </c:pt>
                <c:pt idx="4129">
                  <c:v>57.448056000000001</c:v>
                </c:pt>
                <c:pt idx="4130">
                  <c:v>57.493611000000001</c:v>
                </c:pt>
                <c:pt idx="4131">
                  <c:v>57.477221999999998</c:v>
                </c:pt>
                <c:pt idx="4132">
                  <c:v>57.436943999999997</c:v>
                </c:pt>
                <c:pt idx="4133">
                  <c:v>57.444167</c:v>
                </c:pt>
                <c:pt idx="4134">
                  <c:v>57.489167000000002</c:v>
                </c:pt>
                <c:pt idx="4135">
                  <c:v>57.502499999999998</c:v>
                </c:pt>
                <c:pt idx="4136">
                  <c:v>57.539721999999998</c:v>
                </c:pt>
                <c:pt idx="4137">
                  <c:v>57.592500000000001</c:v>
                </c:pt>
                <c:pt idx="4138">
                  <c:v>57.576388999999999</c:v>
                </c:pt>
                <c:pt idx="4139">
                  <c:v>57.535832999999997</c:v>
                </c:pt>
                <c:pt idx="4140">
                  <c:v>57.501111000000002</c:v>
                </c:pt>
                <c:pt idx="4141">
                  <c:v>57.496943999999999</c:v>
                </c:pt>
                <c:pt idx="4142">
                  <c:v>57.500556000000003</c:v>
                </c:pt>
                <c:pt idx="4143">
                  <c:v>57.497500000000002</c:v>
                </c:pt>
                <c:pt idx="4144">
                  <c:v>57.483333000000002</c:v>
                </c:pt>
                <c:pt idx="4145">
                  <c:v>57.518889000000001</c:v>
                </c:pt>
                <c:pt idx="4146">
                  <c:v>57.564444000000002</c:v>
                </c:pt>
                <c:pt idx="4147">
                  <c:v>57.603056000000002</c:v>
                </c:pt>
                <c:pt idx="4148">
                  <c:v>57.647778000000002</c:v>
                </c:pt>
                <c:pt idx="4149">
                  <c:v>57.685000000000002</c:v>
                </c:pt>
                <c:pt idx="4150">
                  <c:v>57.695833</c:v>
                </c:pt>
                <c:pt idx="4151">
                  <c:v>57.663888999999998</c:v>
                </c:pt>
                <c:pt idx="4152">
                  <c:v>57.624443999999997</c:v>
                </c:pt>
                <c:pt idx="4153">
                  <c:v>57.581944</c:v>
                </c:pt>
                <c:pt idx="4155">
                  <c:v>57.342778000000003</c:v>
                </c:pt>
                <c:pt idx="4157">
                  <c:v>57.273055999999997</c:v>
                </c:pt>
                <c:pt idx="4158">
                  <c:v>57.318333000000003</c:v>
                </c:pt>
                <c:pt idx="4159">
                  <c:v>57.307222000000003</c:v>
                </c:pt>
                <c:pt idx="4161">
                  <c:v>57.516111000000002</c:v>
                </c:pt>
                <c:pt idx="4162">
                  <c:v>57.543056</c:v>
                </c:pt>
                <c:pt idx="4163">
                  <c:v>57.580832999999998</c:v>
                </c:pt>
                <c:pt idx="4165">
                  <c:v>57.441389000000001</c:v>
                </c:pt>
                <c:pt idx="4166">
                  <c:v>57.39</c:v>
                </c:pt>
                <c:pt idx="4167">
                  <c:v>57.342222</c:v>
                </c:pt>
                <c:pt idx="4168">
                  <c:v>57.336111000000002</c:v>
                </c:pt>
                <c:pt idx="4169">
                  <c:v>57.387222000000001</c:v>
                </c:pt>
                <c:pt idx="4170">
                  <c:v>57.445833</c:v>
                </c:pt>
                <c:pt idx="4171">
                  <c:v>57.481667000000002</c:v>
                </c:pt>
                <c:pt idx="4173">
                  <c:v>57.891388999999997</c:v>
                </c:pt>
                <c:pt idx="4175">
                  <c:v>57.839722000000002</c:v>
                </c:pt>
                <c:pt idx="4177">
                  <c:v>57.892221999999997</c:v>
                </c:pt>
                <c:pt idx="4179">
                  <c:v>58.021110999999998</c:v>
                </c:pt>
                <c:pt idx="4181">
                  <c:v>57.952500000000001</c:v>
                </c:pt>
                <c:pt idx="4183">
                  <c:v>58.374721999999998</c:v>
                </c:pt>
                <c:pt idx="4185">
                  <c:v>58.361389000000003</c:v>
                </c:pt>
                <c:pt idx="4186">
                  <c:v>58.326667</c:v>
                </c:pt>
                <c:pt idx="4187">
                  <c:v>58.296111000000003</c:v>
                </c:pt>
                <c:pt idx="4188">
                  <c:v>58.258611000000002</c:v>
                </c:pt>
                <c:pt idx="4189">
                  <c:v>58.225833000000002</c:v>
                </c:pt>
                <c:pt idx="4190">
                  <c:v>58.199722000000001</c:v>
                </c:pt>
                <c:pt idx="4191">
                  <c:v>58.225278000000003</c:v>
                </c:pt>
                <c:pt idx="4192">
                  <c:v>58.253889000000001</c:v>
                </c:pt>
                <c:pt idx="4193">
                  <c:v>58.208055999999999</c:v>
                </c:pt>
                <c:pt idx="4194">
                  <c:v>58.176943999999999</c:v>
                </c:pt>
                <c:pt idx="4195">
                  <c:v>58.191389000000001</c:v>
                </c:pt>
                <c:pt idx="4196">
                  <c:v>58.194443999999997</c:v>
                </c:pt>
                <c:pt idx="4197">
                  <c:v>58.166944000000001</c:v>
                </c:pt>
                <c:pt idx="4198">
                  <c:v>58.122222000000001</c:v>
                </c:pt>
                <c:pt idx="4199">
                  <c:v>58.100555999999997</c:v>
                </c:pt>
                <c:pt idx="4200">
                  <c:v>58.079444000000002</c:v>
                </c:pt>
                <c:pt idx="4201">
                  <c:v>58.082222000000002</c:v>
                </c:pt>
                <c:pt idx="4202">
                  <c:v>58.090833000000003</c:v>
                </c:pt>
                <c:pt idx="4203">
                  <c:v>58.047221999999998</c:v>
                </c:pt>
                <c:pt idx="4204">
                  <c:v>58.000278000000002</c:v>
                </c:pt>
                <c:pt idx="4205">
                  <c:v>58.006943999999997</c:v>
                </c:pt>
                <c:pt idx="4206">
                  <c:v>58.001944000000002</c:v>
                </c:pt>
                <c:pt idx="4207">
                  <c:v>57.967222</c:v>
                </c:pt>
                <c:pt idx="4208">
                  <c:v>57.931111000000001</c:v>
                </c:pt>
                <c:pt idx="4209">
                  <c:v>57.914444000000003</c:v>
                </c:pt>
                <c:pt idx="4210">
                  <c:v>57.942500000000003</c:v>
                </c:pt>
                <c:pt idx="4211">
                  <c:v>57.921388999999998</c:v>
                </c:pt>
                <c:pt idx="4212">
                  <c:v>57.949167000000003</c:v>
                </c:pt>
                <c:pt idx="4213">
                  <c:v>57.996110999999999</c:v>
                </c:pt>
                <c:pt idx="4214">
                  <c:v>58.031111000000003</c:v>
                </c:pt>
                <c:pt idx="4215">
                  <c:v>57.983611000000003</c:v>
                </c:pt>
                <c:pt idx="4216">
                  <c:v>57.933610999999999</c:v>
                </c:pt>
                <c:pt idx="4217">
                  <c:v>57.898888999999997</c:v>
                </c:pt>
                <c:pt idx="4218">
                  <c:v>57.881667</c:v>
                </c:pt>
                <c:pt idx="4219">
                  <c:v>57.874167</c:v>
                </c:pt>
                <c:pt idx="4220">
                  <c:v>57.837221999999997</c:v>
                </c:pt>
                <c:pt idx="4221">
                  <c:v>57.813889000000003</c:v>
                </c:pt>
                <c:pt idx="4222">
                  <c:v>57.811943999999997</c:v>
                </c:pt>
                <c:pt idx="4223">
                  <c:v>57.769444</c:v>
                </c:pt>
                <c:pt idx="4224">
                  <c:v>57.738332999999997</c:v>
                </c:pt>
                <c:pt idx="4225">
                  <c:v>57.743056000000003</c:v>
                </c:pt>
                <c:pt idx="4226">
                  <c:v>57.769167000000003</c:v>
                </c:pt>
                <c:pt idx="4227">
                  <c:v>57.806666999999997</c:v>
                </c:pt>
                <c:pt idx="4228">
                  <c:v>57.831944</c:v>
                </c:pt>
                <c:pt idx="4229">
                  <c:v>57.802500000000002</c:v>
                </c:pt>
                <c:pt idx="4230">
                  <c:v>57.840833000000003</c:v>
                </c:pt>
                <c:pt idx="4231">
                  <c:v>57.864443999999999</c:v>
                </c:pt>
                <c:pt idx="4232">
                  <c:v>57.888888999999999</c:v>
                </c:pt>
                <c:pt idx="4233">
                  <c:v>57.895833000000003</c:v>
                </c:pt>
                <c:pt idx="4234">
                  <c:v>57.908056000000002</c:v>
                </c:pt>
                <c:pt idx="4235">
                  <c:v>57.933332999999998</c:v>
                </c:pt>
                <c:pt idx="4236">
                  <c:v>57.954444000000002</c:v>
                </c:pt>
                <c:pt idx="4237">
                  <c:v>57.960555999999997</c:v>
                </c:pt>
                <c:pt idx="4238">
                  <c:v>57.994722000000003</c:v>
                </c:pt>
                <c:pt idx="4239">
                  <c:v>58.013610999999997</c:v>
                </c:pt>
                <c:pt idx="4240">
                  <c:v>58.036110999999998</c:v>
                </c:pt>
                <c:pt idx="4241">
                  <c:v>58.056666999999997</c:v>
                </c:pt>
                <c:pt idx="4242">
                  <c:v>58.1</c:v>
                </c:pt>
                <c:pt idx="4243">
                  <c:v>58.142499999999998</c:v>
                </c:pt>
                <c:pt idx="4244">
                  <c:v>58.174999999999997</c:v>
                </c:pt>
                <c:pt idx="4245">
                  <c:v>58.186110999999997</c:v>
                </c:pt>
                <c:pt idx="4246">
                  <c:v>58.226666999999999</c:v>
                </c:pt>
                <c:pt idx="4247">
                  <c:v>58.212221999999997</c:v>
                </c:pt>
                <c:pt idx="4248">
                  <c:v>58.205278</c:v>
                </c:pt>
                <c:pt idx="4249">
                  <c:v>58.175832999999997</c:v>
                </c:pt>
                <c:pt idx="4250">
                  <c:v>58.179721999999998</c:v>
                </c:pt>
                <c:pt idx="4251">
                  <c:v>58.179443999999997</c:v>
                </c:pt>
                <c:pt idx="4252">
                  <c:v>58.178610999999997</c:v>
                </c:pt>
                <c:pt idx="4253">
                  <c:v>58.209443999999998</c:v>
                </c:pt>
                <c:pt idx="4254">
                  <c:v>58.25</c:v>
                </c:pt>
                <c:pt idx="4255">
                  <c:v>58.284722000000002</c:v>
                </c:pt>
                <c:pt idx="4256">
                  <c:v>58.3125</c:v>
                </c:pt>
                <c:pt idx="4257">
                  <c:v>58.333888999999999</c:v>
                </c:pt>
                <c:pt idx="4258">
                  <c:v>58.342500000000001</c:v>
                </c:pt>
                <c:pt idx="4259">
                  <c:v>58.354166999999997</c:v>
                </c:pt>
                <c:pt idx="4260">
                  <c:v>58.395833000000003</c:v>
                </c:pt>
                <c:pt idx="4261">
                  <c:v>58.428055999999998</c:v>
                </c:pt>
                <c:pt idx="4262">
                  <c:v>58.454999999999998</c:v>
                </c:pt>
                <c:pt idx="4263">
                  <c:v>58.488332999999997</c:v>
                </c:pt>
                <c:pt idx="4264">
                  <c:v>58.4925</c:v>
                </c:pt>
                <c:pt idx="4265">
                  <c:v>58.454444000000002</c:v>
                </c:pt>
                <c:pt idx="4266">
                  <c:v>58.408611000000001</c:v>
                </c:pt>
                <c:pt idx="4268">
                  <c:v>58.203611000000002</c:v>
                </c:pt>
                <c:pt idx="4269">
                  <c:v>58.241943999999997</c:v>
                </c:pt>
                <c:pt idx="4270">
                  <c:v>58.224443999999998</c:v>
                </c:pt>
                <c:pt idx="4272">
                  <c:v>58.026111</c:v>
                </c:pt>
                <c:pt idx="4273">
                  <c:v>58.013888999999999</c:v>
                </c:pt>
                <c:pt idx="4275">
                  <c:v>57.877777999999999</c:v>
                </c:pt>
                <c:pt idx="4276">
                  <c:v>57.901111</c:v>
                </c:pt>
                <c:pt idx="4277">
                  <c:v>57.893056000000001</c:v>
                </c:pt>
                <c:pt idx="4279">
                  <c:v>57.761111</c:v>
                </c:pt>
                <c:pt idx="4281">
                  <c:v>57.698889000000001</c:v>
                </c:pt>
                <c:pt idx="4282">
                  <c:v>57.733333000000002</c:v>
                </c:pt>
                <c:pt idx="4284">
                  <c:v>57.705278</c:v>
                </c:pt>
                <c:pt idx="4286">
                  <c:v>57.813889000000003</c:v>
                </c:pt>
                <c:pt idx="4287">
                  <c:v>57.816110999999999</c:v>
                </c:pt>
                <c:pt idx="4289">
                  <c:v>57.621110999999999</c:v>
                </c:pt>
                <c:pt idx="4290">
                  <c:v>57.616388999999998</c:v>
                </c:pt>
                <c:pt idx="4291">
                  <c:v>57.587499999999999</c:v>
                </c:pt>
                <c:pt idx="4292">
                  <c:v>57.5625</c:v>
                </c:pt>
                <c:pt idx="4293">
                  <c:v>57.552222</c:v>
                </c:pt>
                <c:pt idx="4294">
                  <c:v>57.556666999999997</c:v>
                </c:pt>
                <c:pt idx="4295">
                  <c:v>57.528055999999999</c:v>
                </c:pt>
                <c:pt idx="4296">
                  <c:v>57.516666999999998</c:v>
                </c:pt>
                <c:pt idx="4297">
                  <c:v>57.554721999999998</c:v>
                </c:pt>
                <c:pt idx="4298">
                  <c:v>57.566943999999999</c:v>
                </c:pt>
                <c:pt idx="4299">
                  <c:v>57.580556000000001</c:v>
                </c:pt>
                <c:pt idx="4300">
                  <c:v>57.616110999999997</c:v>
                </c:pt>
                <c:pt idx="4301">
                  <c:v>57.653610999999998</c:v>
                </c:pt>
                <c:pt idx="4302">
                  <c:v>57.658332999999999</c:v>
                </c:pt>
                <c:pt idx="4303">
                  <c:v>57.630555999999999</c:v>
                </c:pt>
                <c:pt idx="4304">
                  <c:v>57.664166999999999</c:v>
                </c:pt>
                <c:pt idx="4305">
                  <c:v>57.660277999999998</c:v>
                </c:pt>
                <c:pt idx="4306">
                  <c:v>57.630833000000003</c:v>
                </c:pt>
                <c:pt idx="4307">
                  <c:v>57.667777999999998</c:v>
                </c:pt>
                <c:pt idx="4308">
                  <c:v>57.671666999999999</c:v>
                </c:pt>
                <c:pt idx="4309">
                  <c:v>57.643332999999998</c:v>
                </c:pt>
                <c:pt idx="4310">
                  <c:v>57.639167</c:v>
                </c:pt>
                <c:pt idx="4312">
                  <c:v>57.559167000000002</c:v>
                </c:pt>
                <c:pt idx="4314">
                  <c:v>57.518611</c:v>
                </c:pt>
                <c:pt idx="4316">
                  <c:v>57.521943999999998</c:v>
                </c:pt>
                <c:pt idx="4318">
                  <c:v>57.499443999999997</c:v>
                </c:pt>
                <c:pt idx="4319">
                  <c:v>57.539721999999998</c:v>
                </c:pt>
                <c:pt idx="4321">
                  <c:v>57.400556000000002</c:v>
                </c:pt>
                <c:pt idx="4322">
                  <c:v>57.411110999999998</c:v>
                </c:pt>
                <c:pt idx="4323">
                  <c:v>57.443888999999999</c:v>
                </c:pt>
                <c:pt idx="4324">
                  <c:v>57.483333000000002</c:v>
                </c:pt>
                <c:pt idx="4325">
                  <c:v>57.473610999999998</c:v>
                </c:pt>
                <c:pt idx="4326">
                  <c:v>57.442500000000003</c:v>
                </c:pt>
                <c:pt idx="4328">
                  <c:v>57.351388999999998</c:v>
                </c:pt>
                <c:pt idx="4329">
                  <c:v>57.380277999999997</c:v>
                </c:pt>
                <c:pt idx="4330">
                  <c:v>57.391388999999997</c:v>
                </c:pt>
                <c:pt idx="4331">
                  <c:v>57.364167000000002</c:v>
                </c:pt>
                <c:pt idx="4333">
                  <c:v>57.252777999999999</c:v>
                </c:pt>
                <c:pt idx="4334">
                  <c:v>57.228889000000002</c:v>
                </c:pt>
                <c:pt idx="4335">
                  <c:v>57.217500000000001</c:v>
                </c:pt>
                <c:pt idx="4336">
                  <c:v>57.187221999999998</c:v>
                </c:pt>
                <c:pt idx="4337">
                  <c:v>57.144722000000002</c:v>
                </c:pt>
                <c:pt idx="4338">
                  <c:v>57.145555999999999</c:v>
                </c:pt>
                <c:pt idx="4339">
                  <c:v>57.130833000000003</c:v>
                </c:pt>
                <c:pt idx="4340">
                  <c:v>57.093611000000003</c:v>
                </c:pt>
                <c:pt idx="4341">
                  <c:v>57.098332999999997</c:v>
                </c:pt>
                <c:pt idx="4342">
                  <c:v>57.117221999999998</c:v>
                </c:pt>
                <c:pt idx="4343">
                  <c:v>57.166389000000002</c:v>
                </c:pt>
                <c:pt idx="4344">
                  <c:v>57.220832999999999</c:v>
                </c:pt>
                <c:pt idx="4345">
                  <c:v>57.268332999999998</c:v>
                </c:pt>
                <c:pt idx="4346">
                  <c:v>57.316943999999999</c:v>
                </c:pt>
                <c:pt idx="4347">
                  <c:v>57.371667000000002</c:v>
                </c:pt>
                <c:pt idx="4348">
                  <c:v>57.348889</c:v>
                </c:pt>
                <c:pt idx="4349">
                  <c:v>57.328611000000002</c:v>
                </c:pt>
                <c:pt idx="4350">
                  <c:v>57.300277999999999</c:v>
                </c:pt>
                <c:pt idx="4352">
                  <c:v>57.063333</c:v>
                </c:pt>
                <c:pt idx="4353">
                  <c:v>57.085833000000001</c:v>
                </c:pt>
                <c:pt idx="4355">
                  <c:v>57.046666999999999</c:v>
                </c:pt>
                <c:pt idx="4357">
                  <c:v>57.003056000000001</c:v>
                </c:pt>
                <c:pt idx="4358">
                  <c:v>56.970556000000002</c:v>
                </c:pt>
                <c:pt idx="4359">
                  <c:v>56.941943999999999</c:v>
                </c:pt>
                <c:pt idx="4360">
                  <c:v>56.951388999999999</c:v>
                </c:pt>
                <c:pt idx="4361">
                  <c:v>56.99</c:v>
                </c:pt>
                <c:pt idx="4362">
                  <c:v>57.014167</c:v>
                </c:pt>
                <c:pt idx="4363">
                  <c:v>57.055278000000001</c:v>
                </c:pt>
                <c:pt idx="4365">
                  <c:v>56.91</c:v>
                </c:pt>
                <c:pt idx="4366">
                  <c:v>56.938333</c:v>
                </c:pt>
                <c:pt idx="4367">
                  <c:v>56.930278000000001</c:v>
                </c:pt>
                <c:pt idx="4369">
                  <c:v>56.895000000000003</c:v>
                </c:pt>
                <c:pt idx="4371">
                  <c:v>56.851944000000003</c:v>
                </c:pt>
                <c:pt idx="4373">
                  <c:v>56.783611000000001</c:v>
                </c:pt>
                <c:pt idx="4374">
                  <c:v>56.823332999999998</c:v>
                </c:pt>
                <c:pt idx="4376">
                  <c:v>57.406666999999999</c:v>
                </c:pt>
                <c:pt idx="4378">
                  <c:v>57.482500000000002</c:v>
                </c:pt>
                <c:pt idx="4380">
                  <c:v>57.482778000000003</c:v>
                </c:pt>
                <c:pt idx="4382">
                  <c:v>57.508333</c:v>
                </c:pt>
                <c:pt idx="4383">
                  <c:v>57.543889</c:v>
                </c:pt>
                <c:pt idx="4385">
                  <c:v>57.504167000000002</c:v>
                </c:pt>
                <c:pt idx="4386">
                  <c:v>57.531111000000003</c:v>
                </c:pt>
                <c:pt idx="4388">
                  <c:v>55.745556000000001</c:v>
                </c:pt>
                <c:pt idx="4389">
                  <c:v>55.772778000000002</c:v>
                </c:pt>
                <c:pt idx="4391">
                  <c:v>60.808332999999998</c:v>
                </c:pt>
                <c:pt idx="4392">
                  <c:v>60.790556000000002</c:v>
                </c:pt>
                <c:pt idx="4393">
                  <c:v>60.837221999999997</c:v>
                </c:pt>
                <c:pt idx="4394">
                  <c:v>60.810277999999997</c:v>
                </c:pt>
                <c:pt idx="4395">
                  <c:v>60.766666999999998</c:v>
                </c:pt>
                <c:pt idx="4396">
                  <c:v>60.718888999999997</c:v>
                </c:pt>
                <c:pt idx="4397">
                  <c:v>60.685277999999997</c:v>
                </c:pt>
                <c:pt idx="4398">
                  <c:v>60.683056000000001</c:v>
                </c:pt>
                <c:pt idx="4399">
                  <c:v>60.698056000000001</c:v>
                </c:pt>
                <c:pt idx="4400">
                  <c:v>60.742778000000001</c:v>
                </c:pt>
                <c:pt idx="4401">
                  <c:v>60.779167000000001</c:v>
                </c:pt>
                <c:pt idx="4402">
                  <c:v>60.806389000000003</c:v>
                </c:pt>
                <c:pt idx="4403">
                  <c:v>60.837221999999997</c:v>
                </c:pt>
                <c:pt idx="4405">
                  <c:v>60.599167000000001</c:v>
                </c:pt>
                <c:pt idx="4407">
                  <c:v>60.606667000000002</c:v>
                </c:pt>
                <c:pt idx="4408">
                  <c:v>60.619166999999997</c:v>
                </c:pt>
                <c:pt idx="4409">
                  <c:v>60.601666999999999</c:v>
                </c:pt>
                <c:pt idx="4410">
                  <c:v>60.561943999999997</c:v>
                </c:pt>
                <c:pt idx="4411">
                  <c:v>60.582777999999998</c:v>
                </c:pt>
                <c:pt idx="4413">
                  <c:v>60.412222</c:v>
                </c:pt>
                <c:pt idx="4415">
                  <c:v>60.381388999999999</c:v>
                </c:pt>
                <c:pt idx="4416">
                  <c:v>60.340277999999998</c:v>
                </c:pt>
                <c:pt idx="4417">
                  <c:v>60.341388999999999</c:v>
                </c:pt>
                <c:pt idx="4419">
                  <c:v>60.172221999999998</c:v>
                </c:pt>
                <c:pt idx="4420">
                  <c:v>60.169443999999999</c:v>
                </c:pt>
                <c:pt idx="4421">
                  <c:v>60.118611000000001</c:v>
                </c:pt>
                <c:pt idx="4422">
                  <c:v>60.125278000000002</c:v>
                </c:pt>
                <c:pt idx="4424">
                  <c:v>60.482778000000003</c:v>
                </c:pt>
                <c:pt idx="4425">
                  <c:v>60.476388999999998</c:v>
                </c:pt>
                <c:pt idx="4426">
                  <c:v>60.441110999999999</c:v>
                </c:pt>
                <c:pt idx="4427">
                  <c:v>60.422499999999999</c:v>
                </c:pt>
                <c:pt idx="4428">
                  <c:v>60.408611000000001</c:v>
                </c:pt>
                <c:pt idx="4429">
                  <c:v>60.452221999999999</c:v>
                </c:pt>
                <c:pt idx="4430">
                  <c:v>60.488056</c:v>
                </c:pt>
                <c:pt idx="4431">
                  <c:v>60.513610999999997</c:v>
                </c:pt>
                <c:pt idx="4432">
                  <c:v>60.540278000000001</c:v>
                </c:pt>
                <c:pt idx="4433">
                  <c:v>60.586944000000003</c:v>
                </c:pt>
                <c:pt idx="4434">
                  <c:v>60.634166999999998</c:v>
                </c:pt>
                <c:pt idx="4435">
                  <c:v>60.594721999999997</c:v>
                </c:pt>
                <c:pt idx="4436">
                  <c:v>60.6</c:v>
                </c:pt>
                <c:pt idx="4437">
                  <c:v>60.562221999999998</c:v>
                </c:pt>
                <c:pt idx="4438">
                  <c:v>60.523611000000002</c:v>
                </c:pt>
                <c:pt idx="4439">
                  <c:v>60.501666999999998</c:v>
                </c:pt>
                <c:pt idx="4440">
                  <c:v>60.526667000000003</c:v>
                </c:pt>
                <c:pt idx="4441">
                  <c:v>60.539444000000003</c:v>
                </c:pt>
                <c:pt idx="4442">
                  <c:v>60.498888999999998</c:v>
                </c:pt>
                <c:pt idx="4443">
                  <c:v>60.475555999999997</c:v>
                </c:pt>
                <c:pt idx="4444">
                  <c:v>60.478332999999999</c:v>
                </c:pt>
                <c:pt idx="4445">
                  <c:v>60.470832999999999</c:v>
                </c:pt>
                <c:pt idx="4446">
                  <c:v>60.450833000000003</c:v>
                </c:pt>
                <c:pt idx="4447">
                  <c:v>60.416944000000001</c:v>
                </c:pt>
                <c:pt idx="4448">
                  <c:v>60.377499999999998</c:v>
                </c:pt>
                <c:pt idx="4449">
                  <c:v>60.366110999999997</c:v>
                </c:pt>
                <c:pt idx="4450">
                  <c:v>60.354166999999997</c:v>
                </c:pt>
                <c:pt idx="4451">
                  <c:v>60.341943999999998</c:v>
                </c:pt>
                <c:pt idx="4452">
                  <c:v>60.296666999999999</c:v>
                </c:pt>
                <c:pt idx="4453">
                  <c:v>60.315277999999999</c:v>
                </c:pt>
                <c:pt idx="4454">
                  <c:v>60.304721999999998</c:v>
                </c:pt>
                <c:pt idx="4455">
                  <c:v>60.293056</c:v>
                </c:pt>
                <c:pt idx="4456">
                  <c:v>60.308332999999998</c:v>
                </c:pt>
                <c:pt idx="4457">
                  <c:v>60.286667000000001</c:v>
                </c:pt>
                <c:pt idx="4458">
                  <c:v>60.303888999999998</c:v>
                </c:pt>
                <c:pt idx="4459">
                  <c:v>60.271388999999999</c:v>
                </c:pt>
                <c:pt idx="4460">
                  <c:v>60.224443999999998</c:v>
                </c:pt>
                <c:pt idx="4461">
                  <c:v>60.221111000000001</c:v>
                </c:pt>
                <c:pt idx="4462">
                  <c:v>60.214444</c:v>
                </c:pt>
                <c:pt idx="4463">
                  <c:v>60.219721999999997</c:v>
                </c:pt>
                <c:pt idx="4464">
                  <c:v>60.194443999999997</c:v>
                </c:pt>
                <c:pt idx="4465">
                  <c:v>60.158611000000001</c:v>
                </c:pt>
                <c:pt idx="4466">
                  <c:v>60.179721999999998</c:v>
                </c:pt>
                <c:pt idx="4467">
                  <c:v>60.210278000000002</c:v>
                </c:pt>
                <c:pt idx="4468">
                  <c:v>60.221666999999997</c:v>
                </c:pt>
                <c:pt idx="4469">
                  <c:v>60.254167000000002</c:v>
                </c:pt>
                <c:pt idx="4470">
                  <c:v>60.215833000000003</c:v>
                </c:pt>
                <c:pt idx="4471">
                  <c:v>60.235833</c:v>
                </c:pt>
                <c:pt idx="4472">
                  <c:v>60.208888999999999</c:v>
                </c:pt>
                <c:pt idx="4473">
                  <c:v>60.170278000000003</c:v>
                </c:pt>
                <c:pt idx="4474">
                  <c:v>60.153610999999998</c:v>
                </c:pt>
                <c:pt idx="4475">
                  <c:v>60.102499999999999</c:v>
                </c:pt>
                <c:pt idx="4476">
                  <c:v>60.039444000000003</c:v>
                </c:pt>
                <c:pt idx="4477">
                  <c:v>59.989167000000002</c:v>
                </c:pt>
                <c:pt idx="4478">
                  <c:v>59.955832999999998</c:v>
                </c:pt>
                <c:pt idx="4479">
                  <c:v>59.912222</c:v>
                </c:pt>
                <c:pt idx="4480">
                  <c:v>59.885278</c:v>
                </c:pt>
                <c:pt idx="4481">
                  <c:v>59.860278000000001</c:v>
                </c:pt>
                <c:pt idx="4482">
                  <c:v>59.862222000000003</c:v>
                </c:pt>
                <c:pt idx="4483">
                  <c:v>59.917777999999998</c:v>
                </c:pt>
                <c:pt idx="4484">
                  <c:v>59.966943999999998</c:v>
                </c:pt>
                <c:pt idx="4485">
                  <c:v>59.984721999999998</c:v>
                </c:pt>
                <c:pt idx="4486">
                  <c:v>60.019444</c:v>
                </c:pt>
                <c:pt idx="4487">
                  <c:v>60.054167</c:v>
                </c:pt>
                <c:pt idx="4488">
                  <c:v>60.093611000000003</c:v>
                </c:pt>
                <c:pt idx="4489">
                  <c:v>60.127222000000003</c:v>
                </c:pt>
                <c:pt idx="4490">
                  <c:v>60.145000000000003</c:v>
                </c:pt>
                <c:pt idx="4491">
                  <c:v>60.178610999999997</c:v>
                </c:pt>
                <c:pt idx="4492">
                  <c:v>60.175556</c:v>
                </c:pt>
                <c:pt idx="4493">
                  <c:v>60.22</c:v>
                </c:pt>
                <c:pt idx="4494">
                  <c:v>60.228056000000002</c:v>
                </c:pt>
                <c:pt idx="4495">
                  <c:v>60.248610999999997</c:v>
                </c:pt>
                <c:pt idx="4496">
                  <c:v>60.249443999999997</c:v>
                </c:pt>
                <c:pt idx="4497">
                  <c:v>60.262500000000003</c:v>
                </c:pt>
                <c:pt idx="4498">
                  <c:v>60.286667000000001</c:v>
                </c:pt>
                <c:pt idx="4499">
                  <c:v>60.321389000000003</c:v>
                </c:pt>
                <c:pt idx="4500">
                  <c:v>60.339444</c:v>
                </c:pt>
                <c:pt idx="4501">
                  <c:v>60.350555999999997</c:v>
                </c:pt>
                <c:pt idx="4502">
                  <c:v>60.391944000000002</c:v>
                </c:pt>
                <c:pt idx="4503">
                  <c:v>60.398888999999997</c:v>
                </c:pt>
                <c:pt idx="4504">
                  <c:v>60.44</c:v>
                </c:pt>
                <c:pt idx="4505">
                  <c:v>60.414721999999998</c:v>
                </c:pt>
                <c:pt idx="4506">
                  <c:v>60.391388999999997</c:v>
                </c:pt>
                <c:pt idx="4507">
                  <c:v>60.402222000000002</c:v>
                </c:pt>
                <c:pt idx="4508">
                  <c:v>60.409166999999997</c:v>
                </c:pt>
                <c:pt idx="4509">
                  <c:v>60.431111000000001</c:v>
                </c:pt>
                <c:pt idx="4511">
                  <c:v>60.151944</c:v>
                </c:pt>
                <c:pt idx="4512">
                  <c:v>60.114722</c:v>
                </c:pt>
                <c:pt idx="4514">
                  <c:v>60.197499999999998</c:v>
                </c:pt>
                <c:pt idx="4516">
                  <c:v>60.318888999999999</c:v>
                </c:pt>
                <c:pt idx="4517">
                  <c:v>60.342500000000001</c:v>
                </c:pt>
                <c:pt idx="4519">
                  <c:v>60.332500000000003</c:v>
                </c:pt>
                <c:pt idx="4521">
                  <c:v>60.371667000000002</c:v>
                </c:pt>
                <c:pt idx="4522">
                  <c:v>60.351111000000003</c:v>
                </c:pt>
                <c:pt idx="4524">
                  <c:v>60.726944000000003</c:v>
                </c:pt>
                <c:pt idx="4525">
                  <c:v>60.691943999999999</c:v>
                </c:pt>
                <c:pt idx="4526">
                  <c:v>60.634999999999998</c:v>
                </c:pt>
                <c:pt idx="4527">
                  <c:v>60.619166999999997</c:v>
                </c:pt>
                <c:pt idx="4528">
                  <c:v>60.6325</c:v>
                </c:pt>
                <c:pt idx="4529">
                  <c:v>60.573889000000001</c:v>
                </c:pt>
                <c:pt idx="4530">
                  <c:v>60.518056000000001</c:v>
                </c:pt>
                <c:pt idx="4531">
                  <c:v>60.486389000000003</c:v>
                </c:pt>
                <c:pt idx="4532">
                  <c:v>60.498610999999997</c:v>
                </c:pt>
                <c:pt idx="4533">
                  <c:v>60.532221999999997</c:v>
                </c:pt>
                <c:pt idx="4534">
                  <c:v>60.574444</c:v>
                </c:pt>
                <c:pt idx="4535">
                  <c:v>60.608333000000002</c:v>
                </c:pt>
                <c:pt idx="4536">
                  <c:v>60.631943999999997</c:v>
                </c:pt>
                <c:pt idx="4537">
                  <c:v>60.65</c:v>
                </c:pt>
                <c:pt idx="4538">
                  <c:v>60.665556000000002</c:v>
                </c:pt>
                <c:pt idx="4539">
                  <c:v>60.716110999999998</c:v>
                </c:pt>
                <c:pt idx="4541">
                  <c:v>56.651389000000002</c:v>
                </c:pt>
                <c:pt idx="4543">
                  <c:v>56.523055999999997</c:v>
                </c:pt>
                <c:pt idx="4545">
                  <c:v>55.873333000000002</c:v>
                </c:pt>
                <c:pt idx="4547">
                  <c:v>55.421388999999998</c:v>
                </c:pt>
                <c:pt idx="4548">
                  <c:v>55.342500000000001</c:v>
                </c:pt>
                <c:pt idx="4549">
                  <c:v>55.384444000000002</c:v>
                </c:pt>
                <c:pt idx="4550">
                  <c:v>55.457777999999998</c:v>
                </c:pt>
                <c:pt idx="4552">
                  <c:v>55.284444000000001</c:v>
                </c:pt>
                <c:pt idx="4554">
                  <c:v>56.874443999999997</c:v>
                </c:pt>
                <c:pt idx="4555">
                  <c:v>56.805278000000001</c:v>
                </c:pt>
                <c:pt idx="4556">
                  <c:v>56.736389000000003</c:v>
                </c:pt>
                <c:pt idx="4557">
                  <c:v>56.674999999999997</c:v>
                </c:pt>
                <c:pt idx="4558">
                  <c:v>56.686110999999997</c:v>
                </c:pt>
                <c:pt idx="4559">
                  <c:v>56.716667000000001</c:v>
                </c:pt>
                <c:pt idx="4560">
                  <c:v>56.771388999999999</c:v>
                </c:pt>
                <c:pt idx="4561">
                  <c:v>56.811943999999997</c:v>
                </c:pt>
                <c:pt idx="4562">
                  <c:v>56.871389000000001</c:v>
                </c:pt>
                <c:pt idx="4563">
                  <c:v>56.889721999999999</c:v>
                </c:pt>
                <c:pt idx="4564">
                  <c:v>56.935555999999998</c:v>
                </c:pt>
                <c:pt idx="4566">
                  <c:v>62.970278</c:v>
                </c:pt>
                <c:pt idx="4568">
                  <c:v>62.988332999999997</c:v>
                </c:pt>
                <c:pt idx="4569">
                  <c:v>62.942777999999997</c:v>
                </c:pt>
                <c:pt idx="4570">
                  <c:v>62.976111000000003</c:v>
                </c:pt>
                <c:pt idx="4572">
                  <c:v>62.789721999999998</c:v>
                </c:pt>
                <c:pt idx="4573">
                  <c:v>62.805833</c:v>
                </c:pt>
                <c:pt idx="4574">
                  <c:v>62.847222000000002</c:v>
                </c:pt>
                <c:pt idx="4576">
                  <c:v>62.664999999999999</c:v>
                </c:pt>
                <c:pt idx="4578">
                  <c:v>62.670833000000002</c:v>
                </c:pt>
                <c:pt idx="4579">
                  <c:v>62.683889000000001</c:v>
                </c:pt>
                <c:pt idx="4580">
                  <c:v>62.716943999999998</c:v>
                </c:pt>
                <c:pt idx="4581">
                  <c:v>62.7425</c:v>
                </c:pt>
                <c:pt idx="4583">
                  <c:v>62.640555999999997</c:v>
                </c:pt>
                <c:pt idx="4584">
                  <c:v>62.668889</c:v>
                </c:pt>
                <c:pt idx="4586">
                  <c:v>62.740833000000002</c:v>
                </c:pt>
                <c:pt idx="4588">
                  <c:v>62.695833</c:v>
                </c:pt>
                <c:pt idx="4590">
                  <c:v>62.671388999999998</c:v>
                </c:pt>
                <c:pt idx="4591">
                  <c:v>62.66</c:v>
                </c:pt>
                <c:pt idx="4593">
                  <c:v>62.664999999999999</c:v>
                </c:pt>
                <c:pt idx="4595">
                  <c:v>62.623610999999997</c:v>
                </c:pt>
                <c:pt idx="4597">
                  <c:v>62.537778000000003</c:v>
                </c:pt>
                <c:pt idx="4598">
                  <c:v>62.57</c:v>
                </c:pt>
                <c:pt idx="4600">
                  <c:v>62.508889000000003</c:v>
                </c:pt>
                <c:pt idx="4602">
                  <c:v>62.487777999999999</c:v>
                </c:pt>
                <c:pt idx="4603">
                  <c:v>62.504722000000001</c:v>
                </c:pt>
                <c:pt idx="4604">
                  <c:v>62.497500000000002</c:v>
                </c:pt>
                <c:pt idx="4606">
                  <c:v>62.390555999999997</c:v>
                </c:pt>
                <c:pt idx="4607">
                  <c:v>62.435555999999998</c:v>
                </c:pt>
                <c:pt idx="4608">
                  <c:v>62.436110999999997</c:v>
                </c:pt>
                <c:pt idx="4609">
                  <c:v>62.402500000000003</c:v>
                </c:pt>
                <c:pt idx="4611">
                  <c:v>62.282221999999997</c:v>
                </c:pt>
                <c:pt idx="4612">
                  <c:v>62.24</c:v>
                </c:pt>
                <c:pt idx="4613">
                  <c:v>62.309722000000001</c:v>
                </c:pt>
                <c:pt idx="4614">
                  <c:v>62.381110999999997</c:v>
                </c:pt>
                <c:pt idx="4615">
                  <c:v>62.426943999999999</c:v>
                </c:pt>
                <c:pt idx="4616">
                  <c:v>62.358611000000003</c:v>
                </c:pt>
                <c:pt idx="4618">
                  <c:v>62.200277999999997</c:v>
                </c:pt>
                <c:pt idx="4619">
                  <c:v>62.185277999999997</c:v>
                </c:pt>
                <c:pt idx="4620">
                  <c:v>62.219444000000003</c:v>
                </c:pt>
                <c:pt idx="4621">
                  <c:v>62.246389000000001</c:v>
                </c:pt>
                <c:pt idx="4622">
                  <c:v>62.289721999999998</c:v>
                </c:pt>
                <c:pt idx="4623">
                  <c:v>62.278055999999999</c:v>
                </c:pt>
                <c:pt idx="4625">
                  <c:v>62.213611</c:v>
                </c:pt>
                <c:pt idx="4627">
                  <c:v>62.480556</c:v>
                </c:pt>
                <c:pt idx="4629">
                  <c:v>62.453611000000002</c:v>
                </c:pt>
                <c:pt idx="4631">
                  <c:v>62.317500000000003</c:v>
                </c:pt>
                <c:pt idx="4633">
                  <c:v>62.395833000000003</c:v>
                </c:pt>
                <c:pt idx="4635">
                  <c:v>62.356110999999999</c:v>
                </c:pt>
                <c:pt idx="4637">
                  <c:v>62.324167000000003</c:v>
                </c:pt>
                <c:pt idx="4639">
                  <c:v>62.261389000000001</c:v>
                </c:pt>
                <c:pt idx="4641">
                  <c:v>61.928888999999998</c:v>
                </c:pt>
                <c:pt idx="4642">
                  <c:v>61.960555999999997</c:v>
                </c:pt>
                <c:pt idx="4643">
                  <c:v>62.020555999999999</c:v>
                </c:pt>
                <c:pt idx="4644">
                  <c:v>61.999443999999997</c:v>
                </c:pt>
                <c:pt idx="4646">
                  <c:v>61.905278000000003</c:v>
                </c:pt>
                <c:pt idx="4648">
                  <c:v>61.877499999999998</c:v>
                </c:pt>
                <c:pt idx="4650">
                  <c:v>61.826943999999997</c:v>
                </c:pt>
                <c:pt idx="4651">
                  <c:v>61.810277999999997</c:v>
                </c:pt>
                <c:pt idx="4652">
                  <c:v>61.773055999999997</c:v>
                </c:pt>
                <c:pt idx="4653">
                  <c:v>61.815832999999998</c:v>
                </c:pt>
                <c:pt idx="4654">
                  <c:v>61.848889</c:v>
                </c:pt>
                <c:pt idx="4655">
                  <c:v>61.898888999999997</c:v>
                </c:pt>
                <c:pt idx="4656">
                  <c:v>61.870277999999999</c:v>
                </c:pt>
                <c:pt idx="4658">
                  <c:v>61.791111000000001</c:v>
                </c:pt>
                <c:pt idx="4660">
                  <c:v>61.690832999999998</c:v>
                </c:pt>
                <c:pt idx="4662">
                  <c:v>61.594999999999999</c:v>
                </c:pt>
                <c:pt idx="4664">
                  <c:v>61.561388999999998</c:v>
                </c:pt>
                <c:pt idx="4666">
                  <c:v>61.603332999999999</c:v>
                </c:pt>
                <c:pt idx="4668">
                  <c:v>61.568055999999999</c:v>
                </c:pt>
                <c:pt idx="4670">
                  <c:v>61.520833000000003</c:v>
                </c:pt>
                <c:pt idx="4672">
                  <c:v>61.490833000000002</c:v>
                </c:pt>
                <c:pt idx="4674">
                  <c:v>61.306111000000001</c:v>
                </c:pt>
                <c:pt idx="4675">
                  <c:v>61.367221999999998</c:v>
                </c:pt>
                <c:pt idx="4677">
                  <c:v>61.151111</c:v>
                </c:pt>
                <c:pt idx="4679">
                  <c:v>61.287222</c:v>
                </c:pt>
                <c:pt idx="4681">
                  <c:v>61.098889</c:v>
                </c:pt>
                <c:pt idx="4682">
                  <c:v>61.051389</c:v>
                </c:pt>
                <c:pt idx="4683">
                  <c:v>61.071666999999998</c:v>
                </c:pt>
                <c:pt idx="4684">
                  <c:v>61.105556</c:v>
                </c:pt>
                <c:pt idx="4685">
                  <c:v>61.147221999999999</c:v>
                </c:pt>
                <c:pt idx="4686">
                  <c:v>61.163333000000002</c:v>
                </c:pt>
                <c:pt idx="4687">
                  <c:v>61.157499999999999</c:v>
                </c:pt>
                <c:pt idx="4688">
                  <c:v>61.176110999999999</c:v>
                </c:pt>
                <c:pt idx="4690">
                  <c:v>61.059722000000001</c:v>
                </c:pt>
                <c:pt idx="4692">
                  <c:v>60.996667000000002</c:v>
                </c:pt>
                <c:pt idx="4693">
                  <c:v>61.003056000000001</c:v>
                </c:pt>
                <c:pt idx="4694">
                  <c:v>61.072221999999996</c:v>
                </c:pt>
                <c:pt idx="4696">
                  <c:v>60.971389000000002</c:v>
                </c:pt>
                <c:pt idx="4698">
                  <c:v>60.846111000000001</c:v>
                </c:pt>
                <c:pt idx="4699">
                  <c:v>60.914999999999999</c:v>
                </c:pt>
                <c:pt idx="4701">
                  <c:v>60.587221999999997</c:v>
                </c:pt>
                <c:pt idx="4702">
                  <c:v>60.490833000000002</c:v>
                </c:pt>
                <c:pt idx="4703">
                  <c:v>60.4375</c:v>
                </c:pt>
                <c:pt idx="4704">
                  <c:v>60.457777999999998</c:v>
                </c:pt>
                <c:pt idx="4705">
                  <c:v>60.516666999999998</c:v>
                </c:pt>
                <c:pt idx="4706">
                  <c:v>60.549166999999997</c:v>
                </c:pt>
                <c:pt idx="4707">
                  <c:v>60.601111000000003</c:v>
                </c:pt>
                <c:pt idx="4708">
                  <c:v>60.659166999999997</c:v>
                </c:pt>
                <c:pt idx="4709">
                  <c:v>60.674444000000001</c:v>
                </c:pt>
                <c:pt idx="4711">
                  <c:v>60.863056</c:v>
                </c:pt>
                <c:pt idx="4713">
                  <c:v>60.924999999999997</c:v>
                </c:pt>
                <c:pt idx="4715">
                  <c:v>60.772778000000002</c:v>
                </c:pt>
                <c:pt idx="4717">
                  <c:v>60.741943999999997</c:v>
                </c:pt>
                <c:pt idx="4718">
                  <c:v>60.783889000000002</c:v>
                </c:pt>
                <c:pt idx="4720">
                  <c:v>60.691667000000002</c:v>
                </c:pt>
                <c:pt idx="4721">
                  <c:v>60.633056000000003</c:v>
                </c:pt>
                <c:pt idx="4722">
                  <c:v>60.580556000000001</c:v>
                </c:pt>
                <c:pt idx="4723">
                  <c:v>60.617778000000001</c:v>
                </c:pt>
                <c:pt idx="4724">
                  <c:v>60.671666999999999</c:v>
                </c:pt>
                <c:pt idx="4725">
                  <c:v>60.725278000000003</c:v>
                </c:pt>
                <c:pt idx="4727">
                  <c:v>60.662500000000001</c:v>
                </c:pt>
                <c:pt idx="4729">
                  <c:v>60.589167000000003</c:v>
                </c:pt>
                <c:pt idx="4731">
                  <c:v>60.546111000000003</c:v>
                </c:pt>
                <c:pt idx="4733">
                  <c:v>60.584167000000001</c:v>
                </c:pt>
                <c:pt idx="4734">
                  <c:v>60.532778</c:v>
                </c:pt>
                <c:pt idx="4735">
                  <c:v>60.533056000000002</c:v>
                </c:pt>
                <c:pt idx="4736">
                  <c:v>60.576388999999999</c:v>
                </c:pt>
                <c:pt idx="4738">
                  <c:v>60.489167000000002</c:v>
                </c:pt>
                <c:pt idx="4740">
                  <c:v>60.357500000000002</c:v>
                </c:pt>
                <c:pt idx="4741">
                  <c:v>60.279167000000001</c:v>
                </c:pt>
                <c:pt idx="4742">
                  <c:v>60.244444000000001</c:v>
                </c:pt>
                <c:pt idx="4743">
                  <c:v>60.184722000000001</c:v>
                </c:pt>
                <c:pt idx="4744">
                  <c:v>60.221111000000001</c:v>
                </c:pt>
                <c:pt idx="4745">
                  <c:v>60.271943999999998</c:v>
                </c:pt>
                <c:pt idx="4746">
                  <c:v>60.287778000000003</c:v>
                </c:pt>
                <c:pt idx="4747">
                  <c:v>60.336944000000003</c:v>
                </c:pt>
                <c:pt idx="4748">
                  <c:v>60.415832999999999</c:v>
                </c:pt>
                <c:pt idx="4750">
                  <c:v>60.196666999999998</c:v>
                </c:pt>
                <c:pt idx="4752">
                  <c:v>60.130555999999999</c:v>
                </c:pt>
                <c:pt idx="4754">
                  <c:v>60.055833</c:v>
                </c:pt>
                <c:pt idx="4755">
                  <c:v>60.011944</c:v>
                </c:pt>
                <c:pt idx="4756">
                  <c:v>60.074167000000003</c:v>
                </c:pt>
                <c:pt idx="4757">
                  <c:v>60.068888999999999</c:v>
                </c:pt>
                <c:pt idx="4759">
                  <c:v>60.007778000000002</c:v>
                </c:pt>
                <c:pt idx="4761">
                  <c:v>59.969166999999999</c:v>
                </c:pt>
                <c:pt idx="4762">
                  <c:v>60.019444</c:v>
                </c:pt>
                <c:pt idx="4764">
                  <c:v>59.953611000000002</c:v>
                </c:pt>
                <c:pt idx="4766">
                  <c:v>60.509721999999996</c:v>
                </c:pt>
                <c:pt idx="4767">
                  <c:v>60.459721999999999</c:v>
                </c:pt>
                <c:pt idx="4768">
                  <c:v>60.396110999999998</c:v>
                </c:pt>
                <c:pt idx="4769">
                  <c:v>60.449444</c:v>
                </c:pt>
                <c:pt idx="4770">
                  <c:v>60.496389000000001</c:v>
                </c:pt>
                <c:pt idx="4771">
                  <c:v>60.554443999999997</c:v>
                </c:pt>
                <c:pt idx="4773">
                  <c:v>60.336666999999998</c:v>
                </c:pt>
                <c:pt idx="4775">
                  <c:v>62.467778000000003</c:v>
                </c:pt>
                <c:pt idx="4777">
                  <c:v>60.015000000000001</c:v>
                </c:pt>
                <c:pt idx="4778">
                  <c:v>60.049722000000003</c:v>
                </c:pt>
                <c:pt idx="4780">
                  <c:v>59.982778000000003</c:v>
                </c:pt>
                <c:pt idx="4781">
                  <c:v>59.918056</c:v>
                </c:pt>
                <c:pt idx="4782">
                  <c:v>59.907499999999999</c:v>
                </c:pt>
                <c:pt idx="4783">
                  <c:v>59.945833</c:v>
                </c:pt>
                <c:pt idx="4784">
                  <c:v>59.967778000000003</c:v>
                </c:pt>
                <c:pt idx="4785">
                  <c:v>59.998888999999998</c:v>
                </c:pt>
                <c:pt idx="4786">
                  <c:v>60.055556000000003</c:v>
                </c:pt>
                <c:pt idx="4787">
                  <c:v>60.075277999999997</c:v>
                </c:pt>
                <c:pt idx="4789">
                  <c:v>60.101666999999999</c:v>
                </c:pt>
                <c:pt idx="4790">
                  <c:v>60.106943999999999</c:v>
                </c:pt>
                <c:pt idx="4792">
                  <c:v>59.952778000000002</c:v>
                </c:pt>
                <c:pt idx="4794">
                  <c:v>59.902500000000003</c:v>
                </c:pt>
                <c:pt idx="4796">
                  <c:v>59.754167000000002</c:v>
                </c:pt>
                <c:pt idx="4797">
                  <c:v>59.754167000000002</c:v>
                </c:pt>
                <c:pt idx="4798">
                  <c:v>59.794722</c:v>
                </c:pt>
                <c:pt idx="4799">
                  <c:v>59.804167</c:v>
                </c:pt>
                <c:pt idx="4801">
                  <c:v>59.711111000000002</c:v>
                </c:pt>
                <c:pt idx="4803">
                  <c:v>59.836111000000002</c:v>
                </c:pt>
                <c:pt idx="4805">
                  <c:v>59.321389000000003</c:v>
                </c:pt>
                <c:pt idx="4807">
                  <c:v>59.236111000000001</c:v>
                </c:pt>
                <c:pt idx="4808">
                  <c:v>59.263055999999999</c:v>
                </c:pt>
                <c:pt idx="4809">
                  <c:v>59.286389</c:v>
                </c:pt>
                <c:pt idx="4811">
                  <c:v>59.193333000000003</c:v>
                </c:pt>
                <c:pt idx="4813">
                  <c:v>59.2</c:v>
                </c:pt>
                <c:pt idx="4815">
                  <c:v>59.127499999999998</c:v>
                </c:pt>
                <c:pt idx="4817">
                  <c:v>59.891388999999997</c:v>
                </c:pt>
                <c:pt idx="4819">
                  <c:v>59.852221999999998</c:v>
                </c:pt>
                <c:pt idx="4821">
                  <c:v>59.916389000000002</c:v>
                </c:pt>
                <c:pt idx="4822">
                  <c:v>59.838332999999999</c:v>
                </c:pt>
                <c:pt idx="4823">
                  <c:v>59.764167</c:v>
                </c:pt>
                <c:pt idx="4824">
                  <c:v>59.771110999999998</c:v>
                </c:pt>
                <c:pt idx="4825">
                  <c:v>59.793056</c:v>
                </c:pt>
                <c:pt idx="4826">
                  <c:v>59.870832999999998</c:v>
                </c:pt>
                <c:pt idx="4827">
                  <c:v>59.941110999999999</c:v>
                </c:pt>
                <c:pt idx="4828">
                  <c:v>59.962221999999997</c:v>
                </c:pt>
                <c:pt idx="4830">
                  <c:v>59.810277999999997</c:v>
                </c:pt>
                <c:pt idx="4831">
                  <c:v>59.753610999999999</c:v>
                </c:pt>
                <c:pt idx="4832">
                  <c:v>59.686943999999997</c:v>
                </c:pt>
                <c:pt idx="4833">
                  <c:v>59.721666999999997</c:v>
                </c:pt>
                <c:pt idx="4834">
                  <c:v>59.743333</c:v>
                </c:pt>
                <c:pt idx="4835">
                  <c:v>59.696666999999998</c:v>
                </c:pt>
                <c:pt idx="4836">
                  <c:v>59.673889000000003</c:v>
                </c:pt>
                <c:pt idx="4837">
                  <c:v>59.607778000000003</c:v>
                </c:pt>
                <c:pt idx="4838">
                  <c:v>59.617221999999998</c:v>
                </c:pt>
                <c:pt idx="4839">
                  <c:v>59.694167</c:v>
                </c:pt>
                <c:pt idx="4840">
                  <c:v>59.758889000000003</c:v>
                </c:pt>
                <c:pt idx="4841">
                  <c:v>59.763333000000003</c:v>
                </c:pt>
                <c:pt idx="4842">
                  <c:v>59.818888999999999</c:v>
                </c:pt>
                <c:pt idx="4843">
                  <c:v>59.872500000000002</c:v>
                </c:pt>
                <c:pt idx="4845">
                  <c:v>59.341667000000001</c:v>
                </c:pt>
                <c:pt idx="4846">
                  <c:v>59.269722000000002</c:v>
                </c:pt>
                <c:pt idx="4847">
                  <c:v>59.178610999999997</c:v>
                </c:pt>
                <c:pt idx="4848">
                  <c:v>59.142778</c:v>
                </c:pt>
                <c:pt idx="4849">
                  <c:v>59.226944000000003</c:v>
                </c:pt>
                <c:pt idx="4850">
                  <c:v>59.287222</c:v>
                </c:pt>
                <c:pt idx="4851">
                  <c:v>59.333610999999998</c:v>
                </c:pt>
                <c:pt idx="4852">
                  <c:v>59.401111</c:v>
                </c:pt>
                <c:pt idx="4854">
                  <c:v>59.176389</c:v>
                </c:pt>
                <c:pt idx="4855">
                  <c:v>59.182777999999999</c:v>
                </c:pt>
                <c:pt idx="4857">
                  <c:v>59.246110999999999</c:v>
                </c:pt>
                <c:pt idx="4859">
                  <c:v>59.141944000000002</c:v>
                </c:pt>
                <c:pt idx="4860">
                  <c:v>59.190556000000001</c:v>
                </c:pt>
                <c:pt idx="4862">
                  <c:v>59.103332999999999</c:v>
                </c:pt>
                <c:pt idx="4863">
                  <c:v>59.099722</c:v>
                </c:pt>
                <c:pt idx="4864">
                  <c:v>59.141111000000002</c:v>
                </c:pt>
                <c:pt idx="4866">
                  <c:v>59.064444000000002</c:v>
                </c:pt>
                <c:pt idx="4868">
                  <c:v>58.418332999999997</c:v>
                </c:pt>
                <c:pt idx="4869">
                  <c:v>58.437778000000002</c:v>
                </c:pt>
                <c:pt idx="4871">
                  <c:v>58.201667</c:v>
                </c:pt>
                <c:pt idx="4872">
                  <c:v>58.228332999999999</c:v>
                </c:pt>
                <c:pt idx="4874">
                  <c:v>58.205832999999998</c:v>
                </c:pt>
                <c:pt idx="4876">
                  <c:v>58.436667</c:v>
                </c:pt>
                <c:pt idx="4878">
                  <c:v>58.429167</c:v>
                </c:pt>
                <c:pt idx="4879">
                  <c:v>58.462778</c:v>
                </c:pt>
                <c:pt idx="4881">
                  <c:v>58.532778</c:v>
                </c:pt>
                <c:pt idx="4883">
                  <c:v>62.330278</c:v>
                </c:pt>
                <c:pt idx="4885">
                  <c:v>61.583610999999998</c:v>
                </c:pt>
                <c:pt idx="4886">
                  <c:v>61.590277999999998</c:v>
                </c:pt>
                <c:pt idx="4887">
                  <c:v>61.621110999999999</c:v>
                </c:pt>
                <c:pt idx="4888">
                  <c:v>61.643611</c:v>
                </c:pt>
                <c:pt idx="4889">
                  <c:v>61.61</c:v>
                </c:pt>
                <c:pt idx="4890">
                  <c:v>61.566667000000002</c:v>
                </c:pt>
                <c:pt idx="4891">
                  <c:v>61.525278</c:v>
                </c:pt>
                <c:pt idx="4892">
                  <c:v>61.475555999999997</c:v>
                </c:pt>
                <c:pt idx="4893">
                  <c:v>61.440556000000001</c:v>
                </c:pt>
                <c:pt idx="4894">
                  <c:v>61.404443999999998</c:v>
                </c:pt>
                <c:pt idx="4895">
                  <c:v>61.407778</c:v>
                </c:pt>
                <c:pt idx="4896">
                  <c:v>61.448332999999998</c:v>
                </c:pt>
                <c:pt idx="4897">
                  <c:v>61.453055999999997</c:v>
                </c:pt>
                <c:pt idx="4898">
                  <c:v>61.470556000000002</c:v>
                </c:pt>
                <c:pt idx="4899">
                  <c:v>61.495556000000001</c:v>
                </c:pt>
                <c:pt idx="4900">
                  <c:v>61.525832999999999</c:v>
                </c:pt>
                <c:pt idx="4901">
                  <c:v>61.559722000000001</c:v>
                </c:pt>
                <c:pt idx="4902">
                  <c:v>61.558332999999998</c:v>
                </c:pt>
                <c:pt idx="4904">
                  <c:v>61.696389000000003</c:v>
                </c:pt>
                <c:pt idx="4906">
                  <c:v>61.763888999999999</c:v>
                </c:pt>
                <c:pt idx="4907">
                  <c:v>61.750278000000002</c:v>
                </c:pt>
                <c:pt idx="4909">
                  <c:v>61.850555999999997</c:v>
                </c:pt>
                <c:pt idx="4910">
                  <c:v>61.810833000000002</c:v>
                </c:pt>
                <c:pt idx="4911">
                  <c:v>61.7575</c:v>
                </c:pt>
                <c:pt idx="4912">
                  <c:v>61.768889000000001</c:v>
                </c:pt>
                <c:pt idx="4913">
                  <c:v>61.815277999999999</c:v>
                </c:pt>
                <c:pt idx="4914">
                  <c:v>61.823332999999998</c:v>
                </c:pt>
                <c:pt idx="4915">
                  <c:v>61.854722000000002</c:v>
                </c:pt>
                <c:pt idx="4916">
                  <c:v>61.904722</c:v>
                </c:pt>
                <c:pt idx="4917">
                  <c:v>61.895555999999999</c:v>
                </c:pt>
                <c:pt idx="4919">
                  <c:v>62.020277999999998</c:v>
                </c:pt>
                <c:pt idx="4920">
                  <c:v>61.973056</c:v>
                </c:pt>
                <c:pt idx="4921">
                  <c:v>61.957777999999998</c:v>
                </c:pt>
                <c:pt idx="4923">
                  <c:v>62.331944</c:v>
                </c:pt>
                <c:pt idx="4924">
                  <c:v>62.308610999999999</c:v>
                </c:pt>
                <c:pt idx="4925">
                  <c:v>62.286667000000001</c:v>
                </c:pt>
                <c:pt idx="4926">
                  <c:v>62.234999999999999</c:v>
                </c:pt>
                <c:pt idx="4927">
                  <c:v>62.193333000000003</c:v>
                </c:pt>
                <c:pt idx="4928">
                  <c:v>62.157499999999999</c:v>
                </c:pt>
                <c:pt idx="4929">
                  <c:v>62.129722000000001</c:v>
                </c:pt>
                <c:pt idx="4930">
                  <c:v>62.091943999999998</c:v>
                </c:pt>
                <c:pt idx="4931">
                  <c:v>62.146388999999999</c:v>
                </c:pt>
                <c:pt idx="4932">
                  <c:v>62.183332999999998</c:v>
                </c:pt>
                <c:pt idx="4933">
                  <c:v>62.168056</c:v>
                </c:pt>
                <c:pt idx="4934">
                  <c:v>62.121389000000001</c:v>
                </c:pt>
                <c:pt idx="4935">
                  <c:v>62.070278000000002</c:v>
                </c:pt>
                <c:pt idx="4936">
                  <c:v>62.082777999999998</c:v>
                </c:pt>
                <c:pt idx="4937">
                  <c:v>62.106943999999999</c:v>
                </c:pt>
                <c:pt idx="4938">
                  <c:v>62.141944000000002</c:v>
                </c:pt>
                <c:pt idx="4939">
                  <c:v>62.135278</c:v>
                </c:pt>
                <c:pt idx="4940">
                  <c:v>62.163611000000003</c:v>
                </c:pt>
                <c:pt idx="4941">
                  <c:v>62.196111000000002</c:v>
                </c:pt>
                <c:pt idx="4942">
                  <c:v>62.190277999999999</c:v>
                </c:pt>
                <c:pt idx="4943">
                  <c:v>62.215833000000003</c:v>
                </c:pt>
                <c:pt idx="4944">
                  <c:v>62.228332999999999</c:v>
                </c:pt>
                <c:pt idx="4945">
                  <c:v>62.26</c:v>
                </c:pt>
                <c:pt idx="4946">
                  <c:v>62.274166999999998</c:v>
                </c:pt>
                <c:pt idx="4947">
                  <c:v>62.281388999999997</c:v>
                </c:pt>
                <c:pt idx="4948">
                  <c:v>62.2425</c:v>
                </c:pt>
                <c:pt idx="4949">
                  <c:v>62.279443999999998</c:v>
                </c:pt>
                <c:pt idx="4950">
                  <c:v>62.316667000000002</c:v>
                </c:pt>
                <c:pt idx="4952">
                  <c:v>62.310277999999997</c:v>
                </c:pt>
                <c:pt idx="4953">
                  <c:v>62.273055999999997</c:v>
                </c:pt>
                <c:pt idx="4954">
                  <c:v>62.238889</c:v>
                </c:pt>
                <c:pt idx="4955">
                  <c:v>62.243611000000001</c:v>
                </c:pt>
                <c:pt idx="4956">
                  <c:v>62.209721999999999</c:v>
                </c:pt>
                <c:pt idx="4957">
                  <c:v>62.1875</c:v>
                </c:pt>
                <c:pt idx="4958">
                  <c:v>62.226666999999999</c:v>
                </c:pt>
                <c:pt idx="4959">
                  <c:v>62.176667000000002</c:v>
                </c:pt>
                <c:pt idx="4960">
                  <c:v>62.202778000000002</c:v>
                </c:pt>
                <c:pt idx="4961">
                  <c:v>62.247500000000002</c:v>
                </c:pt>
                <c:pt idx="4962">
                  <c:v>62.287222</c:v>
                </c:pt>
                <c:pt idx="4963">
                  <c:v>62.340277999999998</c:v>
                </c:pt>
                <c:pt idx="4965">
                  <c:v>62.283332999999999</c:v>
                </c:pt>
                <c:pt idx="4966">
                  <c:v>62.242221999999998</c:v>
                </c:pt>
                <c:pt idx="4967">
                  <c:v>62.278333000000003</c:v>
                </c:pt>
                <c:pt idx="4968">
                  <c:v>62.307222000000003</c:v>
                </c:pt>
                <c:pt idx="4970">
                  <c:v>62.324167000000003</c:v>
                </c:pt>
                <c:pt idx="4971">
                  <c:v>62.341110999999998</c:v>
                </c:pt>
                <c:pt idx="4973">
                  <c:v>62.351111000000003</c:v>
                </c:pt>
                <c:pt idx="4974">
                  <c:v>62.310833000000002</c:v>
                </c:pt>
                <c:pt idx="4975">
                  <c:v>62.298611000000001</c:v>
                </c:pt>
                <c:pt idx="4976">
                  <c:v>62.297778000000001</c:v>
                </c:pt>
                <c:pt idx="4977">
                  <c:v>62.348332999999997</c:v>
                </c:pt>
                <c:pt idx="4978">
                  <c:v>62.391944000000002</c:v>
                </c:pt>
                <c:pt idx="4980">
                  <c:v>62.320833</c:v>
                </c:pt>
                <c:pt idx="4981">
                  <c:v>62.273333000000001</c:v>
                </c:pt>
                <c:pt idx="4982">
                  <c:v>62.277222000000002</c:v>
                </c:pt>
                <c:pt idx="4983">
                  <c:v>62.326388999999999</c:v>
                </c:pt>
                <c:pt idx="4984">
                  <c:v>62.370832999999998</c:v>
                </c:pt>
                <c:pt idx="4986">
                  <c:v>62.316389000000001</c:v>
                </c:pt>
                <c:pt idx="4987">
                  <c:v>62.271943999999998</c:v>
                </c:pt>
                <c:pt idx="4988">
                  <c:v>62.227499999999999</c:v>
                </c:pt>
                <c:pt idx="4989">
                  <c:v>62.268889000000001</c:v>
                </c:pt>
                <c:pt idx="4990">
                  <c:v>62.313889000000003</c:v>
                </c:pt>
                <c:pt idx="4991">
                  <c:v>62.364443999999999</c:v>
                </c:pt>
                <c:pt idx="4993">
                  <c:v>62.288888999999998</c:v>
                </c:pt>
                <c:pt idx="4994">
                  <c:v>62.24</c:v>
                </c:pt>
                <c:pt idx="4995">
                  <c:v>62.196666999999998</c:v>
                </c:pt>
                <c:pt idx="4996">
                  <c:v>62.163055999999997</c:v>
                </c:pt>
                <c:pt idx="4997">
                  <c:v>62.134721999999996</c:v>
                </c:pt>
                <c:pt idx="4998">
                  <c:v>62.097222000000002</c:v>
                </c:pt>
                <c:pt idx="4999">
                  <c:v>62.094721999999997</c:v>
                </c:pt>
                <c:pt idx="5000">
                  <c:v>62.055</c:v>
                </c:pt>
                <c:pt idx="5001">
                  <c:v>62.047221999999998</c:v>
                </c:pt>
                <c:pt idx="5002">
                  <c:v>62.016388999999997</c:v>
                </c:pt>
                <c:pt idx="5003">
                  <c:v>61.975278000000003</c:v>
                </c:pt>
                <c:pt idx="5004">
                  <c:v>61.936943999999997</c:v>
                </c:pt>
                <c:pt idx="5005">
                  <c:v>61.971944000000001</c:v>
                </c:pt>
                <c:pt idx="5006">
                  <c:v>62.006667</c:v>
                </c:pt>
                <c:pt idx="5007">
                  <c:v>62.043332999999997</c:v>
                </c:pt>
                <c:pt idx="5008">
                  <c:v>62.092222</c:v>
                </c:pt>
                <c:pt idx="5009">
                  <c:v>62.113889</c:v>
                </c:pt>
                <c:pt idx="5010">
                  <c:v>62.148333000000001</c:v>
                </c:pt>
                <c:pt idx="5011">
                  <c:v>62.153055999999999</c:v>
                </c:pt>
                <c:pt idx="5012">
                  <c:v>62.201110999999997</c:v>
                </c:pt>
                <c:pt idx="5013">
                  <c:v>62.241388999999998</c:v>
                </c:pt>
                <c:pt idx="5014">
                  <c:v>62.296388999999998</c:v>
                </c:pt>
                <c:pt idx="5016">
                  <c:v>62.128889000000001</c:v>
                </c:pt>
                <c:pt idx="5017">
                  <c:v>62.159166999999997</c:v>
                </c:pt>
                <c:pt idx="5018">
                  <c:v>62.129443999999999</c:v>
                </c:pt>
                <c:pt idx="5019">
                  <c:v>62.102221999999998</c:v>
                </c:pt>
                <c:pt idx="5020">
                  <c:v>62.057222000000003</c:v>
                </c:pt>
                <c:pt idx="5021">
                  <c:v>62.047778000000001</c:v>
                </c:pt>
                <c:pt idx="5022">
                  <c:v>62.023611000000002</c:v>
                </c:pt>
                <c:pt idx="5023">
                  <c:v>62.052500000000002</c:v>
                </c:pt>
                <c:pt idx="5024">
                  <c:v>62.036389</c:v>
                </c:pt>
                <c:pt idx="5025">
                  <c:v>62.048056000000003</c:v>
                </c:pt>
                <c:pt idx="5026">
                  <c:v>62.07</c:v>
                </c:pt>
                <c:pt idx="5027">
                  <c:v>62.076667</c:v>
                </c:pt>
                <c:pt idx="5028">
                  <c:v>62.101666999999999</c:v>
                </c:pt>
                <c:pt idx="5029">
                  <c:v>62.144167000000003</c:v>
                </c:pt>
                <c:pt idx="5031">
                  <c:v>62.099443999999998</c:v>
                </c:pt>
                <c:pt idx="5032">
                  <c:v>62.099443999999998</c:v>
                </c:pt>
                <c:pt idx="5034">
                  <c:v>61.982778000000003</c:v>
                </c:pt>
                <c:pt idx="5036">
                  <c:v>61.929167</c:v>
                </c:pt>
                <c:pt idx="5037">
                  <c:v>61.970278</c:v>
                </c:pt>
                <c:pt idx="5039">
                  <c:v>48.716388999999999</c:v>
                </c:pt>
                <c:pt idx="5040">
                  <c:v>48.692222000000001</c:v>
                </c:pt>
                <c:pt idx="5041">
                  <c:v>48.698332999999998</c:v>
                </c:pt>
                <c:pt idx="5043">
                  <c:v>51.491110999999997</c:v>
                </c:pt>
                <c:pt idx="5044">
                  <c:v>51.482778000000003</c:v>
                </c:pt>
                <c:pt idx="5045">
                  <c:v>51.478889000000002</c:v>
                </c:pt>
                <c:pt idx="5046">
                  <c:v>51.464722000000002</c:v>
                </c:pt>
                <c:pt idx="5047">
                  <c:v>51.487499999999997</c:v>
                </c:pt>
                <c:pt idx="5049">
                  <c:v>52.508889000000003</c:v>
                </c:pt>
                <c:pt idx="5050">
                  <c:v>52.502499999999998</c:v>
                </c:pt>
                <c:pt idx="5051">
                  <c:v>52.538055999999997</c:v>
                </c:pt>
                <c:pt idx="5053">
                  <c:v>52.624167</c:v>
                </c:pt>
                <c:pt idx="5054">
                  <c:v>52.620832999999998</c:v>
                </c:pt>
                <c:pt idx="5055">
                  <c:v>52.634999999999998</c:v>
                </c:pt>
                <c:pt idx="5056">
                  <c:v>52.657499999999999</c:v>
                </c:pt>
                <c:pt idx="5057">
                  <c:v>52.635832999999998</c:v>
                </c:pt>
                <c:pt idx="5059">
                  <c:v>52.666111000000001</c:v>
                </c:pt>
                <c:pt idx="5060">
                  <c:v>52.679721999999998</c:v>
                </c:pt>
                <c:pt idx="5061">
                  <c:v>52.690556000000001</c:v>
                </c:pt>
                <c:pt idx="5063">
                  <c:v>52.685277999999997</c:v>
                </c:pt>
                <c:pt idx="5064">
                  <c:v>52.705556000000001</c:v>
                </c:pt>
                <c:pt idx="5066">
                  <c:v>52.718055999999997</c:v>
                </c:pt>
                <c:pt idx="5068">
                  <c:v>53.111389000000003</c:v>
                </c:pt>
                <c:pt idx="5069">
                  <c:v>53.143889000000001</c:v>
                </c:pt>
                <c:pt idx="5071">
                  <c:v>53.166666999999997</c:v>
                </c:pt>
                <c:pt idx="5073">
                  <c:v>53.19</c:v>
                </c:pt>
                <c:pt idx="5075">
                  <c:v>53.364722</c:v>
                </c:pt>
                <c:pt idx="5076">
                  <c:v>53.328055999999997</c:v>
                </c:pt>
                <c:pt idx="5077">
                  <c:v>53.317222000000001</c:v>
                </c:pt>
                <c:pt idx="5078">
                  <c:v>53.334721999999999</c:v>
                </c:pt>
                <c:pt idx="5079">
                  <c:v>53.364722</c:v>
                </c:pt>
                <c:pt idx="5080">
                  <c:v>53.405833000000001</c:v>
                </c:pt>
                <c:pt idx="5081">
                  <c:v>53.411667000000001</c:v>
                </c:pt>
                <c:pt idx="5082">
                  <c:v>53.405833000000001</c:v>
                </c:pt>
                <c:pt idx="5084">
                  <c:v>53.273611000000002</c:v>
                </c:pt>
                <c:pt idx="5086">
                  <c:v>53.414721999999998</c:v>
                </c:pt>
                <c:pt idx="5088">
                  <c:v>53.417222000000002</c:v>
                </c:pt>
                <c:pt idx="5089">
                  <c:v>53.446666999999998</c:v>
                </c:pt>
                <c:pt idx="5091">
                  <c:v>53.194721999999999</c:v>
                </c:pt>
                <c:pt idx="5092">
                  <c:v>53.202500000000001</c:v>
                </c:pt>
                <c:pt idx="5094">
                  <c:v>47.131943999999997</c:v>
                </c:pt>
                <c:pt idx="5095">
                  <c:v>47.146943999999998</c:v>
                </c:pt>
                <c:pt idx="5096">
                  <c:v>47.095556000000002</c:v>
                </c:pt>
                <c:pt idx="5098">
                  <c:v>47.005277999999997</c:v>
                </c:pt>
                <c:pt idx="5099">
                  <c:v>47.01</c:v>
                </c:pt>
                <c:pt idx="5100">
                  <c:v>47.04</c:v>
                </c:pt>
                <c:pt idx="5101">
                  <c:v>47.035556</c:v>
                </c:pt>
                <c:pt idx="5102">
                  <c:v>47.0625</c:v>
                </c:pt>
                <c:pt idx="5103">
                  <c:v>47.063056000000003</c:v>
                </c:pt>
                <c:pt idx="5104">
                  <c:v>47.031388999999997</c:v>
                </c:pt>
                <c:pt idx="5105">
                  <c:v>47.006388999999999</c:v>
                </c:pt>
                <c:pt idx="5107">
                  <c:v>47.163055999999997</c:v>
                </c:pt>
                <c:pt idx="5108">
                  <c:v>47.149444000000003</c:v>
                </c:pt>
                <c:pt idx="5110">
                  <c:v>47.210833000000001</c:v>
                </c:pt>
                <c:pt idx="5112">
                  <c:v>47.318333000000003</c:v>
                </c:pt>
                <c:pt idx="5113">
                  <c:v>47.275278</c:v>
                </c:pt>
                <c:pt idx="5115">
                  <c:v>47.112222000000003</c:v>
                </c:pt>
                <c:pt idx="5116">
                  <c:v>47.157499999999999</c:v>
                </c:pt>
                <c:pt idx="5117">
                  <c:v>47.178610999999997</c:v>
                </c:pt>
                <c:pt idx="5118">
                  <c:v>47.124443999999997</c:v>
                </c:pt>
                <c:pt idx="5119">
                  <c:v>47.074722000000001</c:v>
                </c:pt>
                <c:pt idx="5121">
                  <c:v>47.246389000000001</c:v>
                </c:pt>
                <c:pt idx="5122">
                  <c:v>47.271388999999999</c:v>
                </c:pt>
                <c:pt idx="5123">
                  <c:v>47.315277999999999</c:v>
                </c:pt>
                <c:pt idx="5124">
                  <c:v>47.364443999999999</c:v>
                </c:pt>
                <c:pt idx="5125">
                  <c:v>47.322778</c:v>
                </c:pt>
                <c:pt idx="5126">
                  <c:v>47.284999999999997</c:v>
                </c:pt>
                <c:pt idx="5127">
                  <c:v>47.258889000000003</c:v>
                </c:pt>
                <c:pt idx="5128">
                  <c:v>47.235278000000001</c:v>
                </c:pt>
                <c:pt idx="5129">
                  <c:v>47.223889</c:v>
                </c:pt>
                <c:pt idx="5130">
                  <c:v>47.209721999999999</c:v>
                </c:pt>
                <c:pt idx="5132">
                  <c:v>47.368889000000003</c:v>
                </c:pt>
                <c:pt idx="5133">
                  <c:v>47.341388999999999</c:v>
                </c:pt>
                <c:pt idx="5135">
                  <c:v>47.343333000000001</c:v>
                </c:pt>
                <c:pt idx="5137">
                  <c:v>47.678610999999997</c:v>
                </c:pt>
                <c:pt idx="5138">
                  <c:v>47.711666999999998</c:v>
                </c:pt>
                <c:pt idx="5139">
                  <c:v>47.739167000000002</c:v>
                </c:pt>
                <c:pt idx="5140">
                  <c:v>47.740278000000004</c:v>
                </c:pt>
                <c:pt idx="5141">
                  <c:v>47.655000000000001</c:v>
                </c:pt>
                <c:pt idx="5142">
                  <c:v>47.653888999999999</c:v>
                </c:pt>
                <c:pt idx="5144">
                  <c:v>47.196944000000002</c:v>
                </c:pt>
                <c:pt idx="5145">
                  <c:v>47.223610999999998</c:v>
                </c:pt>
                <c:pt idx="5146">
                  <c:v>47.224443999999998</c:v>
                </c:pt>
                <c:pt idx="5147">
                  <c:v>47.212778</c:v>
                </c:pt>
                <c:pt idx="5149">
                  <c:v>47.039166999999999</c:v>
                </c:pt>
                <c:pt idx="5151">
                  <c:v>48.266666999999998</c:v>
                </c:pt>
                <c:pt idx="5152">
                  <c:v>48.273611000000002</c:v>
                </c:pt>
                <c:pt idx="5153">
                  <c:v>48.303888999999998</c:v>
                </c:pt>
                <c:pt idx="5154">
                  <c:v>48.289166999999999</c:v>
                </c:pt>
                <c:pt idx="5156">
                  <c:v>47.149721999999997</c:v>
                </c:pt>
                <c:pt idx="5158">
                  <c:v>47.291666999999997</c:v>
                </c:pt>
                <c:pt idx="5160">
                  <c:v>47.011389000000001</c:v>
                </c:pt>
                <c:pt idx="5162">
                  <c:v>47.073056000000001</c:v>
                </c:pt>
                <c:pt idx="5163">
                  <c:v>47.045833000000002</c:v>
                </c:pt>
                <c:pt idx="5164">
                  <c:v>47.062778000000002</c:v>
                </c:pt>
                <c:pt idx="5165">
                  <c:v>47.088889000000002</c:v>
                </c:pt>
                <c:pt idx="5166">
                  <c:v>47.116667</c:v>
                </c:pt>
                <c:pt idx="5168">
                  <c:v>51.543889</c:v>
                </c:pt>
                <c:pt idx="5169">
                  <c:v>51.527777999999998</c:v>
                </c:pt>
                <c:pt idx="5170">
                  <c:v>51.543889</c:v>
                </c:pt>
                <c:pt idx="5171">
                  <c:v>51.580832999999998</c:v>
                </c:pt>
                <c:pt idx="5172">
                  <c:v>51.558889000000001</c:v>
                </c:pt>
                <c:pt idx="5173">
                  <c:v>51.543056</c:v>
                </c:pt>
                <c:pt idx="5174">
                  <c:v>51.555556000000003</c:v>
                </c:pt>
                <c:pt idx="5176">
                  <c:v>52.201667</c:v>
                </c:pt>
                <c:pt idx="5177">
                  <c:v>52.218055999999997</c:v>
                </c:pt>
                <c:pt idx="5179">
                  <c:v>52.199722000000001</c:v>
                </c:pt>
                <c:pt idx="5181">
                  <c:v>52.145555999999999</c:v>
                </c:pt>
                <c:pt idx="5183">
                  <c:v>52.230556</c:v>
                </c:pt>
                <c:pt idx="5185">
                  <c:v>52.25</c:v>
                </c:pt>
                <c:pt idx="5187">
                  <c:v>52.233055999999998</c:v>
                </c:pt>
                <c:pt idx="5188">
                  <c:v>52.259166999999998</c:v>
                </c:pt>
                <c:pt idx="5190">
                  <c:v>52.169167000000002</c:v>
                </c:pt>
                <c:pt idx="5191">
                  <c:v>52.195278000000002</c:v>
                </c:pt>
                <c:pt idx="5193">
                  <c:v>52.225278000000003</c:v>
                </c:pt>
                <c:pt idx="5195">
                  <c:v>52.248888999999998</c:v>
                </c:pt>
                <c:pt idx="5197">
                  <c:v>52.270555999999999</c:v>
                </c:pt>
                <c:pt idx="5199">
                  <c:v>52.500833</c:v>
                </c:pt>
                <c:pt idx="5200">
                  <c:v>52.519722000000002</c:v>
                </c:pt>
                <c:pt idx="5202">
                  <c:v>52.54</c:v>
                </c:pt>
                <c:pt idx="5203">
                  <c:v>52.551110999999999</c:v>
                </c:pt>
                <c:pt idx="5205">
                  <c:v>52.881110999999997</c:v>
                </c:pt>
                <c:pt idx="5207">
                  <c:v>52.923333</c:v>
                </c:pt>
                <c:pt idx="5208">
                  <c:v>52.88</c:v>
                </c:pt>
                <c:pt idx="5209">
                  <c:v>52.834167000000001</c:v>
                </c:pt>
                <c:pt idx="5210">
                  <c:v>52.780278000000003</c:v>
                </c:pt>
                <c:pt idx="5211">
                  <c:v>52.743333</c:v>
                </c:pt>
                <c:pt idx="5212">
                  <c:v>52.752222000000003</c:v>
                </c:pt>
                <c:pt idx="5213">
                  <c:v>52.712499999999999</c:v>
                </c:pt>
                <c:pt idx="5214">
                  <c:v>52.679443999999997</c:v>
                </c:pt>
                <c:pt idx="5215">
                  <c:v>52.639721999999999</c:v>
                </c:pt>
                <c:pt idx="5216">
                  <c:v>52.629722000000001</c:v>
                </c:pt>
                <c:pt idx="5217">
                  <c:v>52.640555999999997</c:v>
                </c:pt>
                <c:pt idx="5218">
                  <c:v>52.606110999999999</c:v>
                </c:pt>
                <c:pt idx="5219">
                  <c:v>52.557222000000003</c:v>
                </c:pt>
                <c:pt idx="5220">
                  <c:v>52.511389000000001</c:v>
                </c:pt>
                <c:pt idx="5221">
                  <c:v>52.468611000000003</c:v>
                </c:pt>
                <c:pt idx="5222">
                  <c:v>52.440277999999999</c:v>
                </c:pt>
                <c:pt idx="5223">
                  <c:v>52.403888999999999</c:v>
                </c:pt>
                <c:pt idx="5224">
                  <c:v>52.380277999999997</c:v>
                </c:pt>
                <c:pt idx="5225">
                  <c:v>52.361389000000003</c:v>
                </c:pt>
                <c:pt idx="5226">
                  <c:v>52.341943999999998</c:v>
                </c:pt>
                <c:pt idx="5227">
                  <c:v>52.321389000000003</c:v>
                </c:pt>
                <c:pt idx="5228">
                  <c:v>52.31</c:v>
                </c:pt>
                <c:pt idx="5229">
                  <c:v>52.295833000000002</c:v>
                </c:pt>
                <c:pt idx="5230">
                  <c:v>52.269167000000003</c:v>
                </c:pt>
                <c:pt idx="5231">
                  <c:v>52.252777999999999</c:v>
                </c:pt>
                <c:pt idx="5232">
                  <c:v>52.265278000000002</c:v>
                </c:pt>
                <c:pt idx="5233">
                  <c:v>52.313333</c:v>
                </c:pt>
                <c:pt idx="5234">
                  <c:v>52.352221999999998</c:v>
                </c:pt>
                <c:pt idx="5235">
                  <c:v>52.378056000000001</c:v>
                </c:pt>
                <c:pt idx="5236">
                  <c:v>52.400278</c:v>
                </c:pt>
                <c:pt idx="5237">
                  <c:v>52.433056000000001</c:v>
                </c:pt>
                <c:pt idx="5238">
                  <c:v>52.479722000000002</c:v>
                </c:pt>
                <c:pt idx="5239">
                  <c:v>52.534444000000001</c:v>
                </c:pt>
                <c:pt idx="5240">
                  <c:v>52.574722000000001</c:v>
                </c:pt>
                <c:pt idx="5241">
                  <c:v>52.591388999999999</c:v>
                </c:pt>
                <c:pt idx="5242">
                  <c:v>52.607500000000002</c:v>
                </c:pt>
                <c:pt idx="5243">
                  <c:v>52.607778000000003</c:v>
                </c:pt>
                <c:pt idx="5244">
                  <c:v>52.636667000000003</c:v>
                </c:pt>
                <c:pt idx="5245">
                  <c:v>52.683056000000001</c:v>
                </c:pt>
                <c:pt idx="5246">
                  <c:v>52.741110999999997</c:v>
                </c:pt>
                <c:pt idx="5247">
                  <c:v>52.791111000000001</c:v>
                </c:pt>
                <c:pt idx="5248">
                  <c:v>52.831111</c:v>
                </c:pt>
                <c:pt idx="5249">
                  <c:v>52.842778000000003</c:v>
                </c:pt>
                <c:pt idx="5250">
                  <c:v>52.848332999999997</c:v>
                </c:pt>
                <c:pt idx="5251">
                  <c:v>52.841667000000001</c:v>
                </c:pt>
                <c:pt idx="5252">
                  <c:v>52.850555999999997</c:v>
                </c:pt>
                <c:pt idx="5253">
                  <c:v>52.881110999999997</c:v>
                </c:pt>
                <c:pt idx="5254">
                  <c:v>52.917499999999997</c:v>
                </c:pt>
                <c:pt idx="5255">
                  <c:v>52.964444</c:v>
                </c:pt>
                <c:pt idx="5256">
                  <c:v>53.021110999999998</c:v>
                </c:pt>
                <c:pt idx="5257">
                  <c:v>53.063056000000003</c:v>
                </c:pt>
                <c:pt idx="5259">
                  <c:v>52.878332999999998</c:v>
                </c:pt>
                <c:pt idx="5260">
                  <c:v>52.894444</c:v>
                </c:pt>
                <c:pt idx="5261">
                  <c:v>52.913888999999998</c:v>
                </c:pt>
                <c:pt idx="5263">
                  <c:v>52.88</c:v>
                </c:pt>
                <c:pt idx="5265">
                  <c:v>52.937221999999998</c:v>
                </c:pt>
                <c:pt idx="5267">
                  <c:v>52.966943999999998</c:v>
                </c:pt>
                <c:pt idx="5269">
                  <c:v>53.044167000000002</c:v>
                </c:pt>
                <c:pt idx="5271">
                  <c:v>53.017499999999998</c:v>
                </c:pt>
                <c:pt idx="5272">
                  <c:v>53.048889000000003</c:v>
                </c:pt>
                <c:pt idx="5274">
                  <c:v>53.110278000000001</c:v>
                </c:pt>
                <c:pt idx="5275">
                  <c:v>53.141666999999998</c:v>
                </c:pt>
                <c:pt idx="5277">
                  <c:v>52.900832999999999</c:v>
                </c:pt>
                <c:pt idx="5278">
                  <c:v>52.935000000000002</c:v>
                </c:pt>
                <c:pt idx="5280">
                  <c:v>52.935000000000002</c:v>
                </c:pt>
                <c:pt idx="5281">
                  <c:v>52.903055999999999</c:v>
                </c:pt>
                <c:pt idx="5282">
                  <c:v>52.928610999999997</c:v>
                </c:pt>
                <c:pt idx="5283">
                  <c:v>52.951110999999997</c:v>
                </c:pt>
                <c:pt idx="5284">
                  <c:v>52.967222</c:v>
                </c:pt>
                <c:pt idx="5286">
                  <c:v>52.969721999999997</c:v>
                </c:pt>
                <c:pt idx="5288">
                  <c:v>52.976666999999999</c:v>
                </c:pt>
                <c:pt idx="5289">
                  <c:v>52.998610999999997</c:v>
                </c:pt>
                <c:pt idx="5291">
                  <c:v>52.899166999999998</c:v>
                </c:pt>
                <c:pt idx="5293">
                  <c:v>52.712499999999999</c:v>
                </c:pt>
                <c:pt idx="5295">
                  <c:v>54.77</c:v>
                </c:pt>
                <c:pt idx="5297">
                  <c:v>54.661110999999998</c:v>
                </c:pt>
                <c:pt idx="5298">
                  <c:v>54.616388999999998</c:v>
                </c:pt>
                <c:pt idx="5299">
                  <c:v>54.587778</c:v>
                </c:pt>
                <c:pt idx="5300">
                  <c:v>54.555278000000001</c:v>
                </c:pt>
                <c:pt idx="5301">
                  <c:v>54.523333000000001</c:v>
                </c:pt>
                <c:pt idx="5302">
                  <c:v>54.487499999999997</c:v>
                </c:pt>
                <c:pt idx="5303">
                  <c:v>54.496667000000002</c:v>
                </c:pt>
                <c:pt idx="5304">
                  <c:v>54.515278000000002</c:v>
                </c:pt>
                <c:pt idx="5305">
                  <c:v>54.508056000000003</c:v>
                </c:pt>
                <c:pt idx="5306">
                  <c:v>54.551943999999999</c:v>
                </c:pt>
                <c:pt idx="5307">
                  <c:v>54.586388999999997</c:v>
                </c:pt>
                <c:pt idx="5308">
                  <c:v>54.629722000000001</c:v>
                </c:pt>
                <c:pt idx="5309">
                  <c:v>54.681666999999997</c:v>
                </c:pt>
                <c:pt idx="5310">
                  <c:v>54.733333000000002</c:v>
                </c:pt>
                <c:pt idx="5311">
                  <c:v>54.715555999999999</c:v>
                </c:pt>
                <c:pt idx="5312">
                  <c:v>54.7</c:v>
                </c:pt>
                <c:pt idx="5313">
                  <c:v>54.714167000000003</c:v>
                </c:pt>
                <c:pt idx="5314">
                  <c:v>54.703611000000002</c:v>
                </c:pt>
                <c:pt idx="5316">
                  <c:v>54.485556000000003</c:v>
                </c:pt>
                <c:pt idx="5317">
                  <c:v>54.441943999999999</c:v>
                </c:pt>
                <c:pt idx="5318">
                  <c:v>54.413611000000003</c:v>
                </c:pt>
                <c:pt idx="5319">
                  <c:v>54.368333</c:v>
                </c:pt>
                <c:pt idx="5320">
                  <c:v>54.393056000000001</c:v>
                </c:pt>
                <c:pt idx="5321">
                  <c:v>54.422778000000001</c:v>
                </c:pt>
                <c:pt idx="5322">
                  <c:v>54.453055999999997</c:v>
                </c:pt>
                <c:pt idx="5323">
                  <c:v>54.468888999999997</c:v>
                </c:pt>
                <c:pt idx="5324">
                  <c:v>54.478056000000002</c:v>
                </c:pt>
                <c:pt idx="5325">
                  <c:v>54.508333</c:v>
                </c:pt>
                <c:pt idx="5326">
                  <c:v>54.528333000000003</c:v>
                </c:pt>
                <c:pt idx="5327">
                  <c:v>54.521110999999998</c:v>
                </c:pt>
                <c:pt idx="5329">
                  <c:v>54.178333000000002</c:v>
                </c:pt>
                <c:pt idx="5330">
                  <c:v>54.155833000000001</c:v>
                </c:pt>
                <c:pt idx="5331">
                  <c:v>54.163888999999998</c:v>
                </c:pt>
                <c:pt idx="5332">
                  <c:v>54.195</c:v>
                </c:pt>
                <c:pt idx="5333">
                  <c:v>54.230277999999998</c:v>
                </c:pt>
                <c:pt idx="5334">
                  <c:v>54.258889000000003</c:v>
                </c:pt>
                <c:pt idx="5335">
                  <c:v>54.256943999999997</c:v>
                </c:pt>
                <c:pt idx="5336">
                  <c:v>54.227221999999998</c:v>
                </c:pt>
                <c:pt idx="5338">
                  <c:v>54.228611000000001</c:v>
                </c:pt>
                <c:pt idx="5339">
                  <c:v>54.252777999999999</c:v>
                </c:pt>
                <c:pt idx="5340">
                  <c:v>54.260278</c:v>
                </c:pt>
                <c:pt idx="5341">
                  <c:v>54.253889000000001</c:v>
                </c:pt>
                <c:pt idx="5343">
                  <c:v>54.106110999999999</c:v>
                </c:pt>
                <c:pt idx="5344">
                  <c:v>54.057222000000003</c:v>
                </c:pt>
                <c:pt idx="5345">
                  <c:v>54.092778000000003</c:v>
                </c:pt>
                <c:pt idx="5346">
                  <c:v>54.141666999999998</c:v>
                </c:pt>
                <c:pt idx="5347">
                  <c:v>54.157221999999997</c:v>
                </c:pt>
                <c:pt idx="5349">
                  <c:v>53.988889</c:v>
                </c:pt>
                <c:pt idx="5350">
                  <c:v>54.022500000000001</c:v>
                </c:pt>
                <c:pt idx="5352">
                  <c:v>53.919722</c:v>
                </c:pt>
                <c:pt idx="5353">
                  <c:v>53.921111000000003</c:v>
                </c:pt>
                <c:pt idx="5354">
                  <c:v>53.945556000000003</c:v>
                </c:pt>
                <c:pt idx="5355">
                  <c:v>53.963611</c:v>
                </c:pt>
                <c:pt idx="5357">
                  <c:v>53.961944000000003</c:v>
                </c:pt>
                <c:pt idx="5358">
                  <c:v>53.968055999999997</c:v>
                </c:pt>
                <c:pt idx="5360">
                  <c:v>54.020555999999999</c:v>
                </c:pt>
                <c:pt idx="5361">
                  <c:v>53.987222000000003</c:v>
                </c:pt>
                <c:pt idx="5362">
                  <c:v>53.987222000000003</c:v>
                </c:pt>
                <c:pt idx="5363">
                  <c:v>54.028888999999999</c:v>
                </c:pt>
                <c:pt idx="5364">
                  <c:v>54.044722</c:v>
                </c:pt>
                <c:pt idx="5365">
                  <c:v>54.090277999999998</c:v>
                </c:pt>
                <c:pt idx="5366">
                  <c:v>54.074722000000001</c:v>
                </c:pt>
                <c:pt idx="5368">
                  <c:v>54.160832999999997</c:v>
                </c:pt>
                <c:pt idx="5369">
                  <c:v>54.197499999999998</c:v>
                </c:pt>
                <c:pt idx="5371">
                  <c:v>53.664166999999999</c:v>
                </c:pt>
                <c:pt idx="5372">
                  <c:v>53.708333000000003</c:v>
                </c:pt>
                <c:pt idx="5373">
                  <c:v>53.752777999999999</c:v>
                </c:pt>
                <c:pt idx="5374">
                  <c:v>53.715000000000003</c:v>
                </c:pt>
                <c:pt idx="5376">
                  <c:v>53.638055999999999</c:v>
                </c:pt>
                <c:pt idx="5377">
                  <c:v>53.594444000000003</c:v>
                </c:pt>
                <c:pt idx="5378">
                  <c:v>53.565277999999999</c:v>
                </c:pt>
                <c:pt idx="5379">
                  <c:v>53.555</c:v>
                </c:pt>
                <c:pt idx="5380">
                  <c:v>53.584167000000001</c:v>
                </c:pt>
                <c:pt idx="5381">
                  <c:v>53.607500000000002</c:v>
                </c:pt>
                <c:pt idx="5382">
                  <c:v>53.641388999999997</c:v>
                </c:pt>
                <c:pt idx="5383">
                  <c:v>53.682499999999997</c:v>
                </c:pt>
                <c:pt idx="5385">
                  <c:v>53.438889000000003</c:v>
                </c:pt>
                <c:pt idx="5386">
                  <c:v>53.426667000000002</c:v>
                </c:pt>
                <c:pt idx="5387">
                  <c:v>53.412500000000001</c:v>
                </c:pt>
                <c:pt idx="5388">
                  <c:v>53.380277999999997</c:v>
                </c:pt>
                <c:pt idx="5389">
                  <c:v>53.343611000000003</c:v>
                </c:pt>
                <c:pt idx="5390">
                  <c:v>53.299722000000003</c:v>
                </c:pt>
                <c:pt idx="5391">
                  <c:v>53.327221999999999</c:v>
                </c:pt>
                <c:pt idx="5392">
                  <c:v>53.366667</c:v>
                </c:pt>
                <c:pt idx="5393">
                  <c:v>53.402500000000003</c:v>
                </c:pt>
                <c:pt idx="5394">
                  <c:v>53.414444000000003</c:v>
                </c:pt>
                <c:pt idx="5395">
                  <c:v>53.428888999999998</c:v>
                </c:pt>
                <c:pt idx="5396">
                  <c:v>53.457222000000002</c:v>
                </c:pt>
                <c:pt idx="5397">
                  <c:v>53.478332999999999</c:v>
                </c:pt>
                <c:pt idx="5398">
                  <c:v>53.501111000000002</c:v>
                </c:pt>
                <c:pt idx="5399">
                  <c:v>53.496389000000001</c:v>
                </c:pt>
                <c:pt idx="5400">
                  <c:v>53.518056000000001</c:v>
                </c:pt>
                <c:pt idx="5401">
                  <c:v>53.520277999999998</c:v>
                </c:pt>
                <c:pt idx="5402">
                  <c:v>53.505555999999999</c:v>
                </c:pt>
                <c:pt idx="5403">
                  <c:v>53.482222</c:v>
                </c:pt>
                <c:pt idx="5405">
                  <c:v>53.614167000000002</c:v>
                </c:pt>
                <c:pt idx="5406">
                  <c:v>53.568333000000003</c:v>
                </c:pt>
                <c:pt idx="5407">
                  <c:v>53.549444000000001</c:v>
                </c:pt>
                <c:pt idx="5408">
                  <c:v>53.550832999999997</c:v>
                </c:pt>
                <c:pt idx="5409">
                  <c:v>53.541389000000002</c:v>
                </c:pt>
                <c:pt idx="5410">
                  <c:v>53.508889000000003</c:v>
                </c:pt>
                <c:pt idx="5411">
                  <c:v>53.477499999999999</c:v>
                </c:pt>
                <c:pt idx="5412">
                  <c:v>53.457222000000002</c:v>
                </c:pt>
                <c:pt idx="5413">
                  <c:v>53.473610999999998</c:v>
                </c:pt>
                <c:pt idx="5414">
                  <c:v>53.496667000000002</c:v>
                </c:pt>
                <c:pt idx="5415">
                  <c:v>53.539166999999999</c:v>
                </c:pt>
                <c:pt idx="5416">
                  <c:v>53.557222000000003</c:v>
                </c:pt>
                <c:pt idx="5417">
                  <c:v>53.593333000000001</c:v>
                </c:pt>
                <c:pt idx="5418">
                  <c:v>53.643889000000001</c:v>
                </c:pt>
                <c:pt idx="5420">
                  <c:v>53.553333000000002</c:v>
                </c:pt>
                <c:pt idx="5421">
                  <c:v>53.592778000000003</c:v>
                </c:pt>
                <c:pt idx="5423">
                  <c:v>53.626944000000002</c:v>
                </c:pt>
                <c:pt idx="5424">
                  <c:v>53.623888999999998</c:v>
                </c:pt>
                <c:pt idx="5425">
                  <c:v>53.636667000000003</c:v>
                </c:pt>
                <c:pt idx="5426">
                  <c:v>53.668610999999999</c:v>
                </c:pt>
                <c:pt idx="5428">
                  <c:v>53.787500000000001</c:v>
                </c:pt>
                <c:pt idx="5429">
                  <c:v>53.791944000000001</c:v>
                </c:pt>
                <c:pt idx="5430">
                  <c:v>53.822499999999998</c:v>
                </c:pt>
                <c:pt idx="5432">
                  <c:v>53.447778</c:v>
                </c:pt>
                <c:pt idx="5433">
                  <c:v>53.467222</c:v>
                </c:pt>
                <c:pt idx="5434">
                  <c:v>53.486111000000001</c:v>
                </c:pt>
                <c:pt idx="5436">
                  <c:v>53.045000000000002</c:v>
                </c:pt>
                <c:pt idx="5437">
                  <c:v>53.003889000000001</c:v>
                </c:pt>
                <c:pt idx="5438">
                  <c:v>52.962221999999997</c:v>
                </c:pt>
                <c:pt idx="5439">
                  <c:v>52.926389</c:v>
                </c:pt>
                <c:pt idx="5440">
                  <c:v>52.893332999999998</c:v>
                </c:pt>
                <c:pt idx="5441">
                  <c:v>52.891944000000002</c:v>
                </c:pt>
                <c:pt idx="5442">
                  <c:v>52.847777999999998</c:v>
                </c:pt>
                <c:pt idx="5443">
                  <c:v>52.830556000000001</c:v>
                </c:pt>
                <c:pt idx="5444">
                  <c:v>52.875</c:v>
                </c:pt>
                <c:pt idx="5445">
                  <c:v>52.897778000000002</c:v>
                </c:pt>
                <c:pt idx="5446">
                  <c:v>52.923611000000001</c:v>
                </c:pt>
                <c:pt idx="5447">
                  <c:v>52.926389</c:v>
                </c:pt>
                <c:pt idx="5448">
                  <c:v>52.97</c:v>
                </c:pt>
                <c:pt idx="5449">
                  <c:v>53.003610999999999</c:v>
                </c:pt>
                <c:pt idx="5450">
                  <c:v>53.034166999999997</c:v>
                </c:pt>
                <c:pt idx="5451">
                  <c:v>53.072221999999996</c:v>
                </c:pt>
                <c:pt idx="5452">
                  <c:v>53.076110999999997</c:v>
                </c:pt>
                <c:pt idx="5454">
                  <c:v>52.023888999999997</c:v>
                </c:pt>
                <c:pt idx="5455">
                  <c:v>52.060555999999998</c:v>
                </c:pt>
                <c:pt idx="5456">
                  <c:v>52.034999999999997</c:v>
                </c:pt>
                <c:pt idx="5458">
                  <c:v>54.364443999999999</c:v>
                </c:pt>
                <c:pt idx="5459">
                  <c:v>54.310277999999997</c:v>
                </c:pt>
                <c:pt idx="5460">
                  <c:v>54.312778000000002</c:v>
                </c:pt>
                <c:pt idx="5461">
                  <c:v>54.372777999999997</c:v>
                </c:pt>
                <c:pt idx="5462">
                  <c:v>54.413055999999997</c:v>
                </c:pt>
                <c:pt idx="5464">
                  <c:v>54.581111</c:v>
                </c:pt>
                <c:pt idx="5466">
                  <c:v>55.219444000000003</c:v>
                </c:pt>
                <c:pt idx="5467">
                  <c:v>55.260556000000001</c:v>
                </c:pt>
                <c:pt idx="5469">
                  <c:v>56.204999999999998</c:v>
                </c:pt>
                <c:pt idx="5470">
                  <c:v>56.155000000000001</c:v>
                </c:pt>
                <c:pt idx="5471">
                  <c:v>56.116667</c:v>
                </c:pt>
                <c:pt idx="5472">
                  <c:v>56.080278</c:v>
                </c:pt>
                <c:pt idx="5473">
                  <c:v>56.050556</c:v>
                </c:pt>
                <c:pt idx="5474">
                  <c:v>56.011111</c:v>
                </c:pt>
                <c:pt idx="5475">
                  <c:v>56.036667000000001</c:v>
                </c:pt>
                <c:pt idx="5476">
                  <c:v>56.09</c:v>
                </c:pt>
                <c:pt idx="5477">
                  <c:v>56.141111000000002</c:v>
                </c:pt>
                <c:pt idx="5478">
                  <c:v>56.189444000000002</c:v>
                </c:pt>
                <c:pt idx="5479">
                  <c:v>56.246389000000001</c:v>
                </c:pt>
                <c:pt idx="5481">
                  <c:v>56.242778000000001</c:v>
                </c:pt>
                <c:pt idx="5482">
                  <c:v>56.275556000000002</c:v>
                </c:pt>
                <c:pt idx="5483">
                  <c:v>56.275278</c:v>
                </c:pt>
                <c:pt idx="5484">
                  <c:v>56.256110999999997</c:v>
                </c:pt>
                <c:pt idx="5485">
                  <c:v>56.231389</c:v>
                </c:pt>
                <c:pt idx="5487">
                  <c:v>56.372777999999997</c:v>
                </c:pt>
                <c:pt idx="5488">
                  <c:v>56.383611000000002</c:v>
                </c:pt>
                <c:pt idx="5489">
                  <c:v>56.388333000000003</c:v>
                </c:pt>
                <c:pt idx="5491">
                  <c:v>56.543332999999997</c:v>
                </c:pt>
                <c:pt idx="5492">
                  <c:v>56.501944000000002</c:v>
                </c:pt>
                <c:pt idx="5493">
                  <c:v>56.48</c:v>
                </c:pt>
                <c:pt idx="5494">
                  <c:v>56.470556000000002</c:v>
                </c:pt>
                <c:pt idx="5495">
                  <c:v>56.493333</c:v>
                </c:pt>
                <c:pt idx="5496">
                  <c:v>56.525556000000002</c:v>
                </c:pt>
                <c:pt idx="5497">
                  <c:v>56.5625</c:v>
                </c:pt>
                <c:pt idx="5498">
                  <c:v>56.572778</c:v>
                </c:pt>
                <c:pt idx="5500">
                  <c:v>56.679721999999998</c:v>
                </c:pt>
                <c:pt idx="5501">
                  <c:v>56.678055999999998</c:v>
                </c:pt>
                <c:pt idx="5502">
                  <c:v>56.684167000000002</c:v>
                </c:pt>
                <c:pt idx="5503">
                  <c:v>56.696111000000002</c:v>
                </c:pt>
                <c:pt idx="5505">
                  <c:v>56.873055999999998</c:v>
                </c:pt>
                <c:pt idx="5506">
                  <c:v>56.825833000000003</c:v>
                </c:pt>
                <c:pt idx="5507">
                  <c:v>56.78</c:v>
                </c:pt>
                <c:pt idx="5508">
                  <c:v>56.732222</c:v>
                </c:pt>
                <c:pt idx="5509">
                  <c:v>56.779443999999998</c:v>
                </c:pt>
                <c:pt idx="5510">
                  <c:v>56.820833</c:v>
                </c:pt>
                <c:pt idx="5511">
                  <c:v>56.868056000000003</c:v>
                </c:pt>
                <c:pt idx="5512">
                  <c:v>56.91</c:v>
                </c:pt>
                <c:pt idx="5514">
                  <c:v>56.692222000000001</c:v>
                </c:pt>
                <c:pt idx="5515">
                  <c:v>56.692777999999997</c:v>
                </c:pt>
                <c:pt idx="5516">
                  <c:v>56.701667</c:v>
                </c:pt>
                <c:pt idx="5517">
                  <c:v>56.711111000000002</c:v>
                </c:pt>
                <c:pt idx="5519">
                  <c:v>56.531666999999999</c:v>
                </c:pt>
                <c:pt idx="5520">
                  <c:v>56.560277999999997</c:v>
                </c:pt>
                <c:pt idx="5522">
                  <c:v>56.344721999999997</c:v>
                </c:pt>
                <c:pt idx="5523">
                  <c:v>56.320833</c:v>
                </c:pt>
                <c:pt idx="5524">
                  <c:v>56.278888999999999</c:v>
                </c:pt>
                <c:pt idx="5525">
                  <c:v>56.239167000000002</c:v>
                </c:pt>
                <c:pt idx="5526">
                  <c:v>56.200833000000003</c:v>
                </c:pt>
                <c:pt idx="5527">
                  <c:v>56.176667000000002</c:v>
                </c:pt>
                <c:pt idx="5528">
                  <c:v>56.202221999999999</c:v>
                </c:pt>
                <c:pt idx="5529">
                  <c:v>56.238610999999999</c:v>
                </c:pt>
                <c:pt idx="5530">
                  <c:v>56.283332999999999</c:v>
                </c:pt>
                <c:pt idx="5531">
                  <c:v>56.327221999999999</c:v>
                </c:pt>
                <c:pt idx="5532">
                  <c:v>56.35</c:v>
                </c:pt>
                <c:pt idx="5533">
                  <c:v>56.381110999999997</c:v>
                </c:pt>
                <c:pt idx="5535">
                  <c:v>56.501389000000003</c:v>
                </c:pt>
                <c:pt idx="5536">
                  <c:v>56.463611</c:v>
                </c:pt>
                <c:pt idx="5537">
                  <c:v>56.435555999999998</c:v>
                </c:pt>
                <c:pt idx="5538">
                  <c:v>56.462499999999999</c:v>
                </c:pt>
                <c:pt idx="5539">
                  <c:v>56.500278000000002</c:v>
                </c:pt>
                <c:pt idx="5540">
                  <c:v>56.543610999999999</c:v>
                </c:pt>
                <c:pt idx="5542">
                  <c:v>56.964167000000003</c:v>
                </c:pt>
                <c:pt idx="5543">
                  <c:v>56.928333000000002</c:v>
                </c:pt>
                <c:pt idx="5544">
                  <c:v>56.956667000000003</c:v>
                </c:pt>
                <c:pt idx="5545">
                  <c:v>56.994444000000001</c:v>
                </c:pt>
                <c:pt idx="5546">
                  <c:v>57.000833</c:v>
                </c:pt>
                <c:pt idx="5548">
                  <c:v>57.337778</c:v>
                </c:pt>
                <c:pt idx="5549">
                  <c:v>57.296388999999998</c:v>
                </c:pt>
                <c:pt idx="5550">
                  <c:v>57.251944000000002</c:v>
                </c:pt>
                <c:pt idx="5551">
                  <c:v>57.215555999999999</c:v>
                </c:pt>
                <c:pt idx="5552">
                  <c:v>57.175556</c:v>
                </c:pt>
                <c:pt idx="5553">
                  <c:v>57.139721999999999</c:v>
                </c:pt>
                <c:pt idx="5554">
                  <c:v>57.175832999999997</c:v>
                </c:pt>
                <c:pt idx="5555">
                  <c:v>57.215833000000003</c:v>
                </c:pt>
                <c:pt idx="5556">
                  <c:v>57.251389000000003</c:v>
                </c:pt>
                <c:pt idx="5557">
                  <c:v>57.292777999999998</c:v>
                </c:pt>
                <c:pt idx="5558">
                  <c:v>57.333888999999999</c:v>
                </c:pt>
                <c:pt idx="5559">
                  <c:v>57.374167</c:v>
                </c:pt>
                <c:pt idx="5561">
                  <c:v>57.479166999999997</c:v>
                </c:pt>
                <c:pt idx="5562">
                  <c:v>57.484166999999999</c:v>
                </c:pt>
                <c:pt idx="5563">
                  <c:v>57.502777999999999</c:v>
                </c:pt>
                <c:pt idx="5564">
                  <c:v>57.495832999999998</c:v>
                </c:pt>
                <c:pt idx="5566">
                  <c:v>57.638055999999999</c:v>
                </c:pt>
                <c:pt idx="5567">
                  <c:v>57.637222000000001</c:v>
                </c:pt>
                <c:pt idx="5569">
                  <c:v>56.713611</c:v>
                </c:pt>
                <c:pt idx="5570">
                  <c:v>56.692777999999997</c:v>
                </c:pt>
                <c:pt idx="5572">
                  <c:v>57.067777999999997</c:v>
                </c:pt>
                <c:pt idx="5573">
                  <c:v>57.081389000000001</c:v>
                </c:pt>
                <c:pt idx="5575">
                  <c:v>57.061388999999998</c:v>
                </c:pt>
                <c:pt idx="5576">
                  <c:v>57.041666999999997</c:v>
                </c:pt>
                <c:pt idx="5577">
                  <c:v>57.068055999999999</c:v>
                </c:pt>
                <c:pt idx="5578">
                  <c:v>57.077500000000001</c:v>
                </c:pt>
                <c:pt idx="5580">
                  <c:v>56.939722000000003</c:v>
                </c:pt>
                <c:pt idx="5581">
                  <c:v>56.940556000000001</c:v>
                </c:pt>
                <c:pt idx="5582">
                  <c:v>56.963889000000002</c:v>
                </c:pt>
                <c:pt idx="5583">
                  <c:v>56.950277999999997</c:v>
                </c:pt>
                <c:pt idx="5584">
                  <c:v>56.954444000000002</c:v>
                </c:pt>
                <c:pt idx="5585">
                  <c:v>56.950555999999999</c:v>
                </c:pt>
                <c:pt idx="5587">
                  <c:v>57.417777999999998</c:v>
                </c:pt>
                <c:pt idx="5588">
                  <c:v>57.423333</c:v>
                </c:pt>
                <c:pt idx="5589">
                  <c:v>57.428055999999998</c:v>
                </c:pt>
                <c:pt idx="5591">
                  <c:v>57.636389000000001</c:v>
                </c:pt>
                <c:pt idx="5592">
                  <c:v>57.651111</c:v>
                </c:pt>
                <c:pt idx="5593">
                  <c:v>57.646110999999998</c:v>
                </c:pt>
                <c:pt idx="5595">
                  <c:v>57.668332999999997</c:v>
                </c:pt>
                <c:pt idx="5596">
                  <c:v>57.678610999999997</c:v>
                </c:pt>
                <c:pt idx="5597">
                  <c:v>57.724722</c:v>
                </c:pt>
                <c:pt idx="5598">
                  <c:v>57.765833000000001</c:v>
                </c:pt>
                <c:pt idx="5599">
                  <c:v>57.728889000000002</c:v>
                </c:pt>
                <c:pt idx="5600">
                  <c:v>57.699722000000001</c:v>
                </c:pt>
                <c:pt idx="5601">
                  <c:v>57.668056</c:v>
                </c:pt>
                <c:pt idx="5602">
                  <c:v>57.639443999999997</c:v>
                </c:pt>
                <c:pt idx="5604">
                  <c:v>57.756388999999999</c:v>
                </c:pt>
                <c:pt idx="5605">
                  <c:v>57.786389</c:v>
                </c:pt>
                <c:pt idx="5606">
                  <c:v>57.741943999999997</c:v>
                </c:pt>
                <c:pt idx="5608">
                  <c:v>57.856667000000002</c:v>
                </c:pt>
                <c:pt idx="5609">
                  <c:v>57.893611</c:v>
                </c:pt>
                <c:pt idx="5610">
                  <c:v>57.895833000000003</c:v>
                </c:pt>
                <c:pt idx="5611">
                  <c:v>57.859721999999998</c:v>
                </c:pt>
                <c:pt idx="5612">
                  <c:v>57.860556000000003</c:v>
                </c:pt>
                <c:pt idx="5614">
                  <c:v>57.938889000000003</c:v>
                </c:pt>
                <c:pt idx="5616">
                  <c:v>58.066389000000001</c:v>
                </c:pt>
                <c:pt idx="5617">
                  <c:v>58.097499999999997</c:v>
                </c:pt>
                <c:pt idx="5618">
                  <c:v>58.133056000000003</c:v>
                </c:pt>
                <c:pt idx="5619">
                  <c:v>58.158332999999999</c:v>
                </c:pt>
                <c:pt idx="5620">
                  <c:v>58.158889000000002</c:v>
                </c:pt>
                <c:pt idx="5621">
                  <c:v>58.131667</c:v>
                </c:pt>
                <c:pt idx="5622">
                  <c:v>58.098332999999997</c:v>
                </c:pt>
                <c:pt idx="5623">
                  <c:v>58.07</c:v>
                </c:pt>
                <c:pt idx="5624">
                  <c:v>58.031944000000003</c:v>
                </c:pt>
                <c:pt idx="5626">
                  <c:v>58.198056000000001</c:v>
                </c:pt>
                <c:pt idx="5627">
                  <c:v>58.220832999999999</c:v>
                </c:pt>
                <c:pt idx="5629">
                  <c:v>58.277500000000003</c:v>
                </c:pt>
                <c:pt idx="5630">
                  <c:v>58.295555999999998</c:v>
                </c:pt>
                <c:pt idx="5632">
                  <c:v>57.581944</c:v>
                </c:pt>
                <c:pt idx="5633">
                  <c:v>57.608055999999998</c:v>
                </c:pt>
                <c:pt idx="5635">
                  <c:v>56.125833</c:v>
                </c:pt>
                <c:pt idx="5636">
                  <c:v>56.17</c:v>
                </c:pt>
                <c:pt idx="5638">
                  <c:v>61.866388999999998</c:v>
                </c:pt>
                <c:pt idx="5639">
                  <c:v>61.871667000000002</c:v>
                </c:pt>
                <c:pt idx="5640">
                  <c:v>61.865555999999998</c:v>
                </c:pt>
                <c:pt idx="5641">
                  <c:v>61.851388999999998</c:v>
                </c:pt>
                <c:pt idx="5642">
                  <c:v>61.862222000000003</c:v>
                </c:pt>
                <c:pt idx="5643">
                  <c:v>61.847222000000002</c:v>
                </c:pt>
                <c:pt idx="5644">
                  <c:v>61.879722000000001</c:v>
                </c:pt>
                <c:pt idx="5646">
                  <c:v>61.349443999999998</c:v>
                </c:pt>
                <c:pt idx="5647">
                  <c:v>61.33</c:v>
                </c:pt>
                <c:pt idx="5648">
                  <c:v>61.318888999999999</c:v>
                </c:pt>
                <c:pt idx="5649">
                  <c:v>61.298056000000003</c:v>
                </c:pt>
                <c:pt idx="5650">
                  <c:v>61.312778000000002</c:v>
                </c:pt>
                <c:pt idx="5651">
                  <c:v>61.333055999999999</c:v>
                </c:pt>
                <c:pt idx="5652">
                  <c:v>61.343055999999997</c:v>
                </c:pt>
                <c:pt idx="5653">
                  <c:v>61.368889000000003</c:v>
                </c:pt>
                <c:pt idx="5655">
                  <c:v>60.744999999999997</c:v>
                </c:pt>
                <c:pt idx="5656">
                  <c:v>60.707777999999998</c:v>
                </c:pt>
                <c:pt idx="5657">
                  <c:v>60.740833000000002</c:v>
                </c:pt>
                <c:pt idx="5658">
                  <c:v>60.805833</c:v>
                </c:pt>
                <c:pt idx="5660">
                  <c:v>60.44</c:v>
                </c:pt>
                <c:pt idx="5661">
                  <c:v>60.427778000000004</c:v>
                </c:pt>
                <c:pt idx="5662">
                  <c:v>60.351944000000003</c:v>
                </c:pt>
                <c:pt idx="5663">
                  <c:v>60.380833000000003</c:v>
                </c:pt>
                <c:pt idx="5664">
                  <c:v>60.418332999999997</c:v>
                </c:pt>
                <c:pt idx="5665">
                  <c:v>60.442222000000001</c:v>
                </c:pt>
                <c:pt idx="5667">
                  <c:v>60.118611000000001</c:v>
                </c:pt>
                <c:pt idx="5668">
                  <c:v>60.111111000000001</c:v>
                </c:pt>
                <c:pt idx="5669">
                  <c:v>60.178333000000002</c:v>
                </c:pt>
                <c:pt idx="5671">
                  <c:v>59.919167000000002</c:v>
                </c:pt>
                <c:pt idx="5672">
                  <c:v>59.852499999999999</c:v>
                </c:pt>
                <c:pt idx="5673">
                  <c:v>59.820556000000003</c:v>
                </c:pt>
                <c:pt idx="5674">
                  <c:v>59.881667</c:v>
                </c:pt>
                <c:pt idx="5675">
                  <c:v>59.925277999999999</c:v>
                </c:pt>
                <c:pt idx="5676">
                  <c:v>59.971111000000001</c:v>
                </c:pt>
                <c:pt idx="5678">
                  <c:v>58.765000000000001</c:v>
                </c:pt>
                <c:pt idx="5679">
                  <c:v>58.779443999999998</c:v>
                </c:pt>
                <c:pt idx="5680">
                  <c:v>58.765833000000001</c:v>
                </c:pt>
                <c:pt idx="5681">
                  <c:v>58.798889000000003</c:v>
                </c:pt>
                <c:pt idx="5683">
                  <c:v>59.288611000000003</c:v>
                </c:pt>
                <c:pt idx="5684">
                  <c:v>59.305</c:v>
                </c:pt>
                <c:pt idx="5685">
                  <c:v>59.306666999999997</c:v>
                </c:pt>
                <c:pt idx="5687">
                  <c:v>59.240833000000002</c:v>
                </c:pt>
                <c:pt idx="5688">
                  <c:v>59.151667000000003</c:v>
                </c:pt>
                <c:pt idx="5689">
                  <c:v>59.070278000000002</c:v>
                </c:pt>
                <c:pt idx="5690">
                  <c:v>59.025556000000002</c:v>
                </c:pt>
                <c:pt idx="5691">
                  <c:v>59.107222</c:v>
                </c:pt>
                <c:pt idx="5692">
                  <c:v>59.187778000000002</c:v>
                </c:pt>
                <c:pt idx="5693">
                  <c:v>59.266944000000002</c:v>
                </c:pt>
                <c:pt idx="5694">
                  <c:v>59.311667</c:v>
                </c:pt>
                <c:pt idx="5696">
                  <c:v>59.115000000000002</c:v>
                </c:pt>
                <c:pt idx="5697">
                  <c:v>59.073332999999998</c:v>
                </c:pt>
                <c:pt idx="5698">
                  <c:v>58.996110999999999</c:v>
                </c:pt>
                <c:pt idx="5699">
                  <c:v>59.056111000000001</c:v>
                </c:pt>
                <c:pt idx="5700">
                  <c:v>59.108333000000002</c:v>
                </c:pt>
                <c:pt idx="5701">
                  <c:v>59.183610999999999</c:v>
                </c:pt>
                <c:pt idx="5703">
                  <c:v>59.41</c:v>
                </c:pt>
                <c:pt idx="5704">
                  <c:v>59.387500000000003</c:v>
                </c:pt>
                <c:pt idx="5705">
                  <c:v>59.370832999999998</c:v>
                </c:pt>
                <c:pt idx="5706">
                  <c:v>59.395555999999999</c:v>
                </c:pt>
                <c:pt idx="5707">
                  <c:v>59.428055999999998</c:v>
                </c:pt>
                <c:pt idx="5709">
                  <c:v>59.720556000000002</c:v>
                </c:pt>
                <c:pt idx="5710">
                  <c:v>59.708055999999999</c:v>
                </c:pt>
                <c:pt idx="5711">
                  <c:v>59.656388999999997</c:v>
                </c:pt>
                <c:pt idx="5712">
                  <c:v>59.691667000000002</c:v>
                </c:pt>
                <c:pt idx="5713">
                  <c:v>59.741110999999997</c:v>
                </c:pt>
                <c:pt idx="5715">
                  <c:v>59.924444000000001</c:v>
                </c:pt>
                <c:pt idx="5716">
                  <c:v>59.865000000000002</c:v>
                </c:pt>
                <c:pt idx="5717">
                  <c:v>59.835833000000001</c:v>
                </c:pt>
                <c:pt idx="5718">
                  <c:v>59.801943999999999</c:v>
                </c:pt>
                <c:pt idx="5719">
                  <c:v>59.843611000000003</c:v>
                </c:pt>
                <c:pt idx="5720">
                  <c:v>59.788055999999997</c:v>
                </c:pt>
                <c:pt idx="5721">
                  <c:v>59.773055999999997</c:v>
                </c:pt>
                <c:pt idx="5722">
                  <c:v>59.813611000000002</c:v>
                </c:pt>
                <c:pt idx="5723">
                  <c:v>59.875556000000003</c:v>
                </c:pt>
                <c:pt idx="5724">
                  <c:v>59.940556000000001</c:v>
                </c:pt>
                <c:pt idx="5725">
                  <c:v>59.995277999999999</c:v>
                </c:pt>
                <c:pt idx="5727">
                  <c:v>60.160832999999997</c:v>
                </c:pt>
                <c:pt idx="5728">
                  <c:v>60.159166999999997</c:v>
                </c:pt>
                <c:pt idx="5729">
                  <c:v>60.160277999999998</c:v>
                </c:pt>
                <c:pt idx="5731">
                  <c:v>59.842500000000001</c:v>
                </c:pt>
                <c:pt idx="5732">
                  <c:v>59.843611000000003</c:v>
                </c:pt>
                <c:pt idx="5734">
                  <c:v>58.777500000000003</c:v>
                </c:pt>
                <c:pt idx="5735">
                  <c:v>58.703333000000001</c:v>
                </c:pt>
                <c:pt idx="5736">
                  <c:v>58.617778000000001</c:v>
                </c:pt>
                <c:pt idx="5737">
                  <c:v>58.663611000000003</c:v>
                </c:pt>
                <c:pt idx="5738">
                  <c:v>58.741943999999997</c:v>
                </c:pt>
                <c:pt idx="5739">
                  <c:v>58.798611000000001</c:v>
                </c:pt>
                <c:pt idx="5741">
                  <c:v>58.572221999999996</c:v>
                </c:pt>
                <c:pt idx="5742">
                  <c:v>58.484444000000003</c:v>
                </c:pt>
                <c:pt idx="5743">
                  <c:v>58.453611000000002</c:v>
                </c:pt>
                <c:pt idx="5744">
                  <c:v>58.542777999999998</c:v>
                </c:pt>
                <c:pt idx="5745">
                  <c:v>58.638333000000003</c:v>
                </c:pt>
                <c:pt idx="5747">
                  <c:v>58.347499999999997</c:v>
                </c:pt>
                <c:pt idx="5748">
                  <c:v>58.375278000000002</c:v>
                </c:pt>
                <c:pt idx="5749">
                  <c:v>58.444721999999999</c:v>
                </c:pt>
                <c:pt idx="5751">
                  <c:v>61.912500000000001</c:v>
                </c:pt>
                <c:pt idx="5752">
                  <c:v>61.908332999999999</c:v>
                </c:pt>
                <c:pt idx="5753">
                  <c:v>61.923333</c:v>
                </c:pt>
                <c:pt idx="5754">
                  <c:v>61.965833000000003</c:v>
                </c:pt>
                <c:pt idx="5755">
                  <c:v>61.935833000000002</c:v>
                </c:pt>
                <c:pt idx="5757">
                  <c:v>61.704721999999997</c:v>
                </c:pt>
                <c:pt idx="5758">
                  <c:v>61.751666999999998</c:v>
                </c:pt>
                <c:pt idx="5759">
                  <c:v>61.688889000000003</c:v>
                </c:pt>
                <c:pt idx="5760">
                  <c:v>61.624443999999997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4-48F8-AAB9-5763DB16373D}"/>
            </c:ext>
          </c:extLst>
        </c:ser>
        <c:ser>
          <c:idx val="2"/>
          <c:order val="2"/>
          <c:spPr>
            <a:ln w="9525" cap="rnd">
              <a:solidFill>
                <a:schemeClr val="bg1">
                  <a:lumMod val="50000"/>
                  <a:alpha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Rect!$K$2:$K$140</c:f>
              <c:numCache>
                <c:formatCode>General</c:formatCode>
                <c:ptCount val="139"/>
                <c:pt idx="0">
                  <c:v>-15</c:v>
                </c:pt>
                <c:pt idx="1">
                  <c:v>-4</c:v>
                </c:pt>
                <c:pt idx="2">
                  <c:v>-4</c:v>
                </c:pt>
                <c:pt idx="3">
                  <c:v>-5</c:v>
                </c:pt>
                <c:pt idx="4">
                  <c:v>-5</c:v>
                </c:pt>
                <c:pt idx="5">
                  <c:v>-8</c:v>
                </c:pt>
                <c:pt idx="6">
                  <c:v>-8</c:v>
                </c:pt>
                <c:pt idx="7">
                  <c:v>-7.5</c:v>
                </c:pt>
                <c:pt idx="8">
                  <c:v>-7.5</c:v>
                </c:pt>
                <c:pt idx="9">
                  <c:v>-8</c:v>
                </c:pt>
                <c:pt idx="10">
                  <c:v>-10</c:v>
                </c:pt>
                <c:pt idx="11">
                  <c:v>-10</c:v>
                </c:pt>
                <c:pt idx="12">
                  <c:v>-15</c:v>
                </c:pt>
                <c:pt idx="13">
                  <c:v>-15</c:v>
                </c:pt>
                <c:pt idx="15">
                  <c:v>-8</c:v>
                </c:pt>
                <c:pt idx="16">
                  <c:v>-8</c:v>
                </c:pt>
                <c:pt idx="17">
                  <c:v>-7.5</c:v>
                </c:pt>
                <c:pt idx="18">
                  <c:v>-7.5</c:v>
                </c:pt>
                <c:pt idx="19">
                  <c:v>-8</c:v>
                </c:pt>
                <c:pt idx="20">
                  <c:v>-10</c:v>
                </c:pt>
                <c:pt idx="21">
                  <c:v>-10</c:v>
                </c:pt>
                <c:pt idx="22">
                  <c:v>-8</c:v>
                </c:pt>
                <c:pt idx="24">
                  <c:v>-12</c:v>
                </c:pt>
                <c:pt idx="25">
                  <c:v>-5</c:v>
                </c:pt>
                <c:pt idx="26">
                  <c:v>-5</c:v>
                </c:pt>
                <c:pt idx="27">
                  <c:v>-4</c:v>
                </c:pt>
                <c:pt idx="28">
                  <c:v>-4</c:v>
                </c:pt>
                <c:pt idx="30">
                  <c:v>-5</c:v>
                </c:pt>
                <c:pt idx="31">
                  <c:v>-6</c:v>
                </c:pt>
                <c:pt idx="33">
                  <c:v>-7</c:v>
                </c:pt>
                <c:pt idx="34">
                  <c:v>-7</c:v>
                </c:pt>
                <c:pt idx="35">
                  <c:v>-12</c:v>
                </c:pt>
                <c:pt idx="36">
                  <c:v>-12</c:v>
                </c:pt>
                <c:pt idx="38">
                  <c:v>-8.5</c:v>
                </c:pt>
                <c:pt idx="39">
                  <c:v>-12</c:v>
                </c:pt>
                <c:pt idx="40">
                  <c:v>-12</c:v>
                </c:pt>
                <c:pt idx="41">
                  <c:v>-7</c:v>
                </c:pt>
                <c:pt idx="42">
                  <c:v>-7</c:v>
                </c:pt>
                <c:pt idx="44">
                  <c:v>-18</c:v>
                </c:pt>
                <c:pt idx="45">
                  <c:v>-12</c:v>
                </c:pt>
                <c:pt idx="46">
                  <c:v>-12</c:v>
                </c:pt>
                <c:pt idx="47">
                  <c:v>-18</c:v>
                </c:pt>
                <c:pt idx="48">
                  <c:v>-18</c:v>
                </c:pt>
                <c:pt idx="50">
                  <c:v>-18</c:v>
                </c:pt>
                <c:pt idx="51">
                  <c:v>-12</c:v>
                </c:pt>
                <c:pt idx="52">
                  <c:v>-12</c:v>
                </c:pt>
                <c:pt idx="53">
                  <c:v>-18</c:v>
                </c:pt>
                <c:pt idx="54">
                  <c:v>-18</c:v>
                </c:pt>
                <c:pt idx="56">
                  <c:v>-8.5</c:v>
                </c:pt>
                <c:pt idx="57">
                  <c:v>-12</c:v>
                </c:pt>
                <c:pt idx="58">
                  <c:v>-12</c:v>
                </c:pt>
                <c:pt idx="59">
                  <c:v>-10</c:v>
                </c:pt>
                <c:pt idx="61">
                  <c:v>-5</c:v>
                </c:pt>
                <c:pt idx="62">
                  <c:v>-6</c:v>
                </c:pt>
                <c:pt idx="64">
                  <c:v>-5</c:v>
                </c:pt>
                <c:pt idx="65">
                  <c:v>-7.5</c:v>
                </c:pt>
                <c:pt idx="67">
                  <c:v>-18</c:v>
                </c:pt>
                <c:pt idx="68">
                  <c:v>-12</c:v>
                </c:pt>
                <c:pt idx="69">
                  <c:v>-12</c:v>
                </c:pt>
                <c:pt idx="70">
                  <c:v>-18</c:v>
                </c:pt>
                <c:pt idx="71">
                  <c:v>-18</c:v>
                </c:pt>
                <c:pt idx="73">
                  <c:v>-10</c:v>
                </c:pt>
                <c:pt idx="74">
                  <c:v>-12</c:v>
                </c:pt>
                <c:pt idx="75">
                  <c:v>-12</c:v>
                </c:pt>
                <c:pt idx="76">
                  <c:v>-9</c:v>
                </c:pt>
                <c:pt idx="77">
                  <c:v>-9</c:v>
                </c:pt>
                <c:pt idx="79">
                  <c:v>-5</c:v>
                </c:pt>
                <c:pt idx="80">
                  <c:v>-7.5</c:v>
                </c:pt>
                <c:pt idx="82">
                  <c:v>-9</c:v>
                </c:pt>
                <c:pt idx="83">
                  <c:v>-9</c:v>
                </c:pt>
                <c:pt idx="84">
                  <c:v>-7</c:v>
                </c:pt>
                <c:pt idx="85">
                  <c:v>-7</c:v>
                </c:pt>
                <c:pt idx="86">
                  <c:v>-6</c:v>
                </c:pt>
                <c:pt idx="87">
                  <c:v>-6</c:v>
                </c:pt>
                <c:pt idx="88">
                  <c:v>-5</c:v>
                </c:pt>
                <c:pt idx="89">
                  <c:v>-5</c:v>
                </c:pt>
                <c:pt idx="91">
                  <c:v>-7</c:v>
                </c:pt>
                <c:pt idx="92">
                  <c:v>-9</c:v>
                </c:pt>
                <c:pt idx="93">
                  <c:v>-9</c:v>
                </c:pt>
                <c:pt idx="94">
                  <c:v>-5</c:v>
                </c:pt>
                <c:pt idx="95">
                  <c:v>-5</c:v>
                </c:pt>
                <c:pt idx="96">
                  <c:v>-7</c:v>
                </c:pt>
                <c:pt idx="97">
                  <c:v>-7</c:v>
                </c:pt>
                <c:pt idx="99">
                  <c:v>-5</c:v>
                </c:pt>
                <c:pt idx="100">
                  <c:v>-5</c:v>
                </c:pt>
                <c:pt idx="101">
                  <c:v>-6</c:v>
                </c:pt>
                <c:pt idx="102">
                  <c:v>-6</c:v>
                </c:pt>
                <c:pt idx="103">
                  <c:v>-7</c:v>
                </c:pt>
                <c:pt idx="104">
                  <c:v>-7</c:v>
                </c:pt>
                <c:pt idx="105">
                  <c:v>-5</c:v>
                </c:pt>
                <c:pt idx="106">
                  <c:v>-5</c:v>
                </c:pt>
                <c:pt idx="107">
                  <c:v>-4.5</c:v>
                </c:pt>
                <c:pt idx="109">
                  <c:v>-2</c:v>
                </c:pt>
                <c:pt idx="110">
                  <c:v>-2</c:v>
                </c:pt>
                <c:pt idx="112">
                  <c:v>-2</c:v>
                </c:pt>
                <c:pt idx="113">
                  <c:v>-2</c:v>
                </c:pt>
                <c:pt idx="115">
                  <c:v>2</c:v>
                </c:pt>
                <c:pt idx="116">
                  <c:v>1.2</c:v>
                </c:pt>
                <c:pt idx="118">
                  <c:v>5</c:v>
                </c:pt>
                <c:pt idx="119">
                  <c:v>-4</c:v>
                </c:pt>
                <c:pt idx="120">
                  <c:v>-4</c:v>
                </c:pt>
                <c:pt idx="122">
                  <c:v>-1.8</c:v>
                </c:pt>
                <c:pt idx="123">
                  <c:v>7</c:v>
                </c:pt>
                <c:pt idx="124">
                  <c:v>7</c:v>
                </c:pt>
                <c:pt idx="126">
                  <c:v>9</c:v>
                </c:pt>
                <c:pt idx="127">
                  <c:v>8</c:v>
                </c:pt>
                <c:pt idx="128">
                  <c:v>7</c:v>
                </c:pt>
                <c:pt idx="129">
                  <c:v>-1.8</c:v>
                </c:pt>
                <c:pt idx="131">
                  <c:v>0.2</c:v>
                </c:pt>
                <c:pt idx="132">
                  <c:v>7</c:v>
                </c:pt>
                <c:pt idx="134">
                  <c:v>0.2</c:v>
                </c:pt>
                <c:pt idx="135">
                  <c:v>7</c:v>
                </c:pt>
                <c:pt idx="137">
                  <c:v>2</c:v>
                </c:pt>
                <c:pt idx="138">
                  <c:v>1.2</c:v>
                </c:pt>
              </c:numCache>
            </c:numRef>
          </c:xVal>
          <c:yVal>
            <c:numRef>
              <c:f>Rect!$L$2:$L$140</c:f>
              <c:numCache>
                <c:formatCode>General</c:formatCode>
                <c:ptCount val="139"/>
                <c:pt idx="0">
                  <c:v>63</c:v>
                </c:pt>
                <c:pt idx="1">
                  <c:v>63</c:v>
                </c:pt>
                <c:pt idx="2">
                  <c:v>60.5</c:v>
                </c:pt>
                <c:pt idx="3">
                  <c:v>60.5</c:v>
                </c:pt>
                <c:pt idx="4">
                  <c:v>60</c:v>
                </c:pt>
                <c:pt idx="5">
                  <c:v>60</c:v>
                </c:pt>
                <c:pt idx="6">
                  <c:v>60.5</c:v>
                </c:pt>
                <c:pt idx="7">
                  <c:v>60.5</c:v>
                </c:pt>
                <c:pt idx="8">
                  <c:v>61.25</c:v>
                </c:pt>
                <c:pt idx="9">
                  <c:v>61.5</c:v>
                </c:pt>
                <c:pt idx="10">
                  <c:v>61.5</c:v>
                </c:pt>
                <c:pt idx="11">
                  <c:v>60</c:v>
                </c:pt>
                <c:pt idx="12">
                  <c:v>60</c:v>
                </c:pt>
                <c:pt idx="13">
                  <c:v>63</c:v>
                </c:pt>
                <c:pt idx="15">
                  <c:v>60</c:v>
                </c:pt>
                <c:pt idx="16">
                  <c:v>60.5</c:v>
                </c:pt>
                <c:pt idx="17">
                  <c:v>60.5</c:v>
                </c:pt>
                <c:pt idx="18">
                  <c:v>61.25</c:v>
                </c:pt>
                <c:pt idx="19">
                  <c:v>61.5</c:v>
                </c:pt>
                <c:pt idx="20">
                  <c:v>61.5</c:v>
                </c:pt>
                <c:pt idx="21">
                  <c:v>60</c:v>
                </c:pt>
                <c:pt idx="22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60.5</c:v>
                </c:pt>
                <c:pt idx="27">
                  <c:v>60.5</c:v>
                </c:pt>
                <c:pt idx="28">
                  <c:v>58.5</c:v>
                </c:pt>
                <c:pt idx="30">
                  <c:v>55</c:v>
                </c:pt>
                <c:pt idx="31">
                  <c:v>55</c:v>
                </c:pt>
                <c:pt idx="33">
                  <c:v>55</c:v>
                </c:pt>
                <c:pt idx="34">
                  <c:v>56</c:v>
                </c:pt>
                <c:pt idx="35">
                  <c:v>56</c:v>
                </c:pt>
                <c:pt idx="36">
                  <c:v>60</c:v>
                </c:pt>
                <c:pt idx="38">
                  <c:v>54.5</c:v>
                </c:pt>
                <c:pt idx="39">
                  <c:v>54.5</c:v>
                </c:pt>
                <c:pt idx="40">
                  <c:v>56</c:v>
                </c:pt>
                <c:pt idx="41">
                  <c:v>56</c:v>
                </c:pt>
                <c:pt idx="42">
                  <c:v>55</c:v>
                </c:pt>
                <c:pt idx="44">
                  <c:v>60</c:v>
                </c:pt>
                <c:pt idx="45">
                  <c:v>60</c:v>
                </c:pt>
                <c:pt idx="46">
                  <c:v>54.5</c:v>
                </c:pt>
                <c:pt idx="47">
                  <c:v>54.5</c:v>
                </c:pt>
                <c:pt idx="48">
                  <c:v>60</c:v>
                </c:pt>
                <c:pt idx="50">
                  <c:v>54.5</c:v>
                </c:pt>
                <c:pt idx="51">
                  <c:v>54.5</c:v>
                </c:pt>
                <c:pt idx="52">
                  <c:v>52.5</c:v>
                </c:pt>
                <c:pt idx="53">
                  <c:v>52.5</c:v>
                </c:pt>
                <c:pt idx="54">
                  <c:v>54.5</c:v>
                </c:pt>
                <c:pt idx="56">
                  <c:v>54.5</c:v>
                </c:pt>
                <c:pt idx="57">
                  <c:v>54.5</c:v>
                </c:pt>
                <c:pt idx="58">
                  <c:v>52.5</c:v>
                </c:pt>
                <c:pt idx="59">
                  <c:v>52.5</c:v>
                </c:pt>
                <c:pt idx="61">
                  <c:v>55</c:v>
                </c:pt>
                <c:pt idx="62">
                  <c:v>55</c:v>
                </c:pt>
                <c:pt idx="64">
                  <c:v>52</c:v>
                </c:pt>
                <c:pt idx="65">
                  <c:v>52</c:v>
                </c:pt>
                <c:pt idx="67">
                  <c:v>52.5</c:v>
                </c:pt>
                <c:pt idx="68">
                  <c:v>52.5</c:v>
                </c:pt>
                <c:pt idx="69">
                  <c:v>48</c:v>
                </c:pt>
                <c:pt idx="70">
                  <c:v>48</c:v>
                </c:pt>
                <c:pt idx="71">
                  <c:v>52.5</c:v>
                </c:pt>
                <c:pt idx="73">
                  <c:v>52.5</c:v>
                </c:pt>
                <c:pt idx="74">
                  <c:v>52.5</c:v>
                </c:pt>
                <c:pt idx="75">
                  <c:v>48</c:v>
                </c:pt>
                <c:pt idx="76">
                  <c:v>48</c:v>
                </c:pt>
                <c:pt idx="77">
                  <c:v>51.5</c:v>
                </c:pt>
                <c:pt idx="79">
                  <c:v>52</c:v>
                </c:pt>
                <c:pt idx="80">
                  <c:v>52</c:v>
                </c:pt>
                <c:pt idx="82">
                  <c:v>51.5</c:v>
                </c:pt>
                <c:pt idx="83">
                  <c:v>50</c:v>
                </c:pt>
                <c:pt idx="84">
                  <c:v>50</c:v>
                </c:pt>
                <c:pt idx="85">
                  <c:v>50.5</c:v>
                </c:pt>
                <c:pt idx="86">
                  <c:v>50.5</c:v>
                </c:pt>
                <c:pt idx="87">
                  <c:v>51</c:v>
                </c:pt>
                <c:pt idx="88">
                  <c:v>51</c:v>
                </c:pt>
                <c:pt idx="89">
                  <c:v>51.6</c:v>
                </c:pt>
                <c:pt idx="91">
                  <c:v>50</c:v>
                </c:pt>
                <c:pt idx="92">
                  <c:v>50</c:v>
                </c:pt>
                <c:pt idx="93">
                  <c:v>48</c:v>
                </c:pt>
                <c:pt idx="94">
                  <c:v>48</c:v>
                </c:pt>
                <c:pt idx="95">
                  <c:v>49.5</c:v>
                </c:pt>
                <c:pt idx="96">
                  <c:v>49.5</c:v>
                </c:pt>
                <c:pt idx="97">
                  <c:v>50</c:v>
                </c:pt>
                <c:pt idx="99">
                  <c:v>51.6</c:v>
                </c:pt>
                <c:pt idx="100">
                  <c:v>51</c:v>
                </c:pt>
                <c:pt idx="101">
                  <c:v>51</c:v>
                </c:pt>
                <c:pt idx="102">
                  <c:v>50.5</c:v>
                </c:pt>
                <c:pt idx="103">
                  <c:v>50.5</c:v>
                </c:pt>
                <c:pt idx="104">
                  <c:v>49.5</c:v>
                </c:pt>
                <c:pt idx="105">
                  <c:v>49.5</c:v>
                </c:pt>
                <c:pt idx="106">
                  <c:v>48</c:v>
                </c:pt>
                <c:pt idx="107">
                  <c:v>48</c:v>
                </c:pt>
                <c:pt idx="109">
                  <c:v>50.6</c:v>
                </c:pt>
                <c:pt idx="110">
                  <c:v>49.7</c:v>
                </c:pt>
                <c:pt idx="112">
                  <c:v>50.6</c:v>
                </c:pt>
                <c:pt idx="113">
                  <c:v>49.7</c:v>
                </c:pt>
                <c:pt idx="115">
                  <c:v>51</c:v>
                </c:pt>
                <c:pt idx="116">
                  <c:v>51</c:v>
                </c:pt>
                <c:pt idx="118">
                  <c:v>62</c:v>
                </c:pt>
                <c:pt idx="119">
                  <c:v>62</c:v>
                </c:pt>
                <c:pt idx="120">
                  <c:v>58.5</c:v>
                </c:pt>
                <c:pt idx="122">
                  <c:v>57.5</c:v>
                </c:pt>
                <c:pt idx="123">
                  <c:v>57.5</c:v>
                </c:pt>
                <c:pt idx="124">
                  <c:v>58</c:v>
                </c:pt>
                <c:pt idx="126">
                  <c:v>57</c:v>
                </c:pt>
                <c:pt idx="127">
                  <c:v>57</c:v>
                </c:pt>
                <c:pt idx="128">
                  <c:v>57.5</c:v>
                </c:pt>
                <c:pt idx="129">
                  <c:v>57.5</c:v>
                </c:pt>
                <c:pt idx="131">
                  <c:v>53.5</c:v>
                </c:pt>
                <c:pt idx="132">
                  <c:v>53.5</c:v>
                </c:pt>
                <c:pt idx="134">
                  <c:v>53.5</c:v>
                </c:pt>
                <c:pt idx="135">
                  <c:v>53.5</c:v>
                </c:pt>
                <c:pt idx="137">
                  <c:v>51</c:v>
                </c:pt>
                <c:pt idx="138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14-48F8-AAB9-5763DB163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2536"/>
        <c:axId val="151192928"/>
      </c:scatterChart>
      <c:valAx>
        <c:axId val="151192536"/>
        <c:scaling>
          <c:orientation val="minMax"/>
          <c:max val="10"/>
          <c:min val="-5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192928"/>
        <c:crosses val="autoZero"/>
        <c:crossBetween val="midCat"/>
      </c:valAx>
      <c:valAx>
        <c:axId val="151192928"/>
        <c:scaling>
          <c:orientation val="minMax"/>
          <c:max val="56"/>
          <c:min val="49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192536"/>
        <c:crosses val="autoZero"/>
        <c:crossBetween val="midCat"/>
      </c:valAx>
      <c:spPr>
        <a:noFill/>
        <a:ln>
          <a:solidFill>
            <a:srgbClr val="FFC000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nl-NL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>
        <c:manualLayout>
          <c:layoutTarget val="inner"/>
          <c:xMode val="edge"/>
          <c:yMode val="edge"/>
          <c:x val="7.2984941520467833E-2"/>
          <c:y val="1.3702146464646464E-2"/>
          <c:w val="0.88624605263157896"/>
          <c:h val="0.94223813131313128"/>
        </c:manualLayout>
      </c:layout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numRef>
              <c:f>Kaart!$N$2:$N$54</c:f>
              <c:numCache>
                <c:formatCode>0.00</c:formatCode>
                <c:ptCount val="53"/>
                <c:pt idx="0">
                  <c:v>3.5333333333333332</c:v>
                </c:pt>
                <c:pt idx="1">
                  <c:v>3.2333333333333334</c:v>
                </c:pt>
                <c:pt idx="2">
                  <c:v>3.05</c:v>
                </c:pt>
                <c:pt idx="3">
                  <c:v>2.8666666666666667</c:v>
                </c:pt>
                <c:pt idx="4">
                  <c:v>2.7666666666666666</c:v>
                </c:pt>
                <c:pt idx="5">
                  <c:v>2.6666666666666665</c:v>
                </c:pt>
                <c:pt idx="6">
                  <c:v>2.6</c:v>
                </c:pt>
                <c:pt idx="7">
                  <c:v>2.5333333333333332</c:v>
                </c:pt>
                <c:pt idx="8">
                  <c:v>2.5499999999999998</c:v>
                </c:pt>
                <c:pt idx="9">
                  <c:v>2.5166666666666666</c:v>
                </c:pt>
                <c:pt idx="10">
                  <c:v>2.4500000000000002</c:v>
                </c:pt>
                <c:pt idx="11">
                  <c:v>2.4666666666666668</c:v>
                </c:pt>
                <c:pt idx="12">
                  <c:v>2.4666666666666668</c:v>
                </c:pt>
                <c:pt idx="13">
                  <c:v>2.4666666666666668</c:v>
                </c:pt>
                <c:pt idx="14">
                  <c:v>2.4333333333333336</c:v>
                </c:pt>
                <c:pt idx="15">
                  <c:v>2.4666666666666668</c:v>
                </c:pt>
                <c:pt idx="16">
                  <c:v>2.4500000000000002</c:v>
                </c:pt>
                <c:pt idx="17">
                  <c:v>2.4166666666666665</c:v>
                </c:pt>
                <c:pt idx="18">
                  <c:v>2.4333333333333336</c:v>
                </c:pt>
                <c:pt idx="19">
                  <c:v>2.4666666666666668</c:v>
                </c:pt>
                <c:pt idx="20">
                  <c:v>2.4333333333333336</c:v>
                </c:pt>
                <c:pt idx="21">
                  <c:v>2.4166666666666665</c:v>
                </c:pt>
                <c:pt idx="22">
                  <c:v>2.4666666666666668</c:v>
                </c:pt>
                <c:pt idx="23">
                  <c:v>2.4333333333333336</c:v>
                </c:pt>
                <c:pt idx="24">
                  <c:v>2.3833333333333333</c:v>
                </c:pt>
                <c:pt idx="25">
                  <c:v>2.4166666666666665</c:v>
                </c:pt>
                <c:pt idx="26">
                  <c:v>2.3333333333333335</c:v>
                </c:pt>
                <c:pt idx="27">
                  <c:v>2.4</c:v>
                </c:pt>
                <c:pt idx="28">
                  <c:v>2.3833333333333333</c:v>
                </c:pt>
                <c:pt idx="29">
                  <c:v>2.4500000000000002</c:v>
                </c:pt>
                <c:pt idx="30">
                  <c:v>2.4500000000000002</c:v>
                </c:pt>
                <c:pt idx="31">
                  <c:v>2.4333333333333336</c:v>
                </c:pt>
                <c:pt idx="32">
                  <c:v>2.4333333333333336</c:v>
                </c:pt>
                <c:pt idx="33">
                  <c:v>2.4333333333333336</c:v>
                </c:pt>
                <c:pt idx="34">
                  <c:v>2.4333333333333336</c:v>
                </c:pt>
                <c:pt idx="35">
                  <c:v>2.4500000000000002</c:v>
                </c:pt>
                <c:pt idx="36">
                  <c:v>2.4666666666666668</c:v>
                </c:pt>
                <c:pt idx="37">
                  <c:v>2.4333333333333336</c:v>
                </c:pt>
                <c:pt idx="38">
                  <c:v>2.4666666666666668</c:v>
                </c:pt>
                <c:pt idx="39">
                  <c:v>2.3833333333333333</c:v>
                </c:pt>
                <c:pt idx="40">
                  <c:v>2.4166666666666665</c:v>
                </c:pt>
                <c:pt idx="41">
                  <c:v>2.4</c:v>
                </c:pt>
                <c:pt idx="42">
                  <c:v>2.4</c:v>
                </c:pt>
                <c:pt idx="43">
                  <c:v>2.3666666666666667</c:v>
                </c:pt>
                <c:pt idx="44">
                  <c:v>2.4166666666666665</c:v>
                </c:pt>
                <c:pt idx="45">
                  <c:v>2.4833333333333334</c:v>
                </c:pt>
                <c:pt idx="46">
                  <c:v>2.4666666666666668</c:v>
                </c:pt>
                <c:pt idx="47">
                  <c:v>2.4833333333333334</c:v>
                </c:pt>
                <c:pt idx="48">
                  <c:v>2.4333333333333336</c:v>
                </c:pt>
                <c:pt idx="49">
                  <c:v>2.3666666666666667</c:v>
                </c:pt>
                <c:pt idx="50">
                  <c:v>2.5</c:v>
                </c:pt>
                <c:pt idx="51">
                  <c:v>2.5</c:v>
                </c:pt>
                <c:pt idx="52">
                  <c:v>2.5</c:v>
                </c:pt>
              </c:numCache>
            </c:numRef>
          </c:xVal>
          <c:yVal>
            <c:numRef>
              <c:f>Kaart!$O$2:$O$54</c:f>
              <c:numCache>
                <c:formatCode>0.00</c:formatCode>
                <c:ptCount val="53"/>
                <c:pt idx="0">
                  <c:v>51.68333333333333</c:v>
                </c:pt>
                <c:pt idx="1">
                  <c:v>51.616666666666667</c:v>
                </c:pt>
                <c:pt idx="2">
                  <c:v>51.5</c:v>
                </c:pt>
                <c:pt idx="3">
                  <c:v>51.4</c:v>
                </c:pt>
                <c:pt idx="4">
                  <c:v>51.4</c:v>
                </c:pt>
                <c:pt idx="5">
                  <c:v>51.35</c:v>
                </c:pt>
                <c:pt idx="6">
                  <c:v>51.266666666666666</c:v>
                </c:pt>
                <c:pt idx="7">
                  <c:v>51.216666666666669</c:v>
                </c:pt>
                <c:pt idx="8">
                  <c:v>51.233333333333334</c:v>
                </c:pt>
                <c:pt idx="9">
                  <c:v>51.216666666666669</c:v>
                </c:pt>
                <c:pt idx="10">
                  <c:v>51.283333333333331</c:v>
                </c:pt>
                <c:pt idx="11">
                  <c:v>51.31666666666667</c:v>
                </c:pt>
                <c:pt idx="12">
                  <c:v>51.283333333333331</c:v>
                </c:pt>
                <c:pt idx="13">
                  <c:v>51.3</c:v>
                </c:pt>
                <c:pt idx="14">
                  <c:v>51.31666666666667</c:v>
                </c:pt>
                <c:pt idx="15">
                  <c:v>51.333333333333336</c:v>
                </c:pt>
                <c:pt idx="16">
                  <c:v>51.31666666666667</c:v>
                </c:pt>
                <c:pt idx="17">
                  <c:v>51.3</c:v>
                </c:pt>
                <c:pt idx="18">
                  <c:v>51.3</c:v>
                </c:pt>
                <c:pt idx="19">
                  <c:v>51.333333333333336</c:v>
                </c:pt>
                <c:pt idx="20">
                  <c:v>51.31666666666667</c:v>
                </c:pt>
                <c:pt idx="21">
                  <c:v>51.3</c:v>
                </c:pt>
                <c:pt idx="22">
                  <c:v>51.333333333333336</c:v>
                </c:pt>
                <c:pt idx="23">
                  <c:v>51.3</c:v>
                </c:pt>
                <c:pt idx="24">
                  <c:v>51.31666666666667</c:v>
                </c:pt>
                <c:pt idx="25">
                  <c:v>51.31666666666667</c:v>
                </c:pt>
                <c:pt idx="26">
                  <c:v>51.283333333333331</c:v>
                </c:pt>
                <c:pt idx="27">
                  <c:v>51.31666666666667</c:v>
                </c:pt>
                <c:pt idx="28">
                  <c:v>51.31666666666667</c:v>
                </c:pt>
                <c:pt idx="29">
                  <c:v>51.31666666666667</c:v>
                </c:pt>
                <c:pt idx="30">
                  <c:v>51.31666666666667</c:v>
                </c:pt>
                <c:pt idx="31">
                  <c:v>51.3</c:v>
                </c:pt>
                <c:pt idx="32">
                  <c:v>51.3</c:v>
                </c:pt>
                <c:pt idx="33">
                  <c:v>51.3</c:v>
                </c:pt>
                <c:pt idx="34">
                  <c:v>51.3</c:v>
                </c:pt>
                <c:pt idx="35">
                  <c:v>51.31666666666667</c:v>
                </c:pt>
                <c:pt idx="36">
                  <c:v>51.333333333333336</c:v>
                </c:pt>
                <c:pt idx="37">
                  <c:v>51.283333333333331</c:v>
                </c:pt>
                <c:pt idx="38">
                  <c:v>51.31666666666667</c:v>
                </c:pt>
                <c:pt idx="39">
                  <c:v>51.25</c:v>
                </c:pt>
                <c:pt idx="40">
                  <c:v>51.266666666666666</c:v>
                </c:pt>
                <c:pt idx="41">
                  <c:v>51.266666666666666</c:v>
                </c:pt>
                <c:pt idx="42">
                  <c:v>51.283333333333331</c:v>
                </c:pt>
                <c:pt idx="43">
                  <c:v>51.233333333333334</c:v>
                </c:pt>
                <c:pt idx="44">
                  <c:v>51.283333333333331</c:v>
                </c:pt>
                <c:pt idx="45">
                  <c:v>51.31666666666667</c:v>
                </c:pt>
                <c:pt idx="46">
                  <c:v>51.3</c:v>
                </c:pt>
                <c:pt idx="47">
                  <c:v>51.31666666666667</c:v>
                </c:pt>
                <c:pt idx="48">
                  <c:v>51.283333333333331</c:v>
                </c:pt>
                <c:pt idx="49">
                  <c:v>51.31666666666667</c:v>
                </c:pt>
                <c:pt idx="50">
                  <c:v>51.3</c:v>
                </c:pt>
                <c:pt idx="51">
                  <c:v>51.283333333333331</c:v>
                </c:pt>
                <c:pt idx="52">
                  <c:v>51.283333333333331</c:v>
                </c:pt>
              </c:numCache>
            </c:numRef>
          </c:yVal>
          <c:bubbleSize>
            <c:numRef>
              <c:f>Kaart!$S$2:$S$54</c:f>
              <c:numCache>
                <c:formatCode>General</c:formatCode>
                <c:ptCount val="53"/>
                <c:pt idx="0">
                  <c:v>14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10</c:v>
                </c:pt>
                <c:pt idx="5">
                  <c:v>20</c:v>
                </c:pt>
                <c:pt idx="6">
                  <c:v>25</c:v>
                </c:pt>
                <c:pt idx="7">
                  <c:v>20</c:v>
                </c:pt>
                <c:pt idx="8">
                  <c:v>15</c:v>
                </c:pt>
                <c:pt idx="9">
                  <c:v>10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25</c:v>
                </c:pt>
                <c:pt idx="14">
                  <c:v>20</c:v>
                </c:pt>
                <c:pt idx="15">
                  <c:v>25</c:v>
                </c:pt>
                <c:pt idx="16">
                  <c:v>35</c:v>
                </c:pt>
                <c:pt idx="17">
                  <c:v>35</c:v>
                </c:pt>
                <c:pt idx="18">
                  <c:v>25</c:v>
                </c:pt>
                <c:pt idx="19">
                  <c:v>20</c:v>
                </c:pt>
                <c:pt idx="20">
                  <c:v>25</c:v>
                </c:pt>
                <c:pt idx="21">
                  <c:v>20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5</c:v>
                </c:pt>
                <c:pt idx="27">
                  <c:v>15</c:v>
                </c:pt>
                <c:pt idx="28">
                  <c:v>20</c:v>
                </c:pt>
                <c:pt idx="29">
                  <c:v>20</c:v>
                </c:pt>
                <c:pt idx="30">
                  <c:v>25</c:v>
                </c:pt>
                <c:pt idx="31">
                  <c:v>45</c:v>
                </c:pt>
                <c:pt idx="32">
                  <c:v>35</c:v>
                </c:pt>
                <c:pt idx="33">
                  <c:v>25</c:v>
                </c:pt>
                <c:pt idx="34">
                  <c:v>25</c:v>
                </c:pt>
                <c:pt idx="35">
                  <c:v>25</c:v>
                </c:pt>
                <c:pt idx="36">
                  <c:v>10</c:v>
                </c:pt>
                <c:pt idx="37">
                  <c:v>20</c:v>
                </c:pt>
                <c:pt idx="38">
                  <c:v>20</c:v>
                </c:pt>
                <c:pt idx="39">
                  <c:v>25</c:v>
                </c:pt>
                <c:pt idx="40">
                  <c:v>25</c:v>
                </c:pt>
                <c:pt idx="41">
                  <c:v>15</c:v>
                </c:pt>
                <c:pt idx="42">
                  <c:v>15</c:v>
                </c:pt>
                <c:pt idx="43">
                  <c:v>10</c:v>
                </c:pt>
                <c:pt idx="44">
                  <c:v>15</c:v>
                </c:pt>
                <c:pt idx="45">
                  <c:v>25</c:v>
                </c:pt>
                <c:pt idx="46">
                  <c:v>20</c:v>
                </c:pt>
                <c:pt idx="47">
                  <c:v>10</c:v>
                </c:pt>
                <c:pt idx="48">
                  <c:v>10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10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449E-43F0-9661-8E7C1FD52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5"/>
        <c:showNegBubbles val="0"/>
        <c:axId val="151193712"/>
        <c:axId val="151194104"/>
      </c:bubbleChart>
      <c:valAx>
        <c:axId val="151193712"/>
        <c:scaling>
          <c:orientation val="minMax"/>
          <c:max val="10"/>
          <c:min val="-5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194104"/>
        <c:crossesAt val="48"/>
        <c:crossBetween val="midCat"/>
      </c:valAx>
      <c:valAx>
        <c:axId val="151194104"/>
        <c:scaling>
          <c:orientation val="minMax"/>
          <c:max val="56"/>
          <c:min val="49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193712"/>
        <c:crossesAt val="-10"/>
        <c:crossBetween val="midCat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accent1">
          <a:alpha val="0"/>
        </a:schemeClr>
      </a:solidFill>
      <a:round/>
    </a:ln>
    <a:effectLst/>
  </c:spPr>
  <c:txPr>
    <a:bodyPr/>
    <a:lstStyle/>
    <a:p>
      <a:pPr>
        <a:defRPr sz="1400"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137863</xdr:colOff>
      <xdr:row>25</xdr:row>
      <xdr:rowOff>126818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9</xdr:col>
      <xdr:colOff>137864</xdr:colOff>
      <xdr:row>25</xdr:row>
      <xdr:rowOff>126818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7</xdr:row>
          <xdr:rowOff>152400</xdr:rowOff>
        </xdr:from>
        <xdr:to>
          <xdr:col>12</xdr:col>
          <xdr:colOff>228600</xdr:colOff>
          <xdr:row>10</xdr:row>
          <xdr:rowOff>167640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5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SHEET LEEGMAKEN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  <pageSetUpPr fitToPage="1"/>
  </sheetPr>
  <dimension ref="A1:G27"/>
  <sheetViews>
    <sheetView workbookViewId="0">
      <selection activeCell="B6" sqref="B6"/>
    </sheetView>
  </sheetViews>
  <sheetFormatPr defaultRowHeight="14.4" x14ac:dyDescent="0.3"/>
  <cols>
    <col min="2" max="2" width="15.21875" customWidth="1"/>
    <col min="3" max="3" width="18.21875" customWidth="1"/>
    <col min="4" max="4" width="2" customWidth="1"/>
    <col min="5" max="5" width="15.5546875" customWidth="1"/>
    <col min="6" max="6" width="25.77734375" customWidth="1"/>
    <col min="7" max="7" width="77.5546875" customWidth="1"/>
  </cols>
  <sheetData>
    <row r="1" spans="1:7" ht="23.4" x14ac:dyDescent="0.45">
      <c r="A1" s="70" t="s">
        <v>1120</v>
      </c>
      <c r="B1" s="69"/>
      <c r="C1" s="69"/>
      <c r="E1" s="68" t="s">
        <v>1171</v>
      </c>
      <c r="F1" s="69"/>
      <c r="G1" s="69"/>
    </row>
    <row r="2" spans="1:7" x14ac:dyDescent="0.3">
      <c r="A2" s="69" t="s">
        <v>1069</v>
      </c>
      <c r="B2" s="71">
        <v>2</v>
      </c>
      <c r="C2" s="69"/>
    </row>
    <row r="3" spans="1:7" x14ac:dyDescent="0.3">
      <c r="A3" s="69" t="s">
        <v>1354</v>
      </c>
      <c r="B3" s="72" t="s">
        <v>1355</v>
      </c>
      <c r="C3" s="69"/>
      <c r="E3" s="90" t="s">
        <v>1295</v>
      </c>
      <c r="F3" s="90"/>
      <c r="G3" s="90"/>
    </row>
    <row r="4" spans="1:7" x14ac:dyDescent="0.3">
      <c r="A4" s="69" t="s">
        <v>1356</v>
      </c>
      <c r="B4" s="72" t="s">
        <v>1357</v>
      </c>
      <c r="C4" s="69"/>
      <c r="E4" s="90" t="s">
        <v>1294</v>
      </c>
      <c r="F4" s="90"/>
      <c r="G4" s="90"/>
    </row>
    <row r="5" spans="1:7" ht="15" thickBot="1" x14ac:dyDescent="0.35">
      <c r="A5" s="69" t="s">
        <v>1070</v>
      </c>
      <c r="B5" s="72">
        <v>43091</v>
      </c>
      <c r="C5" s="69"/>
    </row>
    <row r="6" spans="1:7" ht="15" thickBot="1" x14ac:dyDescent="0.35">
      <c r="A6" s="69" t="s">
        <v>1071</v>
      </c>
      <c r="B6" s="73" t="s">
        <v>1072</v>
      </c>
      <c r="C6" s="69"/>
      <c r="E6" s="154" t="s">
        <v>1134</v>
      </c>
      <c r="F6" s="155" t="s">
        <v>1135</v>
      </c>
      <c r="G6" s="155" t="s">
        <v>1136</v>
      </c>
    </row>
    <row r="7" spans="1:7" ht="15" thickBot="1" x14ac:dyDescent="0.35">
      <c r="A7" s="69" t="s">
        <v>0</v>
      </c>
      <c r="B7" s="74" t="s">
        <v>1073</v>
      </c>
      <c r="C7" s="69"/>
      <c r="E7" s="156" t="s">
        <v>1338</v>
      </c>
      <c r="F7" s="157" t="s">
        <v>1339</v>
      </c>
      <c r="G7" s="158" t="s">
        <v>1155</v>
      </c>
    </row>
    <row r="8" spans="1:7" ht="29.4" thickBot="1" x14ac:dyDescent="0.35">
      <c r="A8" s="69" t="s">
        <v>1172</v>
      </c>
      <c r="B8" s="75" t="s">
        <v>1074</v>
      </c>
      <c r="C8" s="69"/>
      <c r="E8" s="159" t="s">
        <v>1137</v>
      </c>
      <c r="F8" s="160" t="s">
        <v>1138</v>
      </c>
      <c r="G8" s="161" t="s">
        <v>1345</v>
      </c>
    </row>
    <row r="9" spans="1:7" ht="15" thickBot="1" x14ac:dyDescent="0.35">
      <c r="E9" s="162" t="s">
        <v>1070</v>
      </c>
      <c r="F9" s="163" t="s">
        <v>1139</v>
      </c>
      <c r="G9" s="164" t="s">
        <v>1140</v>
      </c>
    </row>
    <row r="10" spans="1:7" ht="29.4" thickBot="1" x14ac:dyDescent="0.35">
      <c r="E10" s="162" t="s">
        <v>1141</v>
      </c>
      <c r="F10" s="163" t="s">
        <v>1142</v>
      </c>
      <c r="G10" s="164" t="s">
        <v>1143</v>
      </c>
    </row>
    <row r="11" spans="1:7" ht="29.4" thickBot="1" x14ac:dyDescent="0.35">
      <c r="E11" s="162" t="s">
        <v>1144</v>
      </c>
      <c r="F11" s="163" t="s">
        <v>1145</v>
      </c>
      <c r="G11" s="164" t="s">
        <v>1146</v>
      </c>
    </row>
    <row r="12" spans="1:7" ht="43.8" thickBot="1" x14ac:dyDescent="0.35">
      <c r="E12" s="162" t="s">
        <v>1147</v>
      </c>
      <c r="F12" s="163" t="s">
        <v>1148</v>
      </c>
      <c r="G12" s="164" t="s">
        <v>1340</v>
      </c>
    </row>
    <row r="13" spans="1:7" ht="15" thickBot="1" x14ac:dyDescent="0.35">
      <c r="E13" s="162" t="s">
        <v>1149</v>
      </c>
      <c r="F13" s="163" t="s">
        <v>1150</v>
      </c>
      <c r="G13" s="164" t="s">
        <v>1151</v>
      </c>
    </row>
    <row r="14" spans="1:7" ht="29.4" thickBot="1" x14ac:dyDescent="0.35">
      <c r="E14" s="165" t="s">
        <v>1152</v>
      </c>
      <c r="F14" s="166" t="s">
        <v>1153</v>
      </c>
      <c r="G14" s="161" t="s">
        <v>1345</v>
      </c>
    </row>
    <row r="15" spans="1:7" ht="15" thickBot="1" x14ac:dyDescent="0.35">
      <c r="E15" s="156" t="s">
        <v>1341</v>
      </c>
      <c r="F15" s="157"/>
      <c r="G15" s="158" t="s">
        <v>1155</v>
      </c>
    </row>
    <row r="16" spans="1:7" ht="14.55" customHeight="1" x14ac:dyDescent="0.3">
      <c r="E16" s="199" t="s">
        <v>1156</v>
      </c>
      <c r="F16" s="201" t="s">
        <v>1157</v>
      </c>
      <c r="G16" s="167" t="s">
        <v>1158</v>
      </c>
    </row>
    <row r="17" spans="5:7" ht="14.55" customHeight="1" thickBot="1" x14ac:dyDescent="0.35">
      <c r="E17" s="200"/>
      <c r="F17" s="202"/>
      <c r="G17" s="168" t="s">
        <v>1159</v>
      </c>
    </row>
    <row r="18" spans="5:7" ht="15" thickBot="1" x14ac:dyDescent="0.35">
      <c r="E18" s="169" t="s">
        <v>1067</v>
      </c>
      <c r="F18" s="203" t="s">
        <v>1157</v>
      </c>
      <c r="G18" s="170" t="s">
        <v>1160</v>
      </c>
    </row>
    <row r="19" spans="5:7" ht="15" thickBot="1" x14ac:dyDescent="0.35">
      <c r="E19" s="169" t="s">
        <v>1106</v>
      </c>
      <c r="F19" s="204"/>
      <c r="G19" s="170" t="s">
        <v>1161</v>
      </c>
    </row>
    <row r="20" spans="5:7" ht="15" thickBot="1" x14ac:dyDescent="0.35">
      <c r="E20" s="169" t="s">
        <v>1097</v>
      </c>
      <c r="F20" s="205"/>
      <c r="G20" s="171"/>
    </row>
    <row r="21" spans="5:7" ht="29.4" thickBot="1" x14ac:dyDescent="0.35">
      <c r="E21" s="172" t="s">
        <v>1109</v>
      </c>
      <c r="F21" s="206" t="s">
        <v>1162</v>
      </c>
      <c r="G21" s="173" t="s">
        <v>1163</v>
      </c>
    </row>
    <row r="22" spans="5:7" ht="15" thickBot="1" x14ac:dyDescent="0.35">
      <c r="E22" s="172" t="s">
        <v>1095</v>
      </c>
      <c r="F22" s="207"/>
      <c r="G22" s="173" t="s">
        <v>1164</v>
      </c>
    </row>
    <row r="23" spans="5:7" ht="15" thickBot="1" x14ac:dyDescent="0.35">
      <c r="E23" s="172" t="s">
        <v>1165</v>
      </c>
      <c r="F23" s="208"/>
      <c r="G23" s="174"/>
    </row>
    <row r="24" spans="5:7" ht="43.8" thickBot="1" x14ac:dyDescent="0.35">
      <c r="E24" s="175" t="s">
        <v>1342</v>
      </c>
      <c r="F24" s="158" t="s">
        <v>1154</v>
      </c>
      <c r="G24" s="158" t="s">
        <v>1155</v>
      </c>
    </row>
    <row r="25" spans="5:7" ht="29.4" thickBot="1" x14ac:dyDescent="0.35">
      <c r="E25" s="176" t="s">
        <v>1166</v>
      </c>
      <c r="F25" s="177" t="s">
        <v>1167</v>
      </c>
      <c r="G25" s="178" t="s">
        <v>1343</v>
      </c>
    </row>
    <row r="26" spans="5:7" ht="29.4" thickBot="1" x14ac:dyDescent="0.35">
      <c r="E26" s="176" t="s">
        <v>1168</v>
      </c>
      <c r="F26" s="177" t="s">
        <v>1169</v>
      </c>
      <c r="G26" s="178" t="s">
        <v>1344</v>
      </c>
    </row>
    <row r="27" spans="5:7" ht="29.4" thickBot="1" x14ac:dyDescent="0.35">
      <c r="E27" s="176" t="s">
        <v>1170</v>
      </c>
      <c r="F27" s="177" t="s">
        <v>1169</v>
      </c>
      <c r="G27" s="178" t="s">
        <v>1344</v>
      </c>
    </row>
  </sheetData>
  <mergeCells count="4">
    <mergeCell ref="E16:E17"/>
    <mergeCell ref="F16:F17"/>
    <mergeCell ref="F18:F20"/>
    <mergeCell ref="F21:F23"/>
  </mergeCells>
  <pageMargins left="0.7" right="0.7" top="0.75" bottom="0.75" header="0.3" footer="0.3"/>
  <pageSetup paperSize="9" scale="8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92D050"/>
    <pageSetUpPr fitToPage="1"/>
  </sheetPr>
  <dimension ref="A1:BK255"/>
  <sheetViews>
    <sheetView showGridLines="0" tabSelected="1" zoomScale="85" zoomScaleNormal="85" workbookViewId="0">
      <pane xSplit="1" ySplit="4" topLeftCell="I57" activePane="bottomRight" state="frozen"/>
      <selection pane="topRight" activeCell="B1" sqref="B1"/>
      <selection pane="bottomLeft" activeCell="A7" sqref="A7"/>
      <selection pane="bottomRight" activeCell="M64" sqref="M64"/>
    </sheetView>
  </sheetViews>
  <sheetFormatPr defaultRowHeight="14.4" x14ac:dyDescent="0.3"/>
  <cols>
    <col min="1" max="1" width="4.21875" style="62" customWidth="1"/>
    <col min="2" max="2" width="17.5546875" style="63" hidden="1" customWidth="1"/>
    <col min="3" max="3" width="11.21875" style="141" customWidth="1"/>
    <col min="4" max="4" width="7.44140625" style="139" customWidth="1"/>
    <col min="5" max="5" width="14.77734375" style="139" customWidth="1"/>
    <col min="6" max="7" width="7.21875" style="139" customWidth="1"/>
    <col min="8" max="8" width="8.44140625" style="139" customWidth="1"/>
    <col min="9" max="9" width="7.5546875" style="139" customWidth="1"/>
    <col min="10" max="10" width="6.5546875" style="139" customWidth="1"/>
    <col min="11" max="11" width="7.77734375" style="139" customWidth="1"/>
    <col min="12" max="12" width="11.21875" style="141" customWidth="1"/>
    <col min="13" max="13" width="10.77734375" style="139" customWidth="1"/>
    <col min="14" max="19" width="9" style="139"/>
    <col min="20" max="20" width="29.44140625" style="4" customWidth="1"/>
    <col min="21" max="36" width="12.77734375" customWidth="1"/>
    <col min="37" max="37" width="0.77734375" style="4" customWidth="1"/>
    <col min="38" max="38" width="9" style="4" hidden="1" customWidth="1"/>
    <col min="39" max="39" width="10" style="4" hidden="1" customWidth="1"/>
    <col min="40" max="40" width="11.5546875" style="4" hidden="1" customWidth="1"/>
    <col min="41" max="41" width="23.44140625" style="4" hidden="1" customWidth="1"/>
    <col min="42" max="42" width="11.21875" style="4" hidden="1" customWidth="1"/>
    <col min="43" max="43" width="0" style="4" hidden="1" customWidth="1"/>
    <col min="44" max="44" width="8.5546875" style="4" hidden="1" customWidth="1"/>
    <col min="45" max="46" width="0" style="4" hidden="1" customWidth="1"/>
    <col min="47" max="48" width="11" style="4" hidden="1" customWidth="1"/>
    <col min="49" max="49" width="11.44140625" style="4" hidden="1" customWidth="1"/>
    <col min="50" max="50" width="21.44140625" style="4" hidden="1" customWidth="1"/>
    <col min="51" max="51" width="12.5546875" style="4" hidden="1" customWidth="1"/>
    <col min="52" max="52" width="11.5546875" style="4" hidden="1" customWidth="1"/>
    <col min="53" max="53" width="11.21875" style="4" hidden="1" customWidth="1"/>
    <col min="54" max="54" width="9" style="4" hidden="1" customWidth="1"/>
    <col min="55" max="57" width="0" style="4" hidden="1" customWidth="1"/>
    <col min="58" max="58" width="18" style="4" hidden="1" customWidth="1"/>
    <col min="59" max="59" width="15.5546875" style="4" hidden="1" customWidth="1"/>
    <col min="60" max="60" width="0.77734375" style="4" customWidth="1"/>
    <col min="61" max="61" width="16.77734375" bestFit="1" customWidth="1"/>
    <col min="62" max="62" width="13.21875" customWidth="1"/>
  </cols>
  <sheetData>
    <row r="1" spans="1:63" s="35" customFormat="1" ht="19.5" customHeight="1" thickBot="1" x14ac:dyDescent="0.35">
      <c r="A1" s="236" t="s">
        <v>1055</v>
      </c>
      <c r="B1" s="65"/>
      <c r="C1" s="245" t="s">
        <v>1329</v>
      </c>
      <c r="D1" s="239" t="s">
        <v>1076</v>
      </c>
      <c r="E1" s="239" t="s">
        <v>1075</v>
      </c>
      <c r="F1" s="242" t="s">
        <v>1078</v>
      </c>
      <c r="G1" s="242"/>
      <c r="H1" s="239" t="s">
        <v>1079</v>
      </c>
      <c r="I1" s="243" t="s">
        <v>1080</v>
      </c>
      <c r="J1" s="244"/>
      <c r="K1" s="239" t="s">
        <v>1077</v>
      </c>
      <c r="L1" s="245" t="s">
        <v>1328</v>
      </c>
      <c r="M1" s="248" t="s">
        <v>1132</v>
      </c>
      <c r="N1" s="219" t="s">
        <v>1121</v>
      </c>
      <c r="O1" s="220"/>
      <c r="P1" s="220"/>
      <c r="Q1" s="220"/>
      <c r="R1" s="220"/>
      <c r="S1" s="221"/>
      <c r="T1" s="236" t="s">
        <v>1081</v>
      </c>
      <c r="U1" s="211" t="s">
        <v>1175</v>
      </c>
      <c r="V1" s="212"/>
      <c r="W1" s="21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I1" s="212"/>
      <c r="AJ1" s="212"/>
      <c r="AK1" s="121"/>
      <c r="AL1" s="233" t="s">
        <v>1301</v>
      </c>
      <c r="AM1" s="234"/>
      <c r="AN1" s="234"/>
      <c r="AO1" s="234"/>
      <c r="AP1" s="234"/>
      <c r="AQ1" s="234"/>
      <c r="AR1" s="234"/>
      <c r="AS1" s="234"/>
      <c r="AT1" s="234"/>
      <c r="AU1" s="234"/>
      <c r="AV1" s="234"/>
      <c r="AW1" s="234"/>
      <c r="AX1" s="234"/>
      <c r="AY1" s="234"/>
      <c r="AZ1" s="234"/>
      <c r="BA1" s="234"/>
      <c r="BB1" s="234"/>
      <c r="BC1" s="234"/>
      <c r="BD1" s="234"/>
      <c r="BE1" s="234"/>
      <c r="BF1" s="234"/>
      <c r="BG1" s="235"/>
      <c r="BH1" s="121"/>
      <c r="BI1" s="209" t="s">
        <v>1179</v>
      </c>
      <c r="BJ1" s="210"/>
      <c r="BK1" s="197" t="s">
        <v>1351</v>
      </c>
    </row>
    <row r="2" spans="1:63" s="49" customFormat="1" ht="17.25" customHeight="1" x14ac:dyDescent="0.3">
      <c r="A2" s="237"/>
      <c r="B2" s="65" t="s">
        <v>1127</v>
      </c>
      <c r="C2" s="246"/>
      <c r="D2" s="240"/>
      <c r="E2" s="240"/>
      <c r="F2" s="239" t="s">
        <v>1059</v>
      </c>
      <c r="G2" s="239" t="s">
        <v>1058</v>
      </c>
      <c r="H2" s="240"/>
      <c r="I2" s="239" t="s">
        <v>1082</v>
      </c>
      <c r="J2" s="239" t="s">
        <v>1083</v>
      </c>
      <c r="K2" s="240"/>
      <c r="L2" s="246"/>
      <c r="M2" s="249"/>
      <c r="N2" s="216" t="s">
        <v>1174</v>
      </c>
      <c r="O2" s="217"/>
      <c r="P2" s="218"/>
      <c r="Q2" s="214" t="s">
        <v>1173</v>
      </c>
      <c r="R2" s="214"/>
      <c r="S2" s="215"/>
      <c r="T2" s="237"/>
      <c r="U2" s="213"/>
      <c r="V2" s="213"/>
      <c r="W2" s="213"/>
      <c r="X2" s="213"/>
      <c r="Y2" s="213"/>
      <c r="Z2" s="213"/>
      <c r="AA2" s="213"/>
      <c r="AB2" s="213"/>
      <c r="AC2" s="213"/>
      <c r="AD2" s="213"/>
      <c r="AE2" s="213"/>
      <c r="AF2" s="213"/>
      <c r="AG2" s="213"/>
      <c r="AH2" s="213"/>
      <c r="AI2" s="213"/>
      <c r="AJ2" s="213"/>
      <c r="AK2" s="121"/>
      <c r="AL2" s="230" t="s">
        <v>1302</v>
      </c>
      <c r="AM2" s="231"/>
      <c r="AN2" s="231"/>
      <c r="AO2" s="231"/>
      <c r="AP2" s="231"/>
      <c r="AQ2" s="231"/>
      <c r="AR2" s="231"/>
      <c r="AS2" s="231"/>
      <c r="AT2" s="232"/>
      <c r="AU2" s="222" t="s">
        <v>1303</v>
      </c>
      <c r="AV2" s="223"/>
      <c r="AW2" s="223"/>
      <c r="AX2" s="223"/>
      <c r="AY2" s="223"/>
      <c r="AZ2" s="223"/>
      <c r="BA2" s="223"/>
      <c r="BB2" s="224"/>
      <c r="BC2" s="225" t="s">
        <v>1304</v>
      </c>
      <c r="BD2" s="226"/>
      <c r="BE2" s="227" t="s">
        <v>1305</v>
      </c>
      <c r="BF2" s="228"/>
      <c r="BG2" s="229"/>
      <c r="BH2" s="121"/>
      <c r="BI2" s="76" t="s">
        <v>1176</v>
      </c>
      <c r="BJ2" s="77"/>
      <c r="BK2" s="198" t="s">
        <v>1352</v>
      </c>
    </row>
    <row r="3" spans="1:63" s="49" customFormat="1" ht="17.25" customHeight="1" x14ac:dyDescent="0.3">
      <c r="A3" s="237"/>
      <c r="B3" s="65" t="s">
        <v>1128</v>
      </c>
      <c r="C3" s="246"/>
      <c r="D3" s="240"/>
      <c r="E3" s="240"/>
      <c r="F3" s="240"/>
      <c r="G3" s="240"/>
      <c r="H3" s="240"/>
      <c r="I3" s="240"/>
      <c r="J3" s="240"/>
      <c r="K3" s="240"/>
      <c r="L3" s="246"/>
      <c r="M3" s="249"/>
      <c r="N3" s="53" t="s">
        <v>1123</v>
      </c>
      <c r="O3" s="50" t="s">
        <v>1122</v>
      </c>
      <c r="P3" s="59" t="s">
        <v>1124</v>
      </c>
      <c r="Q3" s="51" t="s">
        <v>1125</v>
      </c>
      <c r="R3" s="50" t="s">
        <v>1126</v>
      </c>
      <c r="S3" s="52" t="s">
        <v>1085</v>
      </c>
      <c r="T3" s="237"/>
      <c r="U3" s="85" t="s">
        <v>1364</v>
      </c>
      <c r="V3" s="85" t="s">
        <v>1365</v>
      </c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122"/>
      <c r="AL3" s="93" t="s">
        <v>1324</v>
      </c>
      <c r="AM3" s="93" t="s">
        <v>1325</v>
      </c>
      <c r="AN3" s="93" t="s">
        <v>1326</v>
      </c>
      <c r="AO3" s="93" t="s">
        <v>1327</v>
      </c>
      <c r="AP3" s="93" t="s">
        <v>1308</v>
      </c>
      <c r="AQ3" s="94" t="s">
        <v>1307</v>
      </c>
      <c r="AR3" s="94" t="s">
        <v>1306</v>
      </c>
      <c r="AS3" s="95" t="s">
        <v>1309</v>
      </c>
      <c r="AT3" s="94" t="s">
        <v>1310</v>
      </c>
      <c r="AU3" s="97" t="s">
        <v>1311</v>
      </c>
      <c r="AV3" s="97" t="s">
        <v>1312</v>
      </c>
      <c r="AW3" s="96" t="s">
        <v>1313</v>
      </c>
      <c r="AX3" s="97" t="s">
        <v>1314</v>
      </c>
      <c r="AY3" s="96" t="s">
        <v>1315</v>
      </c>
      <c r="AZ3" s="97" t="s">
        <v>1316</v>
      </c>
      <c r="BA3" s="96" t="s">
        <v>1317</v>
      </c>
      <c r="BB3" s="97" t="s">
        <v>1318</v>
      </c>
      <c r="BC3" s="98" t="s">
        <v>1319</v>
      </c>
      <c r="BD3" s="99" t="s">
        <v>1320</v>
      </c>
      <c r="BE3" s="100" t="s">
        <v>1321</v>
      </c>
      <c r="BF3" s="101" t="s">
        <v>1322</v>
      </c>
      <c r="BG3" s="101" t="s">
        <v>1323</v>
      </c>
      <c r="BH3" s="122"/>
      <c r="BI3" s="78" t="s">
        <v>1177</v>
      </c>
      <c r="BJ3" s="77"/>
      <c r="BK3" s="198" t="s">
        <v>1353</v>
      </c>
    </row>
    <row r="4" spans="1:63" s="49" customFormat="1" ht="17.25" customHeight="1" thickBot="1" x14ac:dyDescent="0.35">
      <c r="A4" s="238"/>
      <c r="B4" s="65"/>
      <c r="C4" s="247"/>
      <c r="D4" s="241"/>
      <c r="E4" s="241"/>
      <c r="F4" s="241"/>
      <c r="G4" s="241"/>
      <c r="H4" s="241"/>
      <c r="I4" s="241"/>
      <c r="J4" s="241"/>
      <c r="K4" s="241"/>
      <c r="L4" s="247"/>
      <c r="M4" s="250"/>
      <c r="N4" s="54" t="s">
        <v>1066</v>
      </c>
      <c r="O4" s="55" t="s">
        <v>1068</v>
      </c>
      <c r="P4" s="56" t="s">
        <v>1084</v>
      </c>
      <c r="Q4" s="57" t="s">
        <v>1086</v>
      </c>
      <c r="R4" s="55" t="s">
        <v>1087</v>
      </c>
      <c r="S4" s="58" t="s">
        <v>1085</v>
      </c>
      <c r="T4" s="238"/>
      <c r="U4" s="86" t="str">
        <f>IF(NOT(ISBLANK(U3)),VLOOKUP(U3,Soortenlijst!$A$1:$D$36,2),"")</f>
        <v>FLE</v>
      </c>
      <c r="V4" s="86" t="str">
        <f>IF(NOT(ISBLANK(V3)),VLOOKUP(V3,Soortenlijst!$A$1:$D$36,2),"")</f>
        <v>DAB</v>
      </c>
      <c r="W4" s="86" t="str">
        <f>IF(NOT(ISBLANK(W3)),VLOOKUP(W3,Soortenlijst!$A$1:$D$36,2),"")</f>
        <v/>
      </c>
      <c r="X4" s="86" t="str">
        <f>IF(NOT(ISBLANK(X3)),VLOOKUP(X3,Soortenlijst!$A$1:$D$36,2),"")</f>
        <v/>
      </c>
      <c r="Y4" s="86" t="str">
        <f>IF(NOT(ISBLANK(Y3)),VLOOKUP(Y3,Soortenlijst!$A$1:$D$36,2),"")</f>
        <v/>
      </c>
      <c r="Z4" s="86" t="str">
        <f>IF(NOT(ISBLANK(Z3)),VLOOKUP(Z3,Soortenlijst!$A$1:$D$36,2),"")</f>
        <v/>
      </c>
      <c r="AA4" s="86" t="str">
        <f>IF(NOT(ISBLANK(AA3)),VLOOKUP(AA3,Soortenlijst!$A$1:$D$36,2),"")</f>
        <v/>
      </c>
      <c r="AB4" s="86" t="str">
        <f>IF(NOT(ISBLANK(AB3)),VLOOKUP(AB3,Soortenlijst!$A$1:$D$36,2),"")</f>
        <v/>
      </c>
      <c r="AC4" s="86" t="str">
        <f>IF(NOT(ISBLANK(AC3)),VLOOKUP(AC3,Soortenlijst!$A$1:$D$36,2),"")</f>
        <v/>
      </c>
      <c r="AD4" s="86" t="str">
        <f>IF(NOT(ISBLANK(AD3)),VLOOKUP(AD3,Soortenlijst!$A$1:$D$36,2),"")</f>
        <v/>
      </c>
      <c r="AE4" s="86" t="str">
        <f>IF(NOT(ISBLANK(AE3)),VLOOKUP(AE3,Soortenlijst!$A$1:$D$36,2),"")</f>
        <v/>
      </c>
      <c r="AF4" s="86" t="str">
        <f>IF(NOT(ISBLANK(AF3)),VLOOKUP(AF3,Soortenlijst!$A$1:$D$36,2),"")</f>
        <v/>
      </c>
      <c r="AG4" s="86" t="str">
        <f>IF(NOT(ISBLANK(AG3)),VLOOKUP(AG3,Soortenlijst!$A$1:$D$36,2),"")</f>
        <v/>
      </c>
      <c r="AH4" s="86" t="str">
        <f>IF(NOT(ISBLANK(AH3)),VLOOKUP(AH3,Soortenlijst!$A$1:$D$36,2),"")</f>
        <v/>
      </c>
      <c r="AI4" s="86" t="str">
        <f>IF(NOT(ISBLANK(AI3)),VLOOKUP(AI3,Soortenlijst!$A$1:$D$36,2),"")</f>
        <v/>
      </c>
      <c r="AJ4" s="86" t="str">
        <f>IF(NOT(ISBLANK(AJ3)),VLOOKUP(AJ3,Soortenlijst!$A$1:$D$36,2),"")</f>
        <v/>
      </c>
      <c r="AK4" s="123"/>
      <c r="AL4" s="102"/>
      <c r="AM4" s="102"/>
      <c r="AN4" s="102"/>
      <c r="AO4" s="102"/>
      <c r="AP4" s="102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92"/>
      <c r="BF4" s="103"/>
      <c r="BG4" s="103"/>
      <c r="BH4" s="123"/>
      <c r="BI4" s="79" t="s">
        <v>1178</v>
      </c>
      <c r="BJ4" s="80"/>
    </row>
    <row r="5" spans="1:63" s="36" customFormat="1" ht="23.25" customHeight="1" x14ac:dyDescent="0.3">
      <c r="A5" s="61">
        <v>1</v>
      </c>
      <c r="B5" s="64"/>
      <c r="C5" s="140"/>
      <c r="D5" s="126">
        <v>2005</v>
      </c>
      <c r="E5" s="127">
        <v>43119</v>
      </c>
      <c r="F5" s="128">
        <v>5141</v>
      </c>
      <c r="G5" s="128">
        <v>332</v>
      </c>
      <c r="H5" s="129">
        <v>4.5</v>
      </c>
      <c r="I5" s="130" t="s">
        <v>1358</v>
      </c>
      <c r="J5" s="131">
        <v>5</v>
      </c>
      <c r="K5" s="126">
        <v>2130</v>
      </c>
      <c r="L5" s="140"/>
      <c r="M5" s="132">
        <v>25</v>
      </c>
      <c r="N5" s="133">
        <v>14</v>
      </c>
      <c r="O5" s="134"/>
      <c r="P5" s="135"/>
      <c r="Q5" s="136"/>
      <c r="R5" s="137"/>
      <c r="S5" s="138"/>
      <c r="T5" s="60"/>
      <c r="U5" s="87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124"/>
      <c r="AL5" s="104"/>
      <c r="AM5" s="104"/>
      <c r="AN5" s="104"/>
      <c r="AO5" s="104"/>
      <c r="AP5" s="104"/>
      <c r="AQ5" s="88"/>
      <c r="AR5" s="88"/>
      <c r="AS5" s="105"/>
      <c r="AT5" s="88"/>
      <c r="AU5" s="106"/>
      <c r="AV5" s="107"/>
      <c r="AW5" s="106"/>
      <c r="AX5" s="107"/>
      <c r="AY5" s="106"/>
      <c r="AZ5" s="107"/>
      <c r="BA5" s="106"/>
      <c r="BB5" s="107"/>
      <c r="BC5" s="108"/>
      <c r="BD5" s="109"/>
      <c r="BE5" s="110"/>
      <c r="BF5" s="111"/>
      <c r="BG5" s="111"/>
      <c r="BH5" s="124"/>
    </row>
    <row r="6" spans="1:63" s="36" customFormat="1" ht="23.25" customHeight="1" x14ac:dyDescent="0.3">
      <c r="A6" s="61">
        <v>2</v>
      </c>
      <c r="B6" s="66">
        <f t="shared" ref="B6:B69" si="0">IF(E5="vul eerst tijd zetten in","check dan de datum",IF(OR(E5="",E5="check dan de datum"),"",IF(ISBLANK(D6),"vul eerst tijd zetten in",IF(D6&lt;D5,E5+1,E5))))</f>
        <v>43119</v>
      </c>
      <c r="C6" s="140"/>
      <c r="D6" s="126">
        <v>2135</v>
      </c>
      <c r="E6" s="127">
        <f t="shared" ref="E6:E70" si="1">B6</f>
        <v>43119</v>
      </c>
      <c r="F6" s="128">
        <v>5137</v>
      </c>
      <c r="G6" s="128">
        <v>314</v>
      </c>
      <c r="H6" s="129">
        <v>4.5</v>
      </c>
      <c r="I6" s="130" t="s">
        <v>1359</v>
      </c>
      <c r="J6" s="131">
        <v>4</v>
      </c>
      <c r="K6" s="126">
        <v>2310</v>
      </c>
      <c r="L6" s="140"/>
      <c r="M6" s="132">
        <v>30</v>
      </c>
      <c r="N6" s="133">
        <v>20</v>
      </c>
      <c r="O6" s="134"/>
      <c r="P6" s="135"/>
      <c r="Q6" s="136"/>
      <c r="R6" s="137"/>
      <c r="S6" s="138"/>
      <c r="T6" s="60"/>
      <c r="U6" s="87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124"/>
      <c r="AL6" s="104"/>
      <c r="AM6" s="104"/>
      <c r="AN6" s="104"/>
      <c r="AO6" s="104"/>
      <c r="AP6" s="104"/>
      <c r="AQ6" s="88"/>
      <c r="AR6" s="88"/>
      <c r="AS6" s="105"/>
      <c r="AT6" s="88"/>
      <c r="AU6" s="106"/>
      <c r="AV6" s="107"/>
      <c r="AW6" s="106"/>
      <c r="AX6" s="107"/>
      <c r="AY6" s="106"/>
      <c r="AZ6" s="107"/>
      <c r="BA6" s="106"/>
      <c r="BB6" s="107"/>
      <c r="BC6" s="108"/>
      <c r="BD6" s="109"/>
      <c r="BE6" s="110"/>
      <c r="BF6" s="111"/>
      <c r="BG6" s="111"/>
      <c r="BH6" s="124"/>
    </row>
    <row r="7" spans="1:63" s="36" customFormat="1" ht="23.25" customHeight="1" x14ac:dyDescent="0.3">
      <c r="A7" s="61">
        <v>3</v>
      </c>
      <c r="B7" s="66">
        <f t="shared" si="0"/>
        <v>43119</v>
      </c>
      <c r="C7" s="140"/>
      <c r="D7" s="126">
        <v>2320</v>
      </c>
      <c r="E7" s="127">
        <f t="shared" si="1"/>
        <v>43119</v>
      </c>
      <c r="F7" s="128">
        <v>5130</v>
      </c>
      <c r="G7" s="128">
        <v>303</v>
      </c>
      <c r="H7" s="129">
        <v>4.5</v>
      </c>
      <c r="I7" s="130" t="s">
        <v>1359</v>
      </c>
      <c r="J7" s="131">
        <v>4</v>
      </c>
      <c r="K7" s="126">
        <v>120</v>
      </c>
      <c r="L7" s="140"/>
      <c r="M7" s="132">
        <v>30</v>
      </c>
      <c r="N7" s="133">
        <v>20</v>
      </c>
      <c r="O7" s="134"/>
      <c r="P7" s="135"/>
      <c r="Q7" s="136"/>
      <c r="R7" s="137"/>
      <c r="S7" s="138"/>
      <c r="T7" s="60"/>
      <c r="U7" s="87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124"/>
      <c r="AL7" s="104"/>
      <c r="AM7" s="104"/>
      <c r="AN7" s="104"/>
      <c r="AO7" s="104"/>
      <c r="AP7" s="104"/>
      <c r="AQ7" s="88"/>
      <c r="AR7" s="88"/>
      <c r="AS7" s="105"/>
      <c r="AT7" s="88"/>
      <c r="AU7" s="106"/>
      <c r="AV7" s="107"/>
      <c r="AW7" s="106"/>
      <c r="AX7" s="107"/>
      <c r="AY7" s="106"/>
      <c r="AZ7" s="107"/>
      <c r="BA7" s="106"/>
      <c r="BB7" s="107"/>
      <c r="BC7" s="108"/>
      <c r="BD7" s="109"/>
      <c r="BE7" s="110"/>
      <c r="BF7" s="111"/>
      <c r="BG7" s="111"/>
      <c r="BH7" s="124"/>
    </row>
    <row r="8" spans="1:63" s="36" customFormat="1" ht="23.25" customHeight="1" x14ac:dyDescent="0.3">
      <c r="A8" s="61">
        <v>4</v>
      </c>
      <c r="B8" s="66">
        <f t="shared" si="0"/>
        <v>43120</v>
      </c>
      <c r="C8" s="140"/>
      <c r="D8" s="126">
        <v>125</v>
      </c>
      <c r="E8" s="127">
        <f t="shared" si="1"/>
        <v>43120</v>
      </c>
      <c r="F8" s="128">
        <v>5124</v>
      </c>
      <c r="G8" s="128">
        <v>252</v>
      </c>
      <c r="H8" s="129">
        <v>4.5</v>
      </c>
      <c r="I8" s="130" t="s">
        <v>1359</v>
      </c>
      <c r="J8" s="131">
        <v>4</v>
      </c>
      <c r="K8" s="126">
        <v>255</v>
      </c>
      <c r="L8" s="140"/>
      <c r="M8" s="132">
        <v>40</v>
      </c>
      <c r="N8" s="133">
        <v>15</v>
      </c>
      <c r="O8" s="134">
        <v>10</v>
      </c>
      <c r="P8" s="135"/>
      <c r="Q8" s="136"/>
      <c r="R8" s="137"/>
      <c r="S8" s="138"/>
      <c r="T8" s="60"/>
      <c r="U8" s="87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124"/>
      <c r="AL8" s="104"/>
      <c r="AM8" s="104"/>
      <c r="AN8" s="104"/>
      <c r="AO8" s="104"/>
      <c r="AP8" s="104"/>
      <c r="AQ8" s="88"/>
      <c r="AR8" s="88"/>
      <c r="AS8" s="105"/>
      <c r="AT8" s="88"/>
      <c r="AU8" s="106"/>
      <c r="AV8" s="107"/>
      <c r="AW8" s="106"/>
      <c r="AX8" s="107"/>
      <c r="AY8" s="106"/>
      <c r="AZ8" s="107"/>
      <c r="BA8" s="106"/>
      <c r="BB8" s="107"/>
      <c r="BC8" s="108"/>
      <c r="BD8" s="109"/>
      <c r="BE8" s="110"/>
      <c r="BF8" s="111"/>
      <c r="BG8" s="111"/>
      <c r="BH8" s="124"/>
    </row>
    <row r="9" spans="1:63" s="36" customFormat="1" ht="23.25" customHeight="1" x14ac:dyDescent="0.3">
      <c r="A9" s="61">
        <v>5</v>
      </c>
      <c r="B9" s="66">
        <f t="shared" si="0"/>
        <v>43120</v>
      </c>
      <c r="C9" s="140"/>
      <c r="D9" s="126">
        <v>305</v>
      </c>
      <c r="E9" s="127">
        <f t="shared" si="1"/>
        <v>43120</v>
      </c>
      <c r="F9" s="128">
        <v>5124</v>
      </c>
      <c r="G9" s="128">
        <v>246</v>
      </c>
      <c r="H9" s="129">
        <v>4.5</v>
      </c>
      <c r="I9" s="130" t="s">
        <v>1359</v>
      </c>
      <c r="J9" s="131">
        <v>4</v>
      </c>
      <c r="K9" s="126">
        <v>440</v>
      </c>
      <c r="L9" s="140"/>
      <c r="M9" s="132">
        <v>25</v>
      </c>
      <c r="N9" s="133">
        <v>10</v>
      </c>
      <c r="O9" s="134"/>
      <c r="P9" s="135"/>
      <c r="Q9" s="136">
        <v>5</v>
      </c>
      <c r="R9" s="137"/>
      <c r="S9" s="138"/>
      <c r="T9" s="60"/>
      <c r="U9" s="87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124"/>
      <c r="AL9" s="104"/>
      <c r="AM9" s="104"/>
      <c r="AN9" s="104"/>
      <c r="AO9" s="104"/>
      <c r="AP9" s="104"/>
      <c r="AQ9" s="88"/>
      <c r="AR9" s="88"/>
      <c r="AS9" s="105"/>
      <c r="AT9" s="88"/>
      <c r="AU9" s="106"/>
      <c r="AV9" s="107"/>
      <c r="AW9" s="106"/>
      <c r="AX9" s="107"/>
      <c r="AY9" s="106"/>
      <c r="AZ9" s="107"/>
      <c r="BA9" s="106"/>
      <c r="BB9" s="107"/>
      <c r="BC9" s="108"/>
      <c r="BD9" s="109"/>
      <c r="BE9" s="110"/>
      <c r="BF9" s="111"/>
      <c r="BG9" s="111"/>
      <c r="BH9" s="124"/>
    </row>
    <row r="10" spans="1:63" s="36" customFormat="1" ht="23.25" customHeight="1" x14ac:dyDescent="0.3">
      <c r="A10" s="61">
        <v>6</v>
      </c>
      <c r="B10" s="66">
        <f t="shared" si="0"/>
        <v>43120</v>
      </c>
      <c r="C10" s="140"/>
      <c r="D10" s="126">
        <v>450</v>
      </c>
      <c r="E10" s="127">
        <f t="shared" si="1"/>
        <v>43120</v>
      </c>
      <c r="F10" s="128">
        <v>5121</v>
      </c>
      <c r="G10" s="128">
        <v>240</v>
      </c>
      <c r="H10" s="129">
        <v>4.5</v>
      </c>
      <c r="I10" s="130" t="s">
        <v>1359</v>
      </c>
      <c r="J10" s="131">
        <v>4</v>
      </c>
      <c r="K10" s="126">
        <v>620</v>
      </c>
      <c r="L10" s="140"/>
      <c r="M10" s="132">
        <v>35</v>
      </c>
      <c r="N10" s="133">
        <v>20</v>
      </c>
      <c r="O10" s="134"/>
      <c r="P10" s="135"/>
      <c r="Q10" s="136"/>
      <c r="R10" s="137"/>
      <c r="S10" s="138"/>
      <c r="T10" s="60"/>
      <c r="U10" s="87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124"/>
      <c r="AL10" s="104"/>
      <c r="AM10" s="104"/>
      <c r="AN10" s="104"/>
      <c r="AO10" s="104"/>
      <c r="AP10" s="104"/>
      <c r="AQ10" s="88"/>
      <c r="AR10" s="88"/>
      <c r="AS10" s="105"/>
      <c r="AT10" s="88"/>
      <c r="AU10" s="106"/>
      <c r="AV10" s="107"/>
      <c r="AW10" s="106"/>
      <c r="AX10" s="107"/>
      <c r="AY10" s="106"/>
      <c r="AZ10" s="107"/>
      <c r="BA10" s="106"/>
      <c r="BB10" s="107"/>
      <c r="BC10" s="108"/>
      <c r="BD10" s="109"/>
      <c r="BE10" s="110"/>
      <c r="BF10" s="111"/>
      <c r="BG10" s="111"/>
      <c r="BH10" s="124"/>
    </row>
    <row r="11" spans="1:63" s="36" customFormat="1" ht="23.25" customHeight="1" x14ac:dyDescent="0.3">
      <c r="A11" s="61">
        <v>7</v>
      </c>
      <c r="B11" s="66">
        <f t="shared" si="0"/>
        <v>43120</v>
      </c>
      <c r="C11" s="140"/>
      <c r="D11" s="126">
        <v>630</v>
      </c>
      <c r="E11" s="127">
        <f t="shared" si="1"/>
        <v>43120</v>
      </c>
      <c r="F11" s="128">
        <v>5116</v>
      </c>
      <c r="G11" s="128">
        <v>236</v>
      </c>
      <c r="H11" s="129">
        <v>4.5</v>
      </c>
      <c r="I11" s="130" t="s">
        <v>1360</v>
      </c>
      <c r="J11" s="131">
        <v>4</v>
      </c>
      <c r="K11" s="126">
        <v>800</v>
      </c>
      <c r="L11" s="140"/>
      <c r="M11" s="132">
        <v>40</v>
      </c>
      <c r="N11" s="133">
        <v>25</v>
      </c>
      <c r="O11" s="134">
        <v>10</v>
      </c>
      <c r="P11" s="135"/>
      <c r="Q11" s="136"/>
      <c r="R11" s="137"/>
      <c r="S11" s="138"/>
      <c r="T11" s="60"/>
      <c r="U11" s="87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124"/>
      <c r="AL11" s="104"/>
      <c r="AM11" s="104"/>
      <c r="AN11" s="104"/>
      <c r="AO11" s="104"/>
      <c r="AP11" s="104"/>
      <c r="AQ11" s="88"/>
      <c r="AR11" s="88"/>
      <c r="AS11" s="105"/>
      <c r="AT11" s="88"/>
      <c r="AU11" s="106"/>
      <c r="AV11" s="107"/>
      <c r="AW11" s="106"/>
      <c r="AX11" s="107"/>
      <c r="AY11" s="106"/>
      <c r="AZ11" s="107"/>
      <c r="BA11" s="106"/>
      <c r="BB11" s="107"/>
      <c r="BC11" s="108"/>
      <c r="BD11" s="109"/>
      <c r="BE11" s="110"/>
      <c r="BF11" s="111"/>
      <c r="BG11" s="111"/>
      <c r="BH11" s="124"/>
    </row>
    <row r="12" spans="1:63" s="36" customFormat="1" ht="23.25" customHeight="1" x14ac:dyDescent="0.3">
      <c r="A12" s="61">
        <v>8</v>
      </c>
      <c r="B12" s="66">
        <f t="shared" si="0"/>
        <v>43120</v>
      </c>
      <c r="C12" s="140"/>
      <c r="D12" s="126">
        <v>810</v>
      </c>
      <c r="E12" s="127">
        <f t="shared" si="1"/>
        <v>43120</v>
      </c>
      <c r="F12" s="128">
        <v>5113</v>
      </c>
      <c r="G12" s="128">
        <v>232</v>
      </c>
      <c r="H12" s="129">
        <v>4.5</v>
      </c>
      <c r="I12" s="130" t="s">
        <v>1360</v>
      </c>
      <c r="J12" s="131">
        <v>4</v>
      </c>
      <c r="K12" s="126">
        <v>925</v>
      </c>
      <c r="L12" s="140"/>
      <c r="M12" s="132">
        <v>30</v>
      </c>
      <c r="N12" s="133">
        <v>20</v>
      </c>
      <c r="O12" s="134"/>
      <c r="P12" s="135"/>
      <c r="Q12" s="136"/>
      <c r="R12" s="137">
        <v>5</v>
      </c>
      <c r="S12" s="138"/>
      <c r="T12" s="60"/>
      <c r="U12" s="87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124"/>
      <c r="AL12" s="104"/>
      <c r="AM12" s="104"/>
      <c r="AN12" s="104"/>
      <c r="AO12" s="104"/>
      <c r="AP12" s="104"/>
      <c r="AQ12" s="88"/>
      <c r="AR12" s="88"/>
      <c r="AS12" s="105"/>
      <c r="AT12" s="88"/>
      <c r="AU12" s="106"/>
      <c r="AV12" s="107"/>
      <c r="AW12" s="106"/>
      <c r="AX12" s="107"/>
      <c r="AY12" s="106"/>
      <c r="AZ12" s="107"/>
      <c r="BA12" s="106"/>
      <c r="BB12" s="107"/>
      <c r="BC12" s="108"/>
      <c r="BD12" s="109"/>
      <c r="BE12" s="110"/>
      <c r="BF12" s="111"/>
      <c r="BG12" s="111"/>
      <c r="BH12" s="124"/>
    </row>
    <row r="13" spans="1:63" s="36" customFormat="1" ht="23.25" customHeight="1" x14ac:dyDescent="0.3">
      <c r="A13" s="61">
        <v>9</v>
      </c>
      <c r="B13" s="66">
        <f t="shared" si="0"/>
        <v>43120</v>
      </c>
      <c r="C13" s="140"/>
      <c r="D13" s="126">
        <v>935</v>
      </c>
      <c r="E13" s="127">
        <f t="shared" si="1"/>
        <v>43120</v>
      </c>
      <c r="F13" s="128">
        <v>5114</v>
      </c>
      <c r="G13" s="128">
        <v>233</v>
      </c>
      <c r="H13" s="129">
        <v>4.5</v>
      </c>
      <c r="I13" s="130" t="s">
        <v>1360</v>
      </c>
      <c r="J13" s="131">
        <v>4</v>
      </c>
      <c r="K13" s="126">
        <v>1045</v>
      </c>
      <c r="L13" s="140"/>
      <c r="M13" s="132">
        <v>25</v>
      </c>
      <c r="N13" s="133">
        <v>15</v>
      </c>
      <c r="O13" s="134"/>
      <c r="P13" s="135"/>
      <c r="Q13" s="136"/>
      <c r="R13" s="137"/>
      <c r="S13" s="138"/>
      <c r="T13" s="60"/>
      <c r="U13" s="87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124"/>
      <c r="AL13" s="104"/>
      <c r="AM13" s="104"/>
      <c r="AN13" s="104"/>
      <c r="AO13" s="104"/>
      <c r="AP13" s="104"/>
      <c r="AQ13" s="88"/>
      <c r="AR13" s="88"/>
      <c r="AS13" s="105"/>
      <c r="AT13" s="88"/>
      <c r="AU13" s="106"/>
      <c r="AV13" s="107"/>
      <c r="AW13" s="106"/>
      <c r="AX13" s="107"/>
      <c r="AY13" s="106"/>
      <c r="AZ13" s="107"/>
      <c r="BA13" s="106"/>
      <c r="BB13" s="107"/>
      <c r="BC13" s="108"/>
      <c r="BD13" s="109"/>
      <c r="BE13" s="110"/>
      <c r="BF13" s="111"/>
      <c r="BG13" s="111"/>
      <c r="BH13" s="124"/>
    </row>
    <row r="14" spans="1:63" s="36" customFormat="1" ht="23.25" customHeight="1" x14ac:dyDescent="0.3">
      <c r="A14" s="61">
        <v>10</v>
      </c>
      <c r="B14" s="66">
        <f t="shared" si="0"/>
        <v>43120</v>
      </c>
      <c r="C14" s="140"/>
      <c r="D14" s="126">
        <v>1055</v>
      </c>
      <c r="E14" s="127">
        <f t="shared" si="1"/>
        <v>43120</v>
      </c>
      <c r="F14" s="128">
        <v>5113</v>
      </c>
      <c r="G14" s="128">
        <v>231</v>
      </c>
      <c r="H14" s="129">
        <v>4.5</v>
      </c>
      <c r="I14" s="130" t="s">
        <v>1360</v>
      </c>
      <c r="J14" s="131">
        <v>3</v>
      </c>
      <c r="K14" s="126">
        <v>1215</v>
      </c>
      <c r="L14" s="140"/>
      <c r="M14" s="132">
        <v>20</v>
      </c>
      <c r="N14" s="133">
        <v>10</v>
      </c>
      <c r="O14" s="134"/>
      <c r="P14" s="135"/>
      <c r="Q14" s="136"/>
      <c r="R14" s="137"/>
      <c r="S14" s="138"/>
      <c r="T14" s="60"/>
      <c r="U14" s="87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124"/>
      <c r="AL14" s="104"/>
      <c r="AM14" s="104"/>
      <c r="AN14" s="104"/>
      <c r="AO14" s="104"/>
      <c r="AP14" s="104"/>
      <c r="AQ14" s="88"/>
      <c r="AR14" s="88"/>
      <c r="AS14" s="105"/>
      <c r="AT14" s="88"/>
      <c r="AU14" s="106"/>
      <c r="AV14" s="107"/>
      <c r="AW14" s="106"/>
      <c r="AX14" s="107"/>
      <c r="AY14" s="106"/>
      <c r="AZ14" s="107"/>
      <c r="BA14" s="106"/>
      <c r="BB14" s="107"/>
      <c r="BC14" s="108"/>
      <c r="BD14" s="109"/>
      <c r="BE14" s="110"/>
      <c r="BF14" s="111"/>
      <c r="BG14" s="111"/>
      <c r="BH14" s="124"/>
    </row>
    <row r="15" spans="1:63" s="36" customFormat="1" ht="23.25" customHeight="1" x14ac:dyDescent="0.3">
      <c r="A15" s="61">
        <v>11</v>
      </c>
      <c r="B15" s="66">
        <f t="shared" si="0"/>
        <v>43120</v>
      </c>
      <c r="C15" s="140"/>
      <c r="D15" s="126">
        <v>1315</v>
      </c>
      <c r="E15" s="127">
        <f t="shared" si="1"/>
        <v>43120</v>
      </c>
      <c r="F15" s="128">
        <v>5117</v>
      </c>
      <c r="G15" s="128">
        <v>227</v>
      </c>
      <c r="H15" s="129">
        <v>4.5</v>
      </c>
      <c r="I15" s="130" t="s">
        <v>1360</v>
      </c>
      <c r="J15" s="131">
        <v>3</v>
      </c>
      <c r="K15" s="126">
        <v>1415</v>
      </c>
      <c r="L15" s="140"/>
      <c r="M15" s="132">
        <v>35</v>
      </c>
      <c r="N15" s="133">
        <v>15</v>
      </c>
      <c r="O15" s="134">
        <v>10</v>
      </c>
      <c r="P15" s="135"/>
      <c r="Q15" s="136"/>
      <c r="R15" s="137">
        <v>5</v>
      </c>
      <c r="S15" s="138"/>
      <c r="T15" s="60"/>
      <c r="U15" s="87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124"/>
      <c r="AL15" s="104"/>
      <c r="AM15" s="104"/>
      <c r="AN15" s="104"/>
      <c r="AO15" s="104"/>
      <c r="AP15" s="104"/>
      <c r="AQ15" s="88"/>
      <c r="AR15" s="88"/>
      <c r="AS15" s="105"/>
      <c r="AT15" s="88"/>
      <c r="AU15" s="106"/>
      <c r="AV15" s="107"/>
      <c r="AW15" s="106"/>
      <c r="AX15" s="107"/>
      <c r="AY15" s="106"/>
      <c r="AZ15" s="107"/>
      <c r="BA15" s="106"/>
      <c r="BB15" s="107"/>
      <c r="BC15" s="108"/>
      <c r="BD15" s="109"/>
      <c r="BE15" s="110"/>
      <c r="BF15" s="111"/>
      <c r="BG15" s="111"/>
      <c r="BH15" s="124"/>
    </row>
    <row r="16" spans="1:63" s="36" customFormat="1" ht="23.25" customHeight="1" x14ac:dyDescent="0.3">
      <c r="A16" s="61">
        <v>12</v>
      </c>
      <c r="B16" s="66">
        <f t="shared" si="0"/>
        <v>43120</v>
      </c>
      <c r="C16" s="140"/>
      <c r="D16" s="126">
        <v>1425</v>
      </c>
      <c r="E16" s="127">
        <f t="shared" si="1"/>
        <v>43120</v>
      </c>
      <c r="F16" s="128">
        <v>5119</v>
      </c>
      <c r="G16" s="128">
        <v>228</v>
      </c>
      <c r="H16" s="129">
        <v>4.5</v>
      </c>
      <c r="I16" s="130" t="s">
        <v>1360</v>
      </c>
      <c r="J16" s="131">
        <v>3</v>
      </c>
      <c r="K16" s="126">
        <v>1540</v>
      </c>
      <c r="L16" s="140"/>
      <c r="M16" s="132">
        <v>30</v>
      </c>
      <c r="N16" s="133">
        <v>15</v>
      </c>
      <c r="O16" s="134"/>
      <c r="P16" s="135"/>
      <c r="Q16" s="136"/>
      <c r="R16" s="137"/>
      <c r="S16" s="138"/>
      <c r="T16" s="60"/>
      <c r="U16" s="87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124"/>
      <c r="AL16" s="104"/>
      <c r="AM16" s="104"/>
      <c r="AN16" s="104"/>
      <c r="AO16" s="104"/>
      <c r="AP16" s="104"/>
      <c r="AQ16" s="88"/>
      <c r="AR16" s="88"/>
      <c r="AS16" s="105"/>
      <c r="AT16" s="88"/>
      <c r="AU16" s="106"/>
      <c r="AV16" s="107"/>
      <c r="AW16" s="106"/>
      <c r="AX16" s="107"/>
      <c r="AY16" s="106"/>
      <c r="AZ16" s="107"/>
      <c r="BA16" s="106"/>
      <c r="BB16" s="107"/>
      <c r="BC16" s="108"/>
      <c r="BD16" s="109"/>
      <c r="BE16" s="110"/>
      <c r="BF16" s="111"/>
      <c r="BG16" s="111"/>
      <c r="BH16" s="124"/>
    </row>
    <row r="17" spans="1:60" s="36" customFormat="1" ht="23.25" customHeight="1" x14ac:dyDescent="0.3">
      <c r="A17" s="61">
        <v>13</v>
      </c>
      <c r="B17" s="66">
        <f t="shared" si="0"/>
        <v>43120</v>
      </c>
      <c r="C17" s="140"/>
      <c r="D17" s="126">
        <v>1550</v>
      </c>
      <c r="E17" s="127">
        <f t="shared" si="1"/>
        <v>43120</v>
      </c>
      <c r="F17" s="128">
        <v>5117</v>
      </c>
      <c r="G17" s="128">
        <v>228</v>
      </c>
      <c r="H17" s="129">
        <v>4.5</v>
      </c>
      <c r="I17" s="130" t="s">
        <v>1360</v>
      </c>
      <c r="J17" s="131">
        <v>3</v>
      </c>
      <c r="K17" s="126">
        <v>1700</v>
      </c>
      <c r="L17" s="140"/>
      <c r="M17" s="132">
        <v>25</v>
      </c>
      <c r="N17" s="133">
        <v>15</v>
      </c>
      <c r="O17" s="134"/>
      <c r="P17" s="135"/>
      <c r="Q17" s="136"/>
      <c r="R17" s="137"/>
      <c r="S17" s="138"/>
      <c r="T17" s="60"/>
      <c r="U17" s="87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124"/>
      <c r="AL17" s="104"/>
      <c r="AM17" s="104"/>
      <c r="AN17" s="104"/>
      <c r="AO17" s="104"/>
      <c r="AP17" s="104"/>
      <c r="AQ17" s="88"/>
      <c r="AR17" s="88"/>
      <c r="AS17" s="105"/>
      <c r="AT17" s="88"/>
      <c r="AU17" s="106"/>
      <c r="AV17" s="107"/>
      <c r="AW17" s="106"/>
      <c r="AX17" s="107"/>
      <c r="AY17" s="106"/>
      <c r="AZ17" s="107"/>
      <c r="BA17" s="106"/>
      <c r="BB17" s="107"/>
      <c r="BC17" s="108"/>
      <c r="BD17" s="109"/>
      <c r="BE17" s="110"/>
      <c r="BF17" s="111"/>
      <c r="BG17" s="111"/>
      <c r="BH17" s="124"/>
    </row>
    <row r="18" spans="1:60" s="36" customFormat="1" ht="23.25" customHeight="1" x14ac:dyDescent="0.3">
      <c r="A18" s="61">
        <v>14</v>
      </c>
      <c r="B18" s="66">
        <f t="shared" si="0"/>
        <v>43120</v>
      </c>
      <c r="C18" s="140"/>
      <c r="D18" s="126">
        <v>1715</v>
      </c>
      <c r="E18" s="127">
        <f t="shared" si="1"/>
        <v>43120</v>
      </c>
      <c r="F18" s="128">
        <v>5118</v>
      </c>
      <c r="G18" s="128">
        <v>228</v>
      </c>
      <c r="H18" s="129">
        <v>4.5</v>
      </c>
      <c r="I18" s="130" t="s">
        <v>1360</v>
      </c>
      <c r="J18" s="131">
        <v>3</v>
      </c>
      <c r="K18" s="126">
        <v>1820</v>
      </c>
      <c r="L18" s="140"/>
      <c r="M18" s="132">
        <v>35</v>
      </c>
      <c r="N18" s="133">
        <v>25</v>
      </c>
      <c r="O18" s="134"/>
      <c r="P18" s="135"/>
      <c r="Q18" s="136">
        <v>5</v>
      </c>
      <c r="R18" s="137"/>
      <c r="S18" s="138"/>
      <c r="T18" s="60"/>
      <c r="U18" s="87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124"/>
      <c r="AL18" s="104"/>
      <c r="AM18" s="104"/>
      <c r="AN18" s="104"/>
      <c r="AO18" s="104"/>
      <c r="AP18" s="104"/>
      <c r="AQ18" s="88"/>
      <c r="AR18" s="88"/>
      <c r="AS18" s="105"/>
      <c r="AT18" s="88"/>
      <c r="AU18" s="106"/>
      <c r="AV18" s="107"/>
      <c r="AW18" s="106"/>
      <c r="AX18" s="107"/>
      <c r="AY18" s="106"/>
      <c r="AZ18" s="107"/>
      <c r="BA18" s="106"/>
      <c r="BB18" s="107"/>
      <c r="BC18" s="108"/>
      <c r="BD18" s="109"/>
      <c r="BE18" s="110"/>
      <c r="BF18" s="111"/>
      <c r="BG18" s="111"/>
      <c r="BH18" s="124"/>
    </row>
    <row r="19" spans="1:60" s="36" customFormat="1" ht="23.25" customHeight="1" x14ac:dyDescent="0.3">
      <c r="A19" s="61">
        <v>15</v>
      </c>
      <c r="B19" s="66">
        <f t="shared" si="0"/>
        <v>43120</v>
      </c>
      <c r="C19" s="140"/>
      <c r="D19" s="126">
        <v>1835</v>
      </c>
      <c r="E19" s="127">
        <f t="shared" si="1"/>
        <v>43120</v>
      </c>
      <c r="F19" s="128">
        <v>5119</v>
      </c>
      <c r="G19" s="128">
        <v>226</v>
      </c>
      <c r="H19" s="129">
        <v>4.5</v>
      </c>
      <c r="I19" s="130" t="s">
        <v>1360</v>
      </c>
      <c r="J19" s="131">
        <v>3</v>
      </c>
      <c r="K19" s="126">
        <v>1935</v>
      </c>
      <c r="L19" s="140"/>
      <c r="M19" s="132">
        <v>40</v>
      </c>
      <c r="N19" s="133">
        <v>20</v>
      </c>
      <c r="O19" s="134">
        <v>10</v>
      </c>
      <c r="P19" s="135"/>
      <c r="Q19" s="136"/>
      <c r="R19" s="137"/>
      <c r="S19" s="138"/>
      <c r="T19" s="60"/>
      <c r="U19" s="87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124"/>
      <c r="AL19" s="104"/>
      <c r="AM19" s="104"/>
      <c r="AN19" s="104"/>
      <c r="AO19" s="104"/>
      <c r="AP19" s="104"/>
      <c r="AQ19" s="88"/>
      <c r="AR19" s="88"/>
      <c r="AS19" s="105"/>
      <c r="AT19" s="88"/>
      <c r="AU19" s="106"/>
      <c r="AV19" s="107"/>
      <c r="AW19" s="106"/>
      <c r="AX19" s="107"/>
      <c r="AY19" s="106"/>
      <c r="AZ19" s="107"/>
      <c r="BA19" s="106"/>
      <c r="BB19" s="107"/>
      <c r="BC19" s="108"/>
      <c r="BD19" s="109"/>
      <c r="BE19" s="110"/>
      <c r="BF19" s="111"/>
      <c r="BG19" s="111"/>
      <c r="BH19" s="124"/>
    </row>
    <row r="20" spans="1:60" s="36" customFormat="1" ht="23.25" customHeight="1" x14ac:dyDescent="0.3">
      <c r="A20" s="61">
        <v>16</v>
      </c>
      <c r="B20" s="66">
        <f t="shared" si="0"/>
        <v>43120</v>
      </c>
      <c r="C20" s="140"/>
      <c r="D20" s="126">
        <v>1945</v>
      </c>
      <c r="E20" s="127">
        <f t="shared" si="1"/>
        <v>43120</v>
      </c>
      <c r="F20" s="128">
        <v>5120</v>
      </c>
      <c r="G20" s="128">
        <v>228</v>
      </c>
      <c r="H20" s="129">
        <v>4.5</v>
      </c>
      <c r="I20" s="130" t="s">
        <v>1361</v>
      </c>
      <c r="J20" s="131">
        <v>7</v>
      </c>
      <c r="K20" s="126">
        <v>2100</v>
      </c>
      <c r="L20" s="140"/>
      <c r="M20" s="132">
        <v>40</v>
      </c>
      <c r="N20" s="133">
        <v>25</v>
      </c>
      <c r="O20" s="134"/>
      <c r="P20" s="135"/>
      <c r="Q20" s="136"/>
      <c r="R20" s="137"/>
      <c r="S20" s="138"/>
      <c r="T20" s="60"/>
      <c r="U20" s="87">
        <v>10</v>
      </c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124"/>
      <c r="AL20" s="104"/>
      <c r="AM20" s="104"/>
      <c r="AN20" s="104"/>
      <c r="AO20" s="104"/>
      <c r="AP20" s="104"/>
      <c r="AQ20" s="88"/>
      <c r="AR20" s="88"/>
      <c r="AS20" s="105"/>
      <c r="AT20" s="88"/>
      <c r="AU20" s="106"/>
      <c r="AV20" s="107"/>
      <c r="AW20" s="106"/>
      <c r="AX20" s="107"/>
      <c r="AY20" s="106"/>
      <c r="AZ20" s="107"/>
      <c r="BA20" s="106"/>
      <c r="BB20" s="107"/>
      <c r="BC20" s="108"/>
      <c r="BD20" s="109"/>
      <c r="BE20" s="110"/>
      <c r="BF20" s="111"/>
      <c r="BG20" s="111"/>
      <c r="BH20" s="124"/>
    </row>
    <row r="21" spans="1:60" s="36" customFormat="1" ht="23.25" customHeight="1" x14ac:dyDescent="0.3">
      <c r="A21" s="61">
        <v>17</v>
      </c>
      <c r="B21" s="66">
        <f t="shared" si="0"/>
        <v>43120</v>
      </c>
      <c r="C21" s="140"/>
      <c r="D21" s="126">
        <v>2115</v>
      </c>
      <c r="E21" s="127">
        <f t="shared" si="1"/>
        <v>43120</v>
      </c>
      <c r="F21" s="128">
        <v>5119</v>
      </c>
      <c r="G21" s="128">
        <v>227</v>
      </c>
      <c r="H21" s="129">
        <v>4.5</v>
      </c>
      <c r="I21" s="130" t="s">
        <v>1361</v>
      </c>
      <c r="J21" s="131">
        <v>7</v>
      </c>
      <c r="K21" s="126">
        <v>2235</v>
      </c>
      <c r="L21" s="140"/>
      <c r="M21" s="132">
        <v>55</v>
      </c>
      <c r="N21" s="133">
        <v>35</v>
      </c>
      <c r="O21" s="134"/>
      <c r="P21" s="135"/>
      <c r="Q21" s="136"/>
      <c r="R21" s="137"/>
      <c r="S21" s="138"/>
      <c r="T21" s="60"/>
      <c r="U21" s="87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124"/>
      <c r="AL21" s="104"/>
      <c r="AM21" s="104"/>
      <c r="AN21" s="104"/>
      <c r="AO21" s="104"/>
      <c r="AP21" s="104"/>
      <c r="AQ21" s="88"/>
      <c r="AR21" s="88"/>
      <c r="AS21" s="105"/>
      <c r="AT21" s="88"/>
      <c r="AU21" s="106"/>
      <c r="AV21" s="107"/>
      <c r="AW21" s="106"/>
      <c r="AX21" s="107"/>
      <c r="AY21" s="106"/>
      <c r="AZ21" s="107"/>
      <c r="BA21" s="106"/>
      <c r="BB21" s="107"/>
      <c r="BC21" s="108"/>
      <c r="BD21" s="109"/>
      <c r="BE21" s="110"/>
      <c r="BF21" s="111"/>
      <c r="BG21" s="111"/>
      <c r="BH21" s="124"/>
    </row>
    <row r="22" spans="1:60" s="36" customFormat="1" ht="23.25" customHeight="1" x14ac:dyDescent="0.3">
      <c r="A22" s="61">
        <v>18</v>
      </c>
      <c r="B22" s="66">
        <f t="shared" si="0"/>
        <v>43120</v>
      </c>
      <c r="C22" s="140"/>
      <c r="D22" s="126">
        <v>2245</v>
      </c>
      <c r="E22" s="127">
        <f t="shared" si="1"/>
        <v>43120</v>
      </c>
      <c r="F22" s="128">
        <v>5118</v>
      </c>
      <c r="G22" s="128">
        <v>225</v>
      </c>
      <c r="H22" s="129">
        <v>4.5</v>
      </c>
      <c r="I22" s="130" t="s">
        <v>1361</v>
      </c>
      <c r="J22" s="131">
        <v>7</v>
      </c>
      <c r="K22" s="126">
        <v>5</v>
      </c>
      <c r="L22" s="140"/>
      <c r="M22" s="132">
        <v>50</v>
      </c>
      <c r="N22" s="133">
        <v>35</v>
      </c>
      <c r="O22" s="134"/>
      <c r="P22" s="135"/>
      <c r="Q22" s="136"/>
      <c r="R22" s="137"/>
      <c r="S22" s="138"/>
      <c r="T22" s="60"/>
      <c r="U22" s="87"/>
      <c r="V22" s="88">
        <v>10</v>
      </c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124"/>
      <c r="AL22" s="104"/>
      <c r="AM22" s="104"/>
      <c r="AN22" s="104"/>
      <c r="AO22" s="104"/>
      <c r="AP22" s="104"/>
      <c r="AQ22" s="88"/>
      <c r="AR22" s="88"/>
      <c r="AS22" s="105"/>
      <c r="AT22" s="88"/>
      <c r="AU22" s="106"/>
      <c r="AV22" s="107"/>
      <c r="AW22" s="106"/>
      <c r="AX22" s="107"/>
      <c r="AY22" s="106"/>
      <c r="AZ22" s="107"/>
      <c r="BA22" s="106"/>
      <c r="BB22" s="107"/>
      <c r="BC22" s="108"/>
      <c r="BD22" s="109"/>
      <c r="BE22" s="110"/>
      <c r="BF22" s="111"/>
      <c r="BG22" s="111"/>
      <c r="BH22" s="124"/>
    </row>
    <row r="23" spans="1:60" s="36" customFormat="1" ht="23.25" customHeight="1" x14ac:dyDescent="0.3">
      <c r="A23" s="61">
        <v>19</v>
      </c>
      <c r="B23" s="66">
        <f t="shared" si="0"/>
        <v>43121</v>
      </c>
      <c r="C23" s="140"/>
      <c r="D23" s="126">
        <v>15</v>
      </c>
      <c r="E23" s="127">
        <f t="shared" si="1"/>
        <v>43121</v>
      </c>
      <c r="F23" s="128">
        <v>5118</v>
      </c>
      <c r="G23" s="128">
        <v>226</v>
      </c>
      <c r="H23" s="129">
        <v>4.5</v>
      </c>
      <c r="I23" s="130" t="s">
        <v>1361</v>
      </c>
      <c r="J23" s="131">
        <v>7</v>
      </c>
      <c r="K23" s="126">
        <v>140</v>
      </c>
      <c r="L23" s="140"/>
      <c r="M23" s="132">
        <v>40</v>
      </c>
      <c r="N23" s="133">
        <v>25</v>
      </c>
      <c r="O23" s="134"/>
      <c r="P23" s="135"/>
      <c r="Q23" s="136">
        <v>5</v>
      </c>
      <c r="R23" s="137"/>
      <c r="S23" s="138"/>
      <c r="T23" s="60"/>
      <c r="U23" s="87">
        <v>10</v>
      </c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124"/>
      <c r="AL23" s="104"/>
      <c r="AM23" s="104"/>
      <c r="AN23" s="104"/>
      <c r="AO23" s="104"/>
      <c r="AP23" s="104"/>
      <c r="AQ23" s="88"/>
      <c r="AR23" s="88"/>
      <c r="AS23" s="105"/>
      <c r="AT23" s="88"/>
      <c r="AU23" s="106"/>
      <c r="AV23" s="107"/>
      <c r="AW23" s="106"/>
      <c r="AX23" s="107"/>
      <c r="AY23" s="106"/>
      <c r="AZ23" s="107"/>
      <c r="BA23" s="106"/>
      <c r="BB23" s="107"/>
      <c r="BC23" s="108"/>
      <c r="BD23" s="109"/>
      <c r="BE23" s="110"/>
      <c r="BF23" s="111"/>
      <c r="BG23" s="111"/>
      <c r="BH23" s="124"/>
    </row>
    <row r="24" spans="1:60" s="36" customFormat="1" ht="23.25" customHeight="1" x14ac:dyDescent="0.3">
      <c r="A24" s="61">
        <v>20</v>
      </c>
      <c r="B24" s="66">
        <f t="shared" si="0"/>
        <v>43121</v>
      </c>
      <c r="C24" s="140"/>
      <c r="D24" s="126">
        <v>150</v>
      </c>
      <c r="E24" s="127">
        <f t="shared" si="1"/>
        <v>43121</v>
      </c>
      <c r="F24" s="128">
        <v>5120</v>
      </c>
      <c r="G24" s="128">
        <v>228</v>
      </c>
      <c r="H24" s="129">
        <v>4.5</v>
      </c>
      <c r="I24" s="130" t="s">
        <v>1361</v>
      </c>
      <c r="J24" s="131">
        <v>7</v>
      </c>
      <c r="K24" s="126">
        <v>310</v>
      </c>
      <c r="L24" s="140"/>
      <c r="M24" s="132">
        <v>40</v>
      </c>
      <c r="N24" s="133">
        <v>20</v>
      </c>
      <c r="O24" s="134">
        <v>10</v>
      </c>
      <c r="P24" s="135"/>
      <c r="Q24" s="136"/>
      <c r="R24" s="137"/>
      <c r="S24" s="138"/>
      <c r="T24" s="60"/>
      <c r="U24" s="87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124"/>
      <c r="AL24" s="104"/>
      <c r="AM24" s="104"/>
      <c r="AN24" s="104"/>
      <c r="AO24" s="104"/>
      <c r="AP24" s="104"/>
      <c r="AQ24" s="88"/>
      <c r="AR24" s="88"/>
      <c r="AS24" s="105"/>
      <c r="AT24" s="88"/>
      <c r="AU24" s="106"/>
      <c r="AV24" s="107"/>
      <c r="AW24" s="106"/>
      <c r="AX24" s="107"/>
      <c r="AY24" s="106"/>
      <c r="AZ24" s="107"/>
      <c r="BA24" s="106"/>
      <c r="BB24" s="107"/>
      <c r="BC24" s="108"/>
      <c r="BD24" s="109"/>
      <c r="BE24" s="110"/>
      <c r="BF24" s="111"/>
      <c r="BG24" s="111"/>
      <c r="BH24" s="124"/>
    </row>
    <row r="25" spans="1:60" s="36" customFormat="1" ht="23.25" customHeight="1" x14ac:dyDescent="0.3">
      <c r="A25" s="61">
        <v>21</v>
      </c>
      <c r="B25" s="66">
        <f t="shared" si="0"/>
        <v>43121</v>
      </c>
      <c r="C25" s="140"/>
      <c r="D25" s="126">
        <v>320</v>
      </c>
      <c r="E25" s="127">
        <f t="shared" si="1"/>
        <v>43121</v>
      </c>
      <c r="F25" s="128">
        <v>5119</v>
      </c>
      <c r="G25" s="128">
        <v>226</v>
      </c>
      <c r="H25" s="129">
        <v>4.5</v>
      </c>
      <c r="I25" s="130" t="s">
        <v>1362</v>
      </c>
      <c r="J25" s="131">
        <v>7</v>
      </c>
      <c r="K25" s="126">
        <v>440</v>
      </c>
      <c r="L25" s="140"/>
      <c r="M25" s="132">
        <v>40</v>
      </c>
      <c r="N25" s="133">
        <v>25</v>
      </c>
      <c r="O25" s="134"/>
      <c r="P25" s="135"/>
      <c r="Q25" s="136"/>
      <c r="R25" s="137"/>
      <c r="S25" s="138"/>
      <c r="T25" s="60"/>
      <c r="U25" s="87"/>
      <c r="V25" s="88">
        <v>10</v>
      </c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/>
      <c r="AI25" s="88"/>
      <c r="AJ25" s="88"/>
      <c r="AK25" s="124"/>
      <c r="AL25" s="104"/>
      <c r="AM25" s="104"/>
      <c r="AN25" s="104"/>
      <c r="AO25" s="104"/>
      <c r="AP25" s="104"/>
      <c r="AQ25" s="88"/>
      <c r="AR25" s="88"/>
      <c r="AS25" s="105"/>
      <c r="AT25" s="88"/>
      <c r="AU25" s="106"/>
      <c r="AV25" s="107"/>
      <c r="AW25" s="106"/>
      <c r="AX25" s="107"/>
      <c r="AY25" s="106"/>
      <c r="AZ25" s="107"/>
      <c r="BA25" s="106"/>
      <c r="BB25" s="107"/>
      <c r="BC25" s="108"/>
      <c r="BD25" s="109"/>
      <c r="BE25" s="110"/>
      <c r="BF25" s="111"/>
      <c r="BG25" s="111"/>
      <c r="BH25" s="124"/>
    </row>
    <row r="26" spans="1:60" s="36" customFormat="1" ht="23.25" customHeight="1" x14ac:dyDescent="0.3">
      <c r="A26" s="61">
        <v>22</v>
      </c>
      <c r="B26" s="66">
        <f t="shared" si="0"/>
        <v>43121</v>
      </c>
      <c r="C26" s="140"/>
      <c r="D26" s="126">
        <v>500</v>
      </c>
      <c r="E26" s="127">
        <f t="shared" si="1"/>
        <v>43121</v>
      </c>
      <c r="F26" s="128">
        <v>5118</v>
      </c>
      <c r="G26" s="128">
        <v>225</v>
      </c>
      <c r="H26" s="129">
        <v>4.5</v>
      </c>
      <c r="I26" s="130" t="s">
        <v>1362</v>
      </c>
      <c r="J26" s="131">
        <v>6</v>
      </c>
      <c r="K26" s="126">
        <v>620</v>
      </c>
      <c r="L26" s="140"/>
      <c r="M26" s="132">
        <v>50</v>
      </c>
      <c r="N26" s="133">
        <v>20</v>
      </c>
      <c r="O26" s="134"/>
      <c r="P26" s="135"/>
      <c r="Q26" s="136"/>
      <c r="R26" s="137">
        <v>5</v>
      </c>
      <c r="S26" s="138"/>
      <c r="T26" s="60"/>
      <c r="U26" s="87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124"/>
      <c r="AL26" s="104"/>
      <c r="AM26" s="104"/>
      <c r="AN26" s="104"/>
      <c r="AO26" s="104"/>
      <c r="AP26" s="104"/>
      <c r="AQ26" s="88"/>
      <c r="AR26" s="88"/>
      <c r="AS26" s="105"/>
      <c r="AT26" s="88"/>
      <c r="AU26" s="106"/>
      <c r="AV26" s="107"/>
      <c r="AW26" s="106"/>
      <c r="AX26" s="107"/>
      <c r="AY26" s="106"/>
      <c r="AZ26" s="107"/>
      <c r="BA26" s="106"/>
      <c r="BB26" s="107"/>
      <c r="BC26" s="108"/>
      <c r="BD26" s="109"/>
      <c r="BE26" s="110"/>
      <c r="BF26" s="111"/>
      <c r="BG26" s="111"/>
      <c r="BH26" s="124"/>
    </row>
    <row r="27" spans="1:60" s="36" customFormat="1" ht="23.25" customHeight="1" x14ac:dyDescent="0.3">
      <c r="A27" s="61">
        <v>23</v>
      </c>
      <c r="B27" s="66">
        <f t="shared" si="0"/>
        <v>43121</v>
      </c>
      <c r="C27" s="140"/>
      <c r="D27" s="126">
        <v>630</v>
      </c>
      <c r="E27" s="127">
        <f t="shared" si="1"/>
        <v>43121</v>
      </c>
      <c r="F27" s="128">
        <v>5120</v>
      </c>
      <c r="G27" s="128">
        <v>228</v>
      </c>
      <c r="H27" s="129">
        <v>4.5</v>
      </c>
      <c r="I27" s="130" t="s">
        <v>1360</v>
      </c>
      <c r="J27" s="131">
        <v>6</v>
      </c>
      <c r="K27" s="126">
        <v>750</v>
      </c>
      <c r="L27" s="140"/>
      <c r="M27" s="132">
        <v>40</v>
      </c>
      <c r="N27" s="133">
        <v>15</v>
      </c>
      <c r="O27" s="134">
        <v>10</v>
      </c>
      <c r="P27" s="135"/>
      <c r="Q27" s="136"/>
      <c r="R27" s="137"/>
      <c r="S27" s="138"/>
      <c r="T27" s="60"/>
      <c r="U27" s="87">
        <v>10</v>
      </c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124"/>
      <c r="AL27" s="104"/>
      <c r="AM27" s="104"/>
      <c r="AN27" s="104"/>
      <c r="AO27" s="104"/>
      <c r="AP27" s="104"/>
      <c r="AQ27" s="88"/>
      <c r="AR27" s="88"/>
      <c r="AS27" s="105"/>
      <c r="AT27" s="88"/>
      <c r="AU27" s="106"/>
      <c r="AV27" s="107"/>
      <c r="AW27" s="106"/>
      <c r="AX27" s="107"/>
      <c r="AY27" s="106"/>
      <c r="AZ27" s="107"/>
      <c r="BA27" s="106"/>
      <c r="BB27" s="107"/>
      <c r="BC27" s="108"/>
      <c r="BD27" s="109"/>
      <c r="BE27" s="110"/>
      <c r="BF27" s="111"/>
      <c r="BG27" s="111"/>
      <c r="BH27" s="124"/>
    </row>
    <row r="28" spans="1:60" s="36" customFormat="1" ht="23.25" customHeight="1" x14ac:dyDescent="0.3">
      <c r="A28" s="61">
        <v>24</v>
      </c>
      <c r="B28" s="66">
        <f t="shared" si="0"/>
        <v>43121</v>
      </c>
      <c r="C28" s="140"/>
      <c r="D28" s="126">
        <v>800</v>
      </c>
      <c r="E28" s="127">
        <f t="shared" si="1"/>
        <v>43121</v>
      </c>
      <c r="F28" s="128">
        <v>5118</v>
      </c>
      <c r="G28" s="128">
        <v>226</v>
      </c>
      <c r="H28" s="129">
        <v>4.5</v>
      </c>
      <c r="I28" s="130" t="s">
        <v>1360</v>
      </c>
      <c r="J28" s="131">
        <v>6</v>
      </c>
      <c r="K28" s="126">
        <v>910</v>
      </c>
      <c r="L28" s="140"/>
      <c r="M28" s="132">
        <v>35</v>
      </c>
      <c r="N28" s="133">
        <v>15</v>
      </c>
      <c r="O28" s="134"/>
      <c r="P28" s="135"/>
      <c r="Q28" s="136"/>
      <c r="R28" s="137"/>
      <c r="S28" s="138"/>
      <c r="T28" s="60"/>
      <c r="U28" s="87"/>
      <c r="V28" s="88">
        <v>10</v>
      </c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124"/>
      <c r="AL28" s="104"/>
      <c r="AM28" s="104"/>
      <c r="AN28" s="104"/>
      <c r="AO28" s="104"/>
      <c r="AP28" s="104"/>
      <c r="AQ28" s="88"/>
      <c r="AR28" s="88"/>
      <c r="AS28" s="105"/>
      <c r="AT28" s="88"/>
      <c r="AU28" s="106"/>
      <c r="AV28" s="107"/>
      <c r="AW28" s="106"/>
      <c r="AX28" s="107"/>
      <c r="AY28" s="106"/>
      <c r="AZ28" s="107"/>
      <c r="BA28" s="106"/>
      <c r="BB28" s="107"/>
      <c r="BC28" s="108"/>
      <c r="BD28" s="109"/>
      <c r="BE28" s="110"/>
      <c r="BF28" s="111"/>
      <c r="BG28" s="111"/>
      <c r="BH28" s="124"/>
    </row>
    <row r="29" spans="1:60" s="36" customFormat="1" ht="23.25" customHeight="1" x14ac:dyDescent="0.3">
      <c r="A29" s="61">
        <v>25</v>
      </c>
      <c r="B29" s="66">
        <f t="shared" si="0"/>
        <v>43121</v>
      </c>
      <c r="C29" s="140"/>
      <c r="D29" s="126">
        <v>920</v>
      </c>
      <c r="E29" s="127">
        <f t="shared" si="1"/>
        <v>43121</v>
      </c>
      <c r="F29" s="128">
        <v>5119</v>
      </c>
      <c r="G29" s="128">
        <v>223</v>
      </c>
      <c r="H29" s="129">
        <v>4.5</v>
      </c>
      <c r="I29" s="130" t="s">
        <v>1360</v>
      </c>
      <c r="J29" s="131">
        <v>5</v>
      </c>
      <c r="K29" s="126">
        <v>1030</v>
      </c>
      <c r="L29" s="140"/>
      <c r="M29" s="132">
        <v>35</v>
      </c>
      <c r="N29" s="133">
        <v>15</v>
      </c>
      <c r="O29" s="134"/>
      <c r="P29" s="135"/>
      <c r="Q29" s="136">
        <v>5</v>
      </c>
      <c r="R29" s="137"/>
      <c r="S29" s="138"/>
      <c r="T29" s="60"/>
      <c r="U29" s="87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124"/>
      <c r="AL29" s="104"/>
      <c r="AM29" s="104"/>
      <c r="AN29" s="104"/>
      <c r="AO29" s="104"/>
      <c r="AP29" s="104"/>
      <c r="AQ29" s="88"/>
      <c r="AR29" s="88"/>
      <c r="AS29" s="105"/>
      <c r="AT29" s="88"/>
      <c r="AU29" s="106"/>
      <c r="AV29" s="107"/>
      <c r="AW29" s="106"/>
      <c r="AX29" s="107"/>
      <c r="AY29" s="106"/>
      <c r="AZ29" s="107"/>
      <c r="BA29" s="106"/>
      <c r="BB29" s="107"/>
      <c r="BC29" s="108"/>
      <c r="BD29" s="109"/>
      <c r="BE29" s="110"/>
      <c r="BF29" s="111"/>
      <c r="BG29" s="111"/>
      <c r="BH29" s="124"/>
    </row>
    <row r="30" spans="1:60" s="36" customFormat="1" ht="23.25" customHeight="1" x14ac:dyDescent="0.3">
      <c r="A30" s="61">
        <v>26</v>
      </c>
      <c r="B30" s="66">
        <f t="shared" si="0"/>
        <v>43121</v>
      </c>
      <c r="C30" s="140"/>
      <c r="D30" s="126">
        <v>1040</v>
      </c>
      <c r="E30" s="127">
        <f t="shared" si="1"/>
        <v>43121</v>
      </c>
      <c r="F30" s="128">
        <v>5119</v>
      </c>
      <c r="G30" s="128">
        <v>225</v>
      </c>
      <c r="H30" s="129">
        <v>4.5</v>
      </c>
      <c r="I30" s="130" t="s">
        <v>1360</v>
      </c>
      <c r="J30" s="131">
        <v>5</v>
      </c>
      <c r="K30" s="126">
        <v>1140</v>
      </c>
      <c r="L30" s="140"/>
      <c r="M30" s="132">
        <v>40</v>
      </c>
      <c r="N30" s="133">
        <v>15</v>
      </c>
      <c r="O30" s="134"/>
      <c r="P30" s="135"/>
      <c r="Q30" s="136"/>
      <c r="R30" s="137"/>
      <c r="S30" s="138"/>
      <c r="T30" s="60"/>
      <c r="U30" s="87">
        <v>10</v>
      </c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124"/>
      <c r="AL30" s="104"/>
      <c r="AM30" s="104"/>
      <c r="AN30" s="104"/>
      <c r="AO30" s="104"/>
      <c r="AP30" s="104"/>
      <c r="AQ30" s="88"/>
      <c r="AR30" s="88"/>
      <c r="AS30" s="105"/>
      <c r="AT30" s="88"/>
      <c r="AU30" s="106"/>
      <c r="AV30" s="107"/>
      <c r="AW30" s="106"/>
      <c r="AX30" s="107"/>
      <c r="AY30" s="106"/>
      <c r="AZ30" s="107"/>
      <c r="BA30" s="106"/>
      <c r="BB30" s="107"/>
      <c r="BC30" s="108"/>
      <c r="BD30" s="109"/>
      <c r="BE30" s="110"/>
      <c r="BF30" s="111"/>
      <c r="BG30" s="111"/>
      <c r="BH30" s="124"/>
    </row>
    <row r="31" spans="1:60" s="36" customFormat="1" ht="23.25" customHeight="1" x14ac:dyDescent="0.3">
      <c r="A31" s="61">
        <v>27</v>
      </c>
      <c r="B31" s="66">
        <f t="shared" si="0"/>
        <v>43121</v>
      </c>
      <c r="C31" s="140"/>
      <c r="D31" s="126">
        <v>1150</v>
      </c>
      <c r="E31" s="127">
        <f t="shared" si="1"/>
        <v>43121</v>
      </c>
      <c r="F31" s="128">
        <v>5117</v>
      </c>
      <c r="G31" s="128">
        <v>220</v>
      </c>
      <c r="H31" s="129">
        <v>4.5</v>
      </c>
      <c r="I31" s="130" t="s">
        <v>1360</v>
      </c>
      <c r="J31" s="131">
        <v>4</v>
      </c>
      <c r="K31" s="126">
        <v>1250</v>
      </c>
      <c r="L31" s="140"/>
      <c r="M31" s="132">
        <v>10</v>
      </c>
      <c r="N31" s="133">
        <v>5</v>
      </c>
      <c r="O31" s="134"/>
      <c r="P31" s="135"/>
      <c r="Q31" s="136"/>
      <c r="R31" s="137">
        <v>5</v>
      </c>
      <c r="S31" s="138"/>
      <c r="T31" s="60"/>
      <c r="U31" s="87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124"/>
      <c r="AL31" s="104"/>
      <c r="AM31" s="104"/>
      <c r="AN31" s="104"/>
      <c r="AO31" s="104"/>
      <c r="AP31" s="104"/>
      <c r="AQ31" s="88"/>
      <c r="AR31" s="88"/>
      <c r="AS31" s="105"/>
      <c r="AT31" s="88"/>
      <c r="AU31" s="106"/>
      <c r="AV31" s="107"/>
      <c r="AW31" s="106"/>
      <c r="AX31" s="107"/>
      <c r="AY31" s="106"/>
      <c r="AZ31" s="107"/>
      <c r="BA31" s="106"/>
      <c r="BB31" s="107"/>
      <c r="BC31" s="108"/>
      <c r="BD31" s="109"/>
      <c r="BE31" s="110"/>
      <c r="BF31" s="111"/>
      <c r="BG31" s="111"/>
      <c r="BH31" s="124"/>
    </row>
    <row r="32" spans="1:60" s="36" customFormat="1" ht="23.25" customHeight="1" x14ac:dyDescent="0.3">
      <c r="A32" s="61">
        <v>28</v>
      </c>
      <c r="B32" s="66">
        <f t="shared" si="0"/>
        <v>43121</v>
      </c>
      <c r="C32" s="140"/>
      <c r="D32" s="126">
        <v>1300</v>
      </c>
      <c r="E32" s="127">
        <f t="shared" si="1"/>
        <v>43121</v>
      </c>
      <c r="F32" s="128">
        <v>5119</v>
      </c>
      <c r="G32" s="128">
        <v>224</v>
      </c>
      <c r="H32" s="129">
        <v>4.5</v>
      </c>
      <c r="I32" s="130" t="s">
        <v>1360</v>
      </c>
      <c r="J32" s="131">
        <v>4</v>
      </c>
      <c r="K32" s="126">
        <v>1420</v>
      </c>
      <c r="L32" s="140"/>
      <c r="M32" s="132">
        <v>30</v>
      </c>
      <c r="N32" s="133">
        <v>15</v>
      </c>
      <c r="O32" s="134"/>
      <c r="P32" s="135"/>
      <c r="Q32" s="136"/>
      <c r="R32" s="137"/>
      <c r="S32" s="138"/>
      <c r="T32" s="60"/>
      <c r="U32" s="87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124"/>
      <c r="AL32" s="104"/>
      <c r="AM32" s="104"/>
      <c r="AN32" s="104"/>
      <c r="AO32" s="104"/>
      <c r="AP32" s="104"/>
      <c r="AQ32" s="88"/>
      <c r="AR32" s="88"/>
      <c r="AS32" s="105"/>
      <c r="AT32" s="88"/>
      <c r="AU32" s="106"/>
      <c r="AV32" s="107"/>
      <c r="AW32" s="106"/>
      <c r="AX32" s="107"/>
      <c r="AY32" s="106"/>
      <c r="AZ32" s="107"/>
      <c r="BA32" s="106"/>
      <c r="BB32" s="107"/>
      <c r="BC32" s="108"/>
      <c r="BD32" s="109"/>
      <c r="BE32" s="110"/>
      <c r="BF32" s="111"/>
      <c r="BG32" s="111"/>
      <c r="BH32" s="124"/>
    </row>
    <row r="33" spans="1:60" s="36" customFormat="1" ht="23.25" customHeight="1" x14ac:dyDescent="0.3">
      <c r="A33" s="61">
        <v>29</v>
      </c>
      <c r="B33" s="66">
        <f t="shared" si="0"/>
        <v>43121</v>
      </c>
      <c r="C33" s="140"/>
      <c r="D33" s="126">
        <v>1430</v>
      </c>
      <c r="E33" s="127">
        <f t="shared" si="1"/>
        <v>43121</v>
      </c>
      <c r="F33" s="128">
        <v>5119</v>
      </c>
      <c r="G33" s="128">
        <v>223</v>
      </c>
      <c r="H33" s="129">
        <v>4.5</v>
      </c>
      <c r="I33" s="130" t="s">
        <v>1363</v>
      </c>
      <c r="J33" s="131">
        <v>3</v>
      </c>
      <c r="K33" s="126">
        <v>1545</v>
      </c>
      <c r="L33" s="140"/>
      <c r="M33" s="132">
        <v>50</v>
      </c>
      <c r="N33" s="133">
        <v>20</v>
      </c>
      <c r="O33" s="134">
        <v>10</v>
      </c>
      <c r="P33" s="135"/>
      <c r="Q33" s="136"/>
      <c r="R33" s="137"/>
      <c r="S33" s="138"/>
      <c r="T33" s="60"/>
      <c r="U33" s="87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124"/>
      <c r="AL33" s="104"/>
      <c r="AM33" s="104"/>
      <c r="AN33" s="104"/>
      <c r="AO33" s="104"/>
      <c r="AP33" s="104"/>
      <c r="AQ33" s="88"/>
      <c r="AR33" s="88"/>
      <c r="AS33" s="105"/>
      <c r="AT33" s="88"/>
      <c r="AU33" s="106"/>
      <c r="AV33" s="107"/>
      <c r="AW33" s="106"/>
      <c r="AX33" s="107"/>
      <c r="AY33" s="106"/>
      <c r="AZ33" s="107"/>
      <c r="BA33" s="106"/>
      <c r="BB33" s="107"/>
      <c r="BC33" s="108"/>
      <c r="BD33" s="109"/>
      <c r="BE33" s="110"/>
      <c r="BF33" s="111"/>
      <c r="BG33" s="111"/>
      <c r="BH33" s="124"/>
    </row>
    <row r="34" spans="1:60" s="36" customFormat="1" ht="23.25" customHeight="1" x14ac:dyDescent="0.3">
      <c r="A34" s="61">
        <v>30</v>
      </c>
      <c r="B34" s="66">
        <f t="shared" si="0"/>
        <v>43121</v>
      </c>
      <c r="C34" s="140"/>
      <c r="D34" s="126">
        <v>1550</v>
      </c>
      <c r="E34" s="127">
        <f t="shared" si="1"/>
        <v>43121</v>
      </c>
      <c r="F34" s="128">
        <v>5119</v>
      </c>
      <c r="G34" s="128">
        <v>227</v>
      </c>
      <c r="H34" s="129">
        <v>4.5</v>
      </c>
      <c r="I34" s="130" t="s">
        <v>1363</v>
      </c>
      <c r="J34" s="131">
        <v>2</v>
      </c>
      <c r="K34" s="126">
        <v>1650</v>
      </c>
      <c r="L34" s="140"/>
      <c r="M34" s="132">
        <v>30</v>
      </c>
      <c r="N34" s="133">
        <v>20</v>
      </c>
      <c r="O34" s="134"/>
      <c r="P34" s="135"/>
      <c r="Q34" s="136"/>
      <c r="R34" s="137"/>
      <c r="S34" s="138"/>
      <c r="T34" s="60"/>
      <c r="U34" s="87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124"/>
      <c r="AL34" s="104"/>
      <c r="AM34" s="104"/>
      <c r="AN34" s="104"/>
      <c r="AO34" s="104"/>
      <c r="AP34" s="104"/>
      <c r="AQ34" s="88"/>
      <c r="AR34" s="88"/>
      <c r="AS34" s="105"/>
      <c r="AT34" s="88"/>
      <c r="AU34" s="106"/>
      <c r="AV34" s="107"/>
      <c r="AW34" s="106"/>
      <c r="AX34" s="107"/>
      <c r="AY34" s="106"/>
      <c r="AZ34" s="107"/>
      <c r="BA34" s="106"/>
      <c r="BB34" s="107"/>
      <c r="BC34" s="108"/>
      <c r="BD34" s="109"/>
      <c r="BE34" s="110"/>
      <c r="BF34" s="111"/>
      <c r="BG34" s="111"/>
      <c r="BH34" s="124"/>
    </row>
    <row r="35" spans="1:60" s="36" customFormat="1" ht="23.25" customHeight="1" x14ac:dyDescent="0.3">
      <c r="A35" s="61">
        <v>31</v>
      </c>
      <c r="B35" s="66">
        <f t="shared" si="0"/>
        <v>43121</v>
      </c>
      <c r="C35" s="140"/>
      <c r="D35" s="126">
        <v>1700</v>
      </c>
      <c r="E35" s="127">
        <f t="shared" si="1"/>
        <v>43121</v>
      </c>
      <c r="F35" s="128">
        <v>5119</v>
      </c>
      <c r="G35" s="128">
        <v>227</v>
      </c>
      <c r="H35" s="129">
        <v>4.5</v>
      </c>
      <c r="I35" s="130" t="s">
        <v>1363</v>
      </c>
      <c r="J35" s="131">
        <v>2</v>
      </c>
      <c r="K35" s="126">
        <v>1815</v>
      </c>
      <c r="L35" s="140"/>
      <c r="M35" s="132">
        <v>40</v>
      </c>
      <c r="N35" s="133">
        <v>25</v>
      </c>
      <c r="O35" s="134"/>
      <c r="P35" s="135"/>
      <c r="Q35" s="136"/>
      <c r="R35" s="137"/>
      <c r="S35" s="138"/>
      <c r="T35" s="60"/>
      <c r="U35" s="87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124"/>
      <c r="AL35" s="104"/>
      <c r="AM35" s="104"/>
      <c r="AN35" s="104"/>
      <c r="AO35" s="104"/>
      <c r="AP35" s="104"/>
      <c r="AQ35" s="88"/>
      <c r="AR35" s="88"/>
      <c r="AS35" s="105"/>
      <c r="AT35" s="88"/>
      <c r="AU35" s="106"/>
      <c r="AV35" s="107"/>
      <c r="AW35" s="106"/>
      <c r="AX35" s="107"/>
      <c r="AY35" s="106"/>
      <c r="AZ35" s="107"/>
      <c r="BA35" s="106"/>
      <c r="BB35" s="107"/>
      <c r="BC35" s="108"/>
      <c r="BD35" s="109"/>
      <c r="BE35" s="110"/>
      <c r="BF35" s="111"/>
      <c r="BG35" s="111"/>
      <c r="BH35" s="124"/>
    </row>
    <row r="36" spans="1:60" s="36" customFormat="1" ht="23.25" customHeight="1" x14ac:dyDescent="0.3">
      <c r="A36" s="61">
        <v>32</v>
      </c>
      <c r="B36" s="66">
        <f t="shared" si="0"/>
        <v>43121</v>
      </c>
      <c r="C36" s="140"/>
      <c r="D36" s="126">
        <v>1825</v>
      </c>
      <c r="E36" s="127">
        <f t="shared" si="1"/>
        <v>43121</v>
      </c>
      <c r="F36" s="128">
        <v>5118</v>
      </c>
      <c r="G36" s="128">
        <v>226</v>
      </c>
      <c r="H36" s="129">
        <v>4.5</v>
      </c>
      <c r="I36" s="130" t="s">
        <v>1363</v>
      </c>
      <c r="J36" s="131">
        <v>2</v>
      </c>
      <c r="K36" s="126">
        <v>1950</v>
      </c>
      <c r="L36" s="140"/>
      <c r="M36" s="132">
        <v>60</v>
      </c>
      <c r="N36" s="133">
        <v>45</v>
      </c>
      <c r="O36" s="134"/>
      <c r="P36" s="135"/>
      <c r="Q36" s="136"/>
      <c r="R36" s="137"/>
      <c r="S36" s="138"/>
      <c r="T36" s="60"/>
      <c r="U36" s="87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124"/>
      <c r="AL36" s="104"/>
      <c r="AM36" s="104"/>
      <c r="AN36" s="104"/>
      <c r="AO36" s="104"/>
      <c r="AP36" s="104"/>
      <c r="AQ36" s="88"/>
      <c r="AR36" s="88"/>
      <c r="AS36" s="105"/>
      <c r="AT36" s="88"/>
      <c r="AU36" s="106"/>
      <c r="AV36" s="107"/>
      <c r="AW36" s="106"/>
      <c r="AX36" s="107"/>
      <c r="AY36" s="106"/>
      <c r="AZ36" s="107"/>
      <c r="BA36" s="106"/>
      <c r="BB36" s="107"/>
      <c r="BC36" s="108"/>
      <c r="BD36" s="109"/>
      <c r="BE36" s="110"/>
      <c r="BF36" s="111"/>
      <c r="BG36" s="111"/>
      <c r="BH36" s="124"/>
    </row>
    <row r="37" spans="1:60" s="36" customFormat="1" ht="23.25" customHeight="1" x14ac:dyDescent="0.3">
      <c r="A37" s="61">
        <v>33</v>
      </c>
      <c r="B37" s="66">
        <f t="shared" si="0"/>
        <v>43121</v>
      </c>
      <c r="C37" s="140"/>
      <c r="D37" s="126">
        <v>2000</v>
      </c>
      <c r="E37" s="127">
        <f t="shared" si="1"/>
        <v>43121</v>
      </c>
      <c r="F37" s="128">
        <v>5118</v>
      </c>
      <c r="G37" s="128">
        <v>226</v>
      </c>
      <c r="H37" s="129">
        <v>4.5</v>
      </c>
      <c r="I37" s="130" t="s">
        <v>1363</v>
      </c>
      <c r="J37" s="131">
        <v>2</v>
      </c>
      <c r="K37" s="126">
        <v>2120</v>
      </c>
      <c r="L37" s="140"/>
      <c r="M37" s="132">
        <v>45</v>
      </c>
      <c r="N37" s="133">
        <v>35</v>
      </c>
      <c r="O37" s="134"/>
      <c r="P37" s="135"/>
      <c r="Q37" s="136"/>
      <c r="R37" s="137"/>
      <c r="S37" s="138"/>
      <c r="T37" s="60"/>
      <c r="U37" s="87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124"/>
      <c r="AL37" s="104"/>
      <c r="AM37" s="104"/>
      <c r="AN37" s="104"/>
      <c r="AO37" s="104"/>
      <c r="AP37" s="104"/>
      <c r="AQ37" s="88"/>
      <c r="AR37" s="88"/>
      <c r="AS37" s="105"/>
      <c r="AT37" s="88"/>
      <c r="AU37" s="106"/>
      <c r="AV37" s="107"/>
      <c r="AW37" s="106"/>
      <c r="AX37" s="107"/>
      <c r="AY37" s="106"/>
      <c r="AZ37" s="107"/>
      <c r="BA37" s="106"/>
      <c r="BB37" s="107"/>
      <c r="BC37" s="108"/>
      <c r="BD37" s="109"/>
      <c r="BE37" s="110"/>
      <c r="BF37" s="111"/>
      <c r="BG37" s="111"/>
      <c r="BH37" s="124"/>
    </row>
    <row r="38" spans="1:60" s="36" customFormat="1" ht="23.25" customHeight="1" x14ac:dyDescent="0.3">
      <c r="A38" s="61">
        <v>34</v>
      </c>
      <c r="B38" s="66">
        <f t="shared" si="0"/>
        <v>43121</v>
      </c>
      <c r="C38" s="140"/>
      <c r="D38" s="126">
        <v>2130</v>
      </c>
      <c r="E38" s="127">
        <f t="shared" si="1"/>
        <v>43121</v>
      </c>
      <c r="F38" s="128">
        <v>5118</v>
      </c>
      <c r="G38" s="128">
        <v>226</v>
      </c>
      <c r="H38" s="129">
        <v>4.5</v>
      </c>
      <c r="I38" s="130" t="s">
        <v>1359</v>
      </c>
      <c r="J38" s="131">
        <v>2</v>
      </c>
      <c r="K38" s="126">
        <v>2250</v>
      </c>
      <c r="L38" s="140"/>
      <c r="M38" s="132">
        <v>35</v>
      </c>
      <c r="N38" s="133">
        <v>25</v>
      </c>
      <c r="O38" s="134"/>
      <c r="P38" s="135"/>
      <c r="Q38" s="136"/>
      <c r="R38" s="137"/>
      <c r="S38" s="138"/>
      <c r="T38" s="60"/>
      <c r="U38" s="87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124"/>
      <c r="AL38" s="104"/>
      <c r="AM38" s="104"/>
      <c r="AN38" s="104"/>
      <c r="AO38" s="104"/>
      <c r="AP38" s="104"/>
      <c r="AQ38" s="88"/>
      <c r="AR38" s="88"/>
      <c r="AS38" s="105"/>
      <c r="AT38" s="88"/>
      <c r="AU38" s="106"/>
      <c r="AV38" s="107"/>
      <c r="AW38" s="106"/>
      <c r="AX38" s="107"/>
      <c r="AY38" s="106"/>
      <c r="AZ38" s="107"/>
      <c r="BA38" s="106"/>
      <c r="BB38" s="107"/>
      <c r="BC38" s="108"/>
      <c r="BD38" s="109"/>
      <c r="BE38" s="110"/>
      <c r="BF38" s="111"/>
      <c r="BG38" s="111"/>
      <c r="BH38" s="124"/>
    </row>
    <row r="39" spans="1:60" s="36" customFormat="1" ht="23.25" customHeight="1" x14ac:dyDescent="0.3">
      <c r="A39" s="61">
        <v>35</v>
      </c>
      <c r="B39" s="66">
        <f t="shared" si="0"/>
        <v>43121</v>
      </c>
      <c r="C39" s="140"/>
      <c r="D39" s="126">
        <v>2300</v>
      </c>
      <c r="E39" s="127">
        <f t="shared" si="1"/>
        <v>43121</v>
      </c>
      <c r="F39" s="128">
        <v>5118</v>
      </c>
      <c r="G39" s="128">
        <v>226</v>
      </c>
      <c r="H39" s="129">
        <v>4.5</v>
      </c>
      <c r="I39" s="130" t="s">
        <v>1363</v>
      </c>
      <c r="J39" s="131">
        <v>2</v>
      </c>
      <c r="K39" s="126">
        <v>20</v>
      </c>
      <c r="L39" s="140"/>
      <c r="M39" s="132">
        <v>35</v>
      </c>
      <c r="N39" s="133">
        <v>25</v>
      </c>
      <c r="O39" s="134"/>
      <c r="P39" s="135"/>
      <c r="Q39" s="136"/>
      <c r="R39" s="137"/>
      <c r="S39" s="138"/>
      <c r="T39" s="60"/>
      <c r="U39" s="87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124"/>
      <c r="AL39" s="104"/>
      <c r="AM39" s="104"/>
      <c r="AN39" s="104"/>
      <c r="AO39" s="104"/>
      <c r="AP39" s="104"/>
      <c r="AQ39" s="88"/>
      <c r="AR39" s="88"/>
      <c r="AS39" s="105"/>
      <c r="AT39" s="88"/>
      <c r="AU39" s="106"/>
      <c r="AV39" s="107"/>
      <c r="AW39" s="106"/>
      <c r="AX39" s="107"/>
      <c r="AY39" s="106"/>
      <c r="AZ39" s="107"/>
      <c r="BA39" s="106"/>
      <c r="BB39" s="107"/>
      <c r="BC39" s="108"/>
      <c r="BD39" s="109"/>
      <c r="BE39" s="110"/>
      <c r="BF39" s="111"/>
      <c r="BG39" s="111"/>
      <c r="BH39" s="124"/>
    </row>
    <row r="40" spans="1:60" s="36" customFormat="1" ht="23.25" customHeight="1" x14ac:dyDescent="0.3">
      <c r="A40" s="61">
        <v>36</v>
      </c>
      <c r="B40" s="66">
        <f t="shared" si="0"/>
        <v>43122</v>
      </c>
      <c r="C40" s="140"/>
      <c r="D40" s="126">
        <v>30</v>
      </c>
      <c r="E40" s="127">
        <f t="shared" si="1"/>
        <v>43122</v>
      </c>
      <c r="F40" s="128">
        <v>5119</v>
      </c>
      <c r="G40" s="128">
        <v>227</v>
      </c>
      <c r="H40" s="129">
        <v>4.5</v>
      </c>
      <c r="I40" s="130" t="s">
        <v>1363</v>
      </c>
      <c r="J40" s="131">
        <v>2</v>
      </c>
      <c r="K40" s="126">
        <v>155</v>
      </c>
      <c r="L40" s="140"/>
      <c r="M40" s="132">
        <v>40</v>
      </c>
      <c r="N40" s="133">
        <v>25</v>
      </c>
      <c r="O40" s="134"/>
      <c r="P40" s="135"/>
      <c r="Q40" s="136"/>
      <c r="R40" s="137"/>
      <c r="S40" s="138"/>
      <c r="T40" s="60"/>
      <c r="U40" s="87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124"/>
      <c r="AL40" s="104"/>
      <c r="AM40" s="104"/>
      <c r="AN40" s="104"/>
      <c r="AO40" s="104"/>
      <c r="AP40" s="104"/>
      <c r="AQ40" s="88"/>
      <c r="AR40" s="88"/>
      <c r="AS40" s="105"/>
      <c r="AT40" s="88"/>
      <c r="AU40" s="106"/>
      <c r="AV40" s="107"/>
      <c r="AW40" s="106"/>
      <c r="AX40" s="107"/>
      <c r="AY40" s="106"/>
      <c r="AZ40" s="107"/>
      <c r="BA40" s="106"/>
      <c r="BB40" s="107"/>
      <c r="BC40" s="108"/>
      <c r="BD40" s="109"/>
      <c r="BE40" s="110"/>
      <c r="BF40" s="111"/>
      <c r="BG40" s="111"/>
      <c r="BH40" s="124"/>
    </row>
    <row r="41" spans="1:60" s="36" customFormat="1" ht="23.25" customHeight="1" x14ac:dyDescent="0.3">
      <c r="A41" s="61">
        <v>37</v>
      </c>
      <c r="B41" s="66">
        <f t="shared" si="0"/>
        <v>43122</v>
      </c>
      <c r="C41" s="140"/>
      <c r="D41" s="126">
        <v>215</v>
      </c>
      <c r="E41" s="127">
        <f t="shared" si="1"/>
        <v>43122</v>
      </c>
      <c r="F41" s="128">
        <v>5120</v>
      </c>
      <c r="G41" s="128">
        <v>228</v>
      </c>
      <c r="H41" s="129">
        <v>4.5</v>
      </c>
      <c r="I41" s="130" t="s">
        <v>1363</v>
      </c>
      <c r="J41" s="131">
        <v>2</v>
      </c>
      <c r="K41" s="126">
        <v>335</v>
      </c>
      <c r="L41" s="140"/>
      <c r="M41" s="132">
        <v>30</v>
      </c>
      <c r="N41" s="133">
        <v>10</v>
      </c>
      <c r="O41" s="134"/>
      <c r="P41" s="135"/>
      <c r="Q41" s="136"/>
      <c r="R41" s="137"/>
      <c r="S41" s="138"/>
      <c r="T41" s="60"/>
      <c r="U41" s="87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124"/>
      <c r="AL41" s="104"/>
      <c r="AM41" s="104"/>
      <c r="AN41" s="104"/>
      <c r="AO41" s="104"/>
      <c r="AP41" s="104"/>
      <c r="AQ41" s="88"/>
      <c r="AR41" s="88"/>
      <c r="AS41" s="105"/>
      <c r="AT41" s="88"/>
      <c r="AU41" s="106"/>
      <c r="AV41" s="107"/>
      <c r="AW41" s="106"/>
      <c r="AX41" s="107"/>
      <c r="AY41" s="106"/>
      <c r="AZ41" s="107"/>
      <c r="BA41" s="106"/>
      <c r="BB41" s="107"/>
      <c r="BC41" s="108"/>
      <c r="BD41" s="109"/>
      <c r="BE41" s="110"/>
      <c r="BF41" s="111"/>
      <c r="BG41" s="111"/>
      <c r="BH41" s="124"/>
    </row>
    <row r="42" spans="1:60" s="36" customFormat="1" ht="23.25" customHeight="1" x14ac:dyDescent="0.3">
      <c r="A42" s="61">
        <v>38</v>
      </c>
      <c r="B42" s="66">
        <f t="shared" si="0"/>
        <v>43122</v>
      </c>
      <c r="C42" s="140"/>
      <c r="D42" s="126">
        <v>345</v>
      </c>
      <c r="E42" s="127">
        <f t="shared" si="1"/>
        <v>43122</v>
      </c>
      <c r="F42" s="128">
        <v>5117</v>
      </c>
      <c r="G42" s="128">
        <v>226</v>
      </c>
      <c r="H42" s="129">
        <v>4.5</v>
      </c>
      <c r="I42" s="130" t="s">
        <v>1363</v>
      </c>
      <c r="J42" s="131">
        <v>2</v>
      </c>
      <c r="K42" s="126">
        <v>505</v>
      </c>
      <c r="L42" s="140"/>
      <c r="M42" s="132">
        <v>40</v>
      </c>
      <c r="N42" s="133">
        <v>20</v>
      </c>
      <c r="O42" s="134"/>
      <c r="P42" s="135"/>
      <c r="Q42" s="136"/>
      <c r="R42" s="137"/>
      <c r="S42" s="138"/>
      <c r="T42" s="60"/>
      <c r="U42" s="87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124"/>
      <c r="AL42" s="104"/>
      <c r="AM42" s="104"/>
      <c r="AN42" s="104"/>
      <c r="AO42" s="104"/>
      <c r="AP42" s="104"/>
      <c r="AQ42" s="88"/>
      <c r="AR42" s="88"/>
      <c r="AS42" s="105"/>
      <c r="AT42" s="88"/>
      <c r="AU42" s="106"/>
      <c r="AV42" s="107"/>
      <c r="AW42" s="106"/>
      <c r="AX42" s="107"/>
      <c r="AY42" s="106"/>
      <c r="AZ42" s="107"/>
      <c r="BA42" s="106"/>
      <c r="BB42" s="107"/>
      <c r="BC42" s="108"/>
      <c r="BD42" s="109"/>
      <c r="BE42" s="110"/>
      <c r="BF42" s="111"/>
      <c r="BG42" s="111"/>
      <c r="BH42" s="124"/>
    </row>
    <row r="43" spans="1:60" s="36" customFormat="1" ht="23.25" customHeight="1" x14ac:dyDescent="0.3">
      <c r="A43" s="61">
        <v>39</v>
      </c>
      <c r="B43" s="66">
        <f t="shared" si="0"/>
        <v>43122</v>
      </c>
      <c r="C43" s="140"/>
      <c r="D43" s="126">
        <v>520</v>
      </c>
      <c r="E43" s="127">
        <f t="shared" si="1"/>
        <v>43122</v>
      </c>
      <c r="F43" s="128">
        <v>5119</v>
      </c>
      <c r="G43" s="128">
        <v>228</v>
      </c>
      <c r="H43" s="129">
        <v>4.5</v>
      </c>
      <c r="I43" s="130" t="s">
        <v>1359</v>
      </c>
      <c r="J43" s="131">
        <v>2</v>
      </c>
      <c r="K43" s="126">
        <v>640</v>
      </c>
      <c r="L43" s="140"/>
      <c r="M43" s="132">
        <v>40</v>
      </c>
      <c r="N43" s="133">
        <v>20</v>
      </c>
      <c r="O43" s="134"/>
      <c r="P43" s="135"/>
      <c r="Q43" s="136"/>
      <c r="R43" s="137"/>
      <c r="S43" s="138"/>
      <c r="T43" s="60"/>
      <c r="U43" s="87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124"/>
      <c r="AL43" s="104"/>
      <c r="AM43" s="104"/>
      <c r="AN43" s="104"/>
      <c r="AO43" s="104"/>
      <c r="AP43" s="104"/>
      <c r="AQ43" s="88"/>
      <c r="AR43" s="88"/>
      <c r="AS43" s="105"/>
      <c r="AT43" s="88"/>
      <c r="AU43" s="106"/>
      <c r="AV43" s="107"/>
      <c r="AW43" s="106"/>
      <c r="AX43" s="107"/>
      <c r="AY43" s="106"/>
      <c r="AZ43" s="107"/>
      <c r="BA43" s="106"/>
      <c r="BB43" s="107"/>
      <c r="BC43" s="108"/>
      <c r="BD43" s="109"/>
      <c r="BE43" s="110"/>
      <c r="BF43" s="111"/>
      <c r="BG43" s="111"/>
      <c r="BH43" s="124"/>
    </row>
    <row r="44" spans="1:60" s="36" customFormat="1" ht="23.25" customHeight="1" x14ac:dyDescent="0.3">
      <c r="A44" s="61">
        <v>40</v>
      </c>
      <c r="B44" s="66">
        <f t="shared" si="0"/>
        <v>43122</v>
      </c>
      <c r="C44" s="140"/>
      <c r="D44" s="126">
        <v>700</v>
      </c>
      <c r="E44" s="127">
        <f t="shared" si="1"/>
        <v>43122</v>
      </c>
      <c r="F44" s="128">
        <v>5115</v>
      </c>
      <c r="G44" s="128">
        <v>223</v>
      </c>
      <c r="H44" s="129">
        <v>4.5</v>
      </c>
      <c r="I44" s="130" t="s">
        <v>1359</v>
      </c>
      <c r="J44" s="131">
        <v>2</v>
      </c>
      <c r="K44" s="126">
        <v>820</v>
      </c>
      <c r="L44" s="140"/>
      <c r="M44" s="132">
        <v>45</v>
      </c>
      <c r="N44" s="133">
        <v>25</v>
      </c>
      <c r="O44" s="134"/>
      <c r="P44" s="135"/>
      <c r="Q44" s="136"/>
      <c r="R44" s="137"/>
      <c r="S44" s="138"/>
      <c r="T44" s="60"/>
      <c r="U44" s="87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124"/>
      <c r="AL44" s="104"/>
      <c r="AM44" s="104"/>
      <c r="AN44" s="104"/>
      <c r="AO44" s="104"/>
      <c r="AP44" s="104"/>
      <c r="AQ44" s="88"/>
      <c r="AR44" s="88"/>
      <c r="AS44" s="105"/>
      <c r="AT44" s="88"/>
      <c r="AU44" s="106"/>
      <c r="AV44" s="107"/>
      <c r="AW44" s="106"/>
      <c r="AX44" s="107"/>
      <c r="AY44" s="106"/>
      <c r="AZ44" s="107"/>
      <c r="BA44" s="106"/>
      <c r="BB44" s="107"/>
      <c r="BC44" s="108"/>
      <c r="BD44" s="109"/>
      <c r="BE44" s="110"/>
      <c r="BF44" s="111"/>
      <c r="BG44" s="111"/>
      <c r="BH44" s="124"/>
    </row>
    <row r="45" spans="1:60" s="36" customFormat="1" ht="23.25" customHeight="1" x14ac:dyDescent="0.3">
      <c r="A45" s="61">
        <v>41</v>
      </c>
      <c r="B45" s="66">
        <f t="shared" si="0"/>
        <v>43122</v>
      </c>
      <c r="C45" s="140"/>
      <c r="D45" s="126">
        <v>830</v>
      </c>
      <c r="E45" s="127">
        <f t="shared" si="1"/>
        <v>43122</v>
      </c>
      <c r="F45" s="128">
        <v>5116</v>
      </c>
      <c r="G45" s="128">
        <v>225</v>
      </c>
      <c r="H45" s="129">
        <v>4.5</v>
      </c>
      <c r="I45" s="130" t="s">
        <v>1359</v>
      </c>
      <c r="J45" s="131">
        <v>2</v>
      </c>
      <c r="K45" s="126">
        <v>950</v>
      </c>
      <c r="L45" s="140"/>
      <c r="M45" s="132">
        <v>45</v>
      </c>
      <c r="N45" s="133">
        <v>25</v>
      </c>
      <c r="O45" s="134"/>
      <c r="P45" s="135"/>
      <c r="Q45" s="136"/>
      <c r="R45" s="137"/>
      <c r="S45" s="138"/>
      <c r="T45" s="60"/>
      <c r="U45" s="87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124"/>
      <c r="AL45" s="104"/>
      <c r="AM45" s="104"/>
      <c r="AN45" s="104"/>
      <c r="AO45" s="104"/>
      <c r="AP45" s="104"/>
      <c r="AQ45" s="88"/>
      <c r="AR45" s="88"/>
      <c r="AS45" s="105"/>
      <c r="AT45" s="88"/>
      <c r="AU45" s="106"/>
      <c r="AV45" s="107"/>
      <c r="AW45" s="106"/>
      <c r="AX45" s="107"/>
      <c r="AY45" s="106"/>
      <c r="AZ45" s="107"/>
      <c r="BA45" s="106"/>
      <c r="BB45" s="107"/>
      <c r="BC45" s="108"/>
      <c r="BD45" s="109"/>
      <c r="BE45" s="110"/>
      <c r="BF45" s="111"/>
      <c r="BG45" s="111"/>
      <c r="BH45" s="124"/>
    </row>
    <row r="46" spans="1:60" s="36" customFormat="1" ht="23.25" customHeight="1" x14ac:dyDescent="0.3">
      <c r="A46" s="61">
        <v>42</v>
      </c>
      <c r="B46" s="66">
        <f t="shared" si="0"/>
        <v>43122</v>
      </c>
      <c r="C46" s="140"/>
      <c r="D46" s="126">
        <v>1010</v>
      </c>
      <c r="E46" s="127">
        <f t="shared" si="1"/>
        <v>43122</v>
      </c>
      <c r="F46" s="128">
        <v>5116</v>
      </c>
      <c r="G46" s="128">
        <v>224</v>
      </c>
      <c r="H46" s="129">
        <v>4.5</v>
      </c>
      <c r="I46" s="130" t="s">
        <v>1360</v>
      </c>
      <c r="J46" s="131">
        <v>4</v>
      </c>
      <c r="K46" s="126">
        <v>1135</v>
      </c>
      <c r="L46" s="140"/>
      <c r="M46" s="132">
        <v>30</v>
      </c>
      <c r="N46" s="133">
        <v>15</v>
      </c>
      <c r="O46" s="134"/>
      <c r="P46" s="135"/>
      <c r="Q46" s="136"/>
      <c r="R46" s="137"/>
      <c r="S46" s="138"/>
      <c r="T46" s="60"/>
      <c r="U46" s="87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88"/>
      <c r="AK46" s="124"/>
      <c r="AL46" s="104"/>
      <c r="AM46" s="104"/>
      <c r="AN46" s="104"/>
      <c r="AO46" s="104"/>
      <c r="AP46" s="104"/>
      <c r="AQ46" s="88"/>
      <c r="AR46" s="88"/>
      <c r="AS46" s="105"/>
      <c r="AT46" s="88"/>
      <c r="AU46" s="106"/>
      <c r="AV46" s="107"/>
      <c r="AW46" s="106"/>
      <c r="AX46" s="107"/>
      <c r="AY46" s="106"/>
      <c r="AZ46" s="107"/>
      <c r="BA46" s="106"/>
      <c r="BB46" s="107"/>
      <c r="BC46" s="108"/>
      <c r="BD46" s="109"/>
      <c r="BE46" s="110"/>
      <c r="BF46" s="111"/>
      <c r="BG46" s="111"/>
      <c r="BH46" s="124"/>
    </row>
    <row r="47" spans="1:60" s="36" customFormat="1" ht="23.25" customHeight="1" x14ac:dyDescent="0.3">
      <c r="A47" s="61">
        <v>43</v>
      </c>
      <c r="B47" s="66">
        <f t="shared" si="0"/>
        <v>43122</v>
      </c>
      <c r="C47" s="140"/>
      <c r="D47" s="126">
        <v>1145</v>
      </c>
      <c r="E47" s="127">
        <f t="shared" si="1"/>
        <v>43122</v>
      </c>
      <c r="F47" s="128">
        <v>5117</v>
      </c>
      <c r="G47" s="128">
        <v>224</v>
      </c>
      <c r="H47" s="129">
        <v>4.5</v>
      </c>
      <c r="I47" s="130" t="s">
        <v>1366</v>
      </c>
      <c r="J47" s="131">
        <v>4</v>
      </c>
      <c r="K47" s="126">
        <v>1300</v>
      </c>
      <c r="L47" s="140"/>
      <c r="M47" s="132">
        <v>20</v>
      </c>
      <c r="N47" s="133">
        <v>15</v>
      </c>
      <c r="O47" s="134"/>
      <c r="P47" s="135"/>
      <c r="Q47" s="136"/>
      <c r="R47" s="137"/>
      <c r="S47" s="138"/>
      <c r="T47" s="60"/>
      <c r="U47" s="87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124"/>
      <c r="AL47" s="104"/>
      <c r="AM47" s="104"/>
      <c r="AN47" s="104"/>
      <c r="AO47" s="104"/>
      <c r="AP47" s="104"/>
      <c r="AQ47" s="88"/>
      <c r="AR47" s="88"/>
      <c r="AS47" s="105"/>
      <c r="AT47" s="88"/>
      <c r="AU47" s="106"/>
      <c r="AV47" s="107"/>
      <c r="AW47" s="106"/>
      <c r="AX47" s="107"/>
      <c r="AY47" s="106"/>
      <c r="AZ47" s="107"/>
      <c r="BA47" s="106"/>
      <c r="BB47" s="107"/>
      <c r="BC47" s="108"/>
      <c r="BD47" s="109"/>
      <c r="BE47" s="110"/>
      <c r="BF47" s="111"/>
      <c r="BG47" s="111"/>
      <c r="BH47" s="124"/>
    </row>
    <row r="48" spans="1:60" s="36" customFormat="1" ht="23.25" customHeight="1" x14ac:dyDescent="0.3">
      <c r="A48" s="61">
        <v>44</v>
      </c>
      <c r="B48" s="66">
        <f t="shared" si="0"/>
        <v>43122</v>
      </c>
      <c r="C48" s="140"/>
      <c r="D48" s="126">
        <v>1310</v>
      </c>
      <c r="E48" s="127">
        <f t="shared" si="1"/>
        <v>43122</v>
      </c>
      <c r="F48" s="128">
        <v>5114</v>
      </c>
      <c r="G48" s="128">
        <v>222</v>
      </c>
      <c r="H48" s="129">
        <v>4.5</v>
      </c>
      <c r="I48" s="130" t="s">
        <v>1366</v>
      </c>
      <c r="J48" s="131">
        <v>4</v>
      </c>
      <c r="K48" s="126">
        <v>1410</v>
      </c>
      <c r="L48" s="140"/>
      <c r="M48" s="132">
        <v>20</v>
      </c>
      <c r="N48" s="133">
        <v>10</v>
      </c>
      <c r="O48" s="134"/>
      <c r="P48" s="135"/>
      <c r="Q48" s="136"/>
      <c r="R48" s="137"/>
      <c r="S48" s="138"/>
      <c r="T48" s="60"/>
      <c r="U48" s="87"/>
      <c r="V48" s="88"/>
      <c r="W48" s="88"/>
      <c r="X48" s="88"/>
      <c r="Y48" s="88"/>
      <c r="Z48" s="88"/>
      <c r="AA48" s="88"/>
      <c r="AB48" s="88"/>
      <c r="AC48" s="88"/>
      <c r="AD48" s="88"/>
      <c r="AE48" s="88"/>
      <c r="AF48" s="88"/>
      <c r="AG48" s="88"/>
      <c r="AH48" s="88"/>
      <c r="AI48" s="88"/>
      <c r="AJ48" s="88"/>
      <c r="AK48" s="124"/>
      <c r="AL48" s="104"/>
      <c r="AM48" s="104"/>
      <c r="AN48" s="104"/>
      <c r="AO48" s="104"/>
      <c r="AP48" s="104"/>
      <c r="AQ48" s="88"/>
      <c r="AR48" s="88"/>
      <c r="AS48" s="105"/>
      <c r="AT48" s="88"/>
      <c r="AU48" s="106"/>
      <c r="AV48" s="107"/>
      <c r="AW48" s="106"/>
      <c r="AX48" s="107"/>
      <c r="AY48" s="106"/>
      <c r="AZ48" s="107"/>
      <c r="BA48" s="106"/>
      <c r="BB48" s="107"/>
      <c r="BC48" s="108"/>
      <c r="BD48" s="109"/>
      <c r="BE48" s="110"/>
      <c r="BF48" s="111"/>
      <c r="BG48" s="111"/>
      <c r="BH48" s="124"/>
    </row>
    <row r="49" spans="1:60" s="36" customFormat="1" ht="23.25" customHeight="1" x14ac:dyDescent="0.3">
      <c r="A49" s="61">
        <v>45</v>
      </c>
      <c r="B49" s="66">
        <f t="shared" si="0"/>
        <v>43122</v>
      </c>
      <c r="C49" s="140"/>
      <c r="D49" s="126">
        <v>1515</v>
      </c>
      <c r="E49" s="127">
        <f t="shared" si="1"/>
        <v>43122</v>
      </c>
      <c r="F49" s="128">
        <v>5117</v>
      </c>
      <c r="G49" s="128">
        <v>225</v>
      </c>
      <c r="H49" s="129">
        <v>4.5</v>
      </c>
      <c r="I49" s="130" t="s">
        <v>1366</v>
      </c>
      <c r="J49" s="131">
        <v>4</v>
      </c>
      <c r="K49" s="126">
        <v>1520</v>
      </c>
      <c r="L49" s="140"/>
      <c r="M49" s="132">
        <v>25</v>
      </c>
      <c r="N49" s="133">
        <v>15</v>
      </c>
      <c r="O49" s="134"/>
      <c r="P49" s="135"/>
      <c r="Q49" s="136"/>
      <c r="R49" s="137"/>
      <c r="S49" s="138"/>
      <c r="T49" s="60"/>
      <c r="U49" s="87"/>
      <c r="V49" s="88"/>
      <c r="W49" s="88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88"/>
      <c r="AK49" s="124"/>
      <c r="AL49" s="104"/>
      <c r="AM49" s="104"/>
      <c r="AN49" s="104"/>
      <c r="AO49" s="104"/>
      <c r="AP49" s="104"/>
      <c r="AQ49" s="88"/>
      <c r="AR49" s="88"/>
      <c r="AS49" s="105"/>
      <c r="AT49" s="88"/>
      <c r="AU49" s="106"/>
      <c r="AV49" s="107"/>
      <c r="AW49" s="106"/>
      <c r="AX49" s="107"/>
      <c r="AY49" s="106"/>
      <c r="AZ49" s="107"/>
      <c r="BA49" s="106"/>
      <c r="BB49" s="107"/>
      <c r="BC49" s="108"/>
      <c r="BD49" s="109"/>
      <c r="BE49" s="110"/>
      <c r="BF49" s="111"/>
      <c r="BG49" s="111"/>
      <c r="BH49" s="124"/>
    </row>
    <row r="50" spans="1:60" s="36" customFormat="1" ht="23.25" customHeight="1" x14ac:dyDescent="0.3">
      <c r="A50" s="61">
        <v>46</v>
      </c>
      <c r="B50" s="66">
        <f t="shared" si="0"/>
        <v>43123</v>
      </c>
      <c r="C50" s="140"/>
      <c r="D50" s="126">
        <v>1415</v>
      </c>
      <c r="E50" s="127">
        <f t="shared" si="1"/>
        <v>43123</v>
      </c>
      <c r="F50" s="128">
        <v>5119</v>
      </c>
      <c r="G50" s="128">
        <v>229</v>
      </c>
      <c r="H50" s="129">
        <v>4.5</v>
      </c>
      <c r="I50" s="130" t="s">
        <v>1366</v>
      </c>
      <c r="J50" s="131">
        <v>3</v>
      </c>
      <c r="K50" s="126">
        <v>1530</v>
      </c>
      <c r="L50" s="140"/>
      <c r="M50" s="132">
        <v>45</v>
      </c>
      <c r="N50" s="133">
        <v>25</v>
      </c>
      <c r="O50" s="134"/>
      <c r="P50" s="135"/>
      <c r="Q50" s="136"/>
      <c r="R50" s="137"/>
      <c r="S50" s="138"/>
      <c r="T50" s="60"/>
      <c r="U50" s="87"/>
      <c r="V50" s="88"/>
      <c r="W50" s="88"/>
      <c r="X50" s="88"/>
      <c r="Y50" s="88"/>
      <c r="Z50" s="88"/>
      <c r="AA50" s="88"/>
      <c r="AB50" s="88"/>
      <c r="AC50" s="88"/>
      <c r="AD50" s="88"/>
      <c r="AE50" s="88"/>
      <c r="AF50" s="88"/>
      <c r="AG50" s="88"/>
      <c r="AH50" s="88"/>
      <c r="AI50" s="88"/>
      <c r="AJ50" s="88"/>
      <c r="AK50" s="124"/>
      <c r="AL50" s="104"/>
      <c r="AM50" s="104"/>
      <c r="AN50" s="104"/>
      <c r="AO50" s="104"/>
      <c r="AP50" s="104"/>
      <c r="AQ50" s="88"/>
      <c r="AR50" s="88"/>
      <c r="AS50" s="105"/>
      <c r="AT50" s="88"/>
      <c r="AU50" s="106"/>
      <c r="AV50" s="107"/>
      <c r="AW50" s="106"/>
      <c r="AX50" s="107"/>
      <c r="AY50" s="106"/>
      <c r="AZ50" s="107"/>
      <c r="BA50" s="106"/>
      <c r="BB50" s="107"/>
      <c r="BC50" s="108"/>
      <c r="BD50" s="109"/>
      <c r="BE50" s="110"/>
      <c r="BF50" s="111"/>
      <c r="BG50" s="111"/>
      <c r="BH50" s="124"/>
    </row>
    <row r="51" spans="1:60" s="36" customFormat="1" ht="23.25" customHeight="1" x14ac:dyDescent="0.3">
      <c r="A51" s="61">
        <v>47</v>
      </c>
      <c r="B51" s="66">
        <f t="shared" si="0"/>
        <v>43123</v>
      </c>
      <c r="C51" s="140"/>
      <c r="D51" s="126">
        <v>1540</v>
      </c>
      <c r="E51" s="127">
        <f t="shared" si="1"/>
        <v>43123</v>
      </c>
      <c r="F51" s="128">
        <v>5118</v>
      </c>
      <c r="G51" s="128">
        <v>228</v>
      </c>
      <c r="H51" s="129">
        <v>4.5</v>
      </c>
      <c r="I51" s="130" t="s">
        <v>1366</v>
      </c>
      <c r="J51" s="131">
        <v>3</v>
      </c>
      <c r="K51" s="126">
        <v>1655</v>
      </c>
      <c r="L51" s="140"/>
      <c r="M51" s="132">
        <v>35</v>
      </c>
      <c r="N51" s="133">
        <v>20</v>
      </c>
      <c r="O51" s="134"/>
      <c r="P51" s="135"/>
      <c r="Q51" s="136"/>
      <c r="R51" s="137"/>
      <c r="S51" s="138"/>
      <c r="T51" s="60"/>
      <c r="U51" s="87"/>
      <c r="V51" s="88"/>
      <c r="W51" s="88"/>
      <c r="X51" s="88"/>
      <c r="Y51" s="88"/>
      <c r="Z51" s="88"/>
      <c r="AA51" s="88"/>
      <c r="AB51" s="88"/>
      <c r="AC51" s="88"/>
      <c r="AD51" s="88"/>
      <c r="AE51" s="88"/>
      <c r="AF51" s="88"/>
      <c r="AG51" s="88"/>
      <c r="AH51" s="88"/>
      <c r="AI51" s="88"/>
      <c r="AJ51" s="88"/>
      <c r="AK51" s="124"/>
      <c r="AL51" s="104"/>
      <c r="AM51" s="104"/>
      <c r="AN51" s="104"/>
      <c r="AO51" s="104"/>
      <c r="AP51" s="104"/>
      <c r="AQ51" s="88"/>
      <c r="AR51" s="88"/>
      <c r="AS51" s="105"/>
      <c r="AT51" s="88"/>
      <c r="AU51" s="106"/>
      <c r="AV51" s="107"/>
      <c r="AW51" s="106"/>
      <c r="AX51" s="107"/>
      <c r="AY51" s="106"/>
      <c r="AZ51" s="107"/>
      <c r="BA51" s="106"/>
      <c r="BB51" s="107"/>
      <c r="BC51" s="108"/>
      <c r="BD51" s="109"/>
      <c r="BE51" s="110"/>
      <c r="BF51" s="111"/>
      <c r="BG51" s="111"/>
      <c r="BH51" s="124"/>
    </row>
    <row r="52" spans="1:60" s="36" customFormat="1" ht="23.25" customHeight="1" x14ac:dyDescent="0.3">
      <c r="A52" s="61">
        <v>48</v>
      </c>
      <c r="B52" s="66">
        <f t="shared" si="0"/>
        <v>43123</v>
      </c>
      <c r="C52" s="140"/>
      <c r="D52" s="126">
        <v>1710</v>
      </c>
      <c r="E52" s="127">
        <f t="shared" si="1"/>
        <v>43123</v>
      </c>
      <c r="F52" s="128">
        <v>5119</v>
      </c>
      <c r="G52" s="128">
        <v>229</v>
      </c>
      <c r="H52" s="129">
        <v>4.5</v>
      </c>
      <c r="I52" s="130" t="s">
        <v>1366</v>
      </c>
      <c r="J52" s="131">
        <v>3</v>
      </c>
      <c r="K52" s="126">
        <v>1830</v>
      </c>
      <c r="L52" s="140"/>
      <c r="M52" s="132">
        <v>25</v>
      </c>
      <c r="N52" s="133">
        <v>10</v>
      </c>
      <c r="O52" s="134"/>
      <c r="P52" s="135"/>
      <c r="Q52" s="136"/>
      <c r="R52" s="137"/>
      <c r="S52" s="138"/>
      <c r="T52" s="60"/>
      <c r="U52" s="87"/>
      <c r="V52" s="88"/>
      <c r="W52" s="88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88"/>
      <c r="AI52" s="88"/>
      <c r="AJ52" s="88"/>
      <c r="AK52" s="124"/>
      <c r="AL52" s="104"/>
      <c r="AM52" s="104"/>
      <c r="AN52" s="104"/>
      <c r="AO52" s="104"/>
      <c r="AP52" s="104"/>
      <c r="AQ52" s="88"/>
      <c r="AR52" s="88"/>
      <c r="AS52" s="105"/>
      <c r="AT52" s="88"/>
      <c r="AU52" s="106"/>
      <c r="AV52" s="107"/>
      <c r="AW52" s="106"/>
      <c r="AX52" s="107"/>
      <c r="AY52" s="106"/>
      <c r="AZ52" s="107"/>
      <c r="BA52" s="106"/>
      <c r="BB52" s="107"/>
      <c r="BC52" s="108"/>
      <c r="BD52" s="109"/>
      <c r="BE52" s="110"/>
      <c r="BF52" s="111"/>
      <c r="BG52" s="111"/>
      <c r="BH52" s="124"/>
    </row>
    <row r="53" spans="1:60" s="36" customFormat="1" ht="23.25" customHeight="1" x14ac:dyDescent="0.3">
      <c r="A53" s="61">
        <v>49</v>
      </c>
      <c r="B53" s="66">
        <f t="shared" si="0"/>
        <v>43123</v>
      </c>
      <c r="C53" s="140"/>
      <c r="D53" s="126">
        <v>1840</v>
      </c>
      <c r="E53" s="127">
        <f t="shared" si="1"/>
        <v>43123</v>
      </c>
      <c r="F53" s="128">
        <v>5117</v>
      </c>
      <c r="G53" s="128">
        <v>226</v>
      </c>
      <c r="H53" s="129">
        <v>4.5</v>
      </c>
      <c r="I53" s="130" t="s">
        <v>1366</v>
      </c>
      <c r="J53" s="131">
        <v>3</v>
      </c>
      <c r="K53" s="126">
        <v>1850</v>
      </c>
      <c r="L53" s="140"/>
      <c r="M53" s="132">
        <v>25</v>
      </c>
      <c r="N53" s="133">
        <v>10</v>
      </c>
      <c r="O53" s="134"/>
      <c r="P53" s="135"/>
      <c r="Q53" s="136"/>
      <c r="R53" s="137"/>
      <c r="S53" s="138"/>
      <c r="T53" s="60"/>
      <c r="U53" s="87"/>
      <c r="V53" s="88"/>
      <c r="W53" s="88"/>
      <c r="X53" s="88"/>
      <c r="Y53" s="88"/>
      <c r="Z53" s="88"/>
      <c r="AA53" s="88"/>
      <c r="AB53" s="88"/>
      <c r="AC53" s="88"/>
      <c r="AD53" s="88"/>
      <c r="AE53" s="88"/>
      <c r="AF53" s="88"/>
      <c r="AG53" s="88"/>
      <c r="AH53" s="88"/>
      <c r="AI53" s="88"/>
      <c r="AJ53" s="88"/>
      <c r="AK53" s="124"/>
      <c r="AL53" s="104"/>
      <c r="AM53" s="104"/>
      <c r="AN53" s="104"/>
      <c r="AO53" s="104"/>
      <c r="AP53" s="104"/>
      <c r="AQ53" s="88"/>
      <c r="AR53" s="88"/>
      <c r="AS53" s="105"/>
      <c r="AT53" s="88"/>
      <c r="AU53" s="106"/>
      <c r="AV53" s="107"/>
      <c r="AW53" s="106"/>
      <c r="AX53" s="107"/>
      <c r="AY53" s="106"/>
      <c r="AZ53" s="107"/>
      <c r="BA53" s="106"/>
      <c r="BB53" s="107"/>
      <c r="BC53" s="108"/>
      <c r="BD53" s="109"/>
      <c r="BE53" s="110"/>
      <c r="BF53" s="111"/>
      <c r="BG53" s="111"/>
      <c r="BH53" s="124"/>
    </row>
    <row r="54" spans="1:60" s="36" customFormat="1" ht="23.25" customHeight="1" x14ac:dyDescent="0.3">
      <c r="A54" s="61">
        <v>50</v>
      </c>
      <c r="B54" s="66">
        <f t="shared" si="0"/>
        <v>43123</v>
      </c>
      <c r="C54" s="140"/>
      <c r="D54" s="126">
        <v>2000</v>
      </c>
      <c r="E54" s="127">
        <f t="shared" si="1"/>
        <v>43123</v>
      </c>
      <c r="F54" s="128">
        <v>5119</v>
      </c>
      <c r="G54" s="128">
        <v>222</v>
      </c>
      <c r="H54" s="129">
        <v>4.5</v>
      </c>
      <c r="I54" s="130" t="s">
        <v>1366</v>
      </c>
      <c r="J54" s="131">
        <v>3</v>
      </c>
      <c r="K54" s="126">
        <v>2115</v>
      </c>
      <c r="L54" s="140"/>
      <c r="M54" s="132">
        <v>35</v>
      </c>
      <c r="N54" s="133">
        <v>20</v>
      </c>
      <c r="O54" s="134"/>
      <c r="P54" s="135"/>
      <c r="Q54" s="136"/>
      <c r="R54" s="137"/>
      <c r="S54" s="138"/>
      <c r="T54" s="60"/>
      <c r="U54" s="87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  <c r="AG54" s="88"/>
      <c r="AH54" s="88"/>
      <c r="AI54" s="88"/>
      <c r="AJ54" s="88"/>
      <c r="AK54" s="124"/>
      <c r="AL54" s="104"/>
      <c r="AM54" s="104"/>
      <c r="AN54" s="104"/>
      <c r="AO54" s="104"/>
      <c r="AP54" s="104"/>
      <c r="AQ54" s="88"/>
      <c r="AR54" s="88"/>
      <c r="AS54" s="105"/>
      <c r="AT54" s="88"/>
      <c r="AU54" s="106"/>
      <c r="AV54" s="107"/>
      <c r="AW54" s="106"/>
      <c r="AX54" s="107"/>
      <c r="AY54" s="106"/>
      <c r="AZ54" s="107"/>
      <c r="BA54" s="106"/>
      <c r="BB54" s="107"/>
      <c r="BC54" s="108"/>
      <c r="BD54" s="109"/>
      <c r="BE54" s="110"/>
      <c r="BF54" s="111"/>
      <c r="BG54" s="111"/>
      <c r="BH54" s="124"/>
    </row>
    <row r="55" spans="1:60" s="36" customFormat="1" ht="23.25" customHeight="1" x14ac:dyDescent="0.3">
      <c r="A55" s="61">
        <v>51</v>
      </c>
      <c r="B55" s="66">
        <f t="shared" si="0"/>
        <v>43123</v>
      </c>
      <c r="C55" s="140"/>
      <c r="D55" s="126">
        <v>2125</v>
      </c>
      <c r="E55" s="127">
        <f t="shared" si="1"/>
        <v>43123</v>
      </c>
      <c r="F55" s="128">
        <v>5118</v>
      </c>
      <c r="G55" s="128">
        <v>230</v>
      </c>
      <c r="H55" s="129">
        <v>4.5</v>
      </c>
      <c r="I55" s="130" t="s">
        <v>1366</v>
      </c>
      <c r="J55" s="131">
        <v>3</v>
      </c>
      <c r="K55" s="126">
        <v>2240</v>
      </c>
      <c r="L55" s="140"/>
      <c r="M55" s="132">
        <v>35</v>
      </c>
      <c r="N55" s="133">
        <v>20</v>
      </c>
      <c r="O55" s="134"/>
      <c r="P55" s="135"/>
      <c r="Q55" s="136"/>
      <c r="R55" s="137"/>
      <c r="S55" s="138"/>
      <c r="T55" s="60"/>
      <c r="U55" s="87"/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88"/>
      <c r="AK55" s="124"/>
      <c r="AL55" s="104"/>
      <c r="AM55" s="104"/>
      <c r="AN55" s="104"/>
      <c r="AO55" s="104"/>
      <c r="AP55" s="104"/>
      <c r="AQ55" s="88"/>
      <c r="AR55" s="88"/>
      <c r="AS55" s="105"/>
      <c r="AT55" s="88"/>
      <c r="AU55" s="106"/>
      <c r="AV55" s="107"/>
      <c r="AW55" s="106"/>
      <c r="AX55" s="107"/>
      <c r="AY55" s="106"/>
      <c r="AZ55" s="107"/>
      <c r="BA55" s="106"/>
      <c r="BB55" s="107"/>
      <c r="BC55" s="108"/>
      <c r="BD55" s="109"/>
      <c r="BE55" s="110"/>
      <c r="BF55" s="111"/>
      <c r="BG55" s="111"/>
      <c r="BH55" s="124"/>
    </row>
    <row r="56" spans="1:60" s="36" customFormat="1" ht="23.25" customHeight="1" x14ac:dyDescent="0.3">
      <c r="A56" s="61">
        <v>52</v>
      </c>
      <c r="B56" s="66">
        <f t="shared" si="0"/>
        <v>43123</v>
      </c>
      <c r="C56" s="140"/>
      <c r="D56" s="126">
        <v>2255</v>
      </c>
      <c r="E56" s="127">
        <f t="shared" si="1"/>
        <v>43123</v>
      </c>
      <c r="F56" s="128">
        <v>5117</v>
      </c>
      <c r="G56" s="128">
        <v>230</v>
      </c>
      <c r="H56" s="129">
        <v>4.5</v>
      </c>
      <c r="I56" s="130" t="s">
        <v>1366</v>
      </c>
      <c r="J56" s="131">
        <v>3</v>
      </c>
      <c r="K56" s="126">
        <v>10</v>
      </c>
      <c r="L56" s="140"/>
      <c r="M56" s="132">
        <v>35</v>
      </c>
      <c r="N56" s="133">
        <v>20</v>
      </c>
      <c r="O56" s="134"/>
      <c r="P56" s="135"/>
      <c r="Q56" s="136"/>
      <c r="R56" s="137"/>
      <c r="S56" s="138"/>
      <c r="T56" s="60"/>
      <c r="U56" s="87"/>
      <c r="V56" s="88"/>
      <c r="W56" s="88"/>
      <c r="X56" s="88"/>
      <c r="Y56" s="88"/>
      <c r="Z56" s="88"/>
      <c r="AA56" s="88"/>
      <c r="AB56" s="88"/>
      <c r="AC56" s="88"/>
      <c r="AD56" s="88"/>
      <c r="AE56" s="88"/>
      <c r="AF56" s="88"/>
      <c r="AG56" s="88"/>
      <c r="AH56" s="88"/>
      <c r="AI56" s="88"/>
      <c r="AJ56" s="88"/>
      <c r="AK56" s="124"/>
      <c r="AL56" s="104"/>
      <c r="AM56" s="104"/>
      <c r="AN56" s="104"/>
      <c r="AO56" s="104"/>
      <c r="AP56" s="104"/>
      <c r="AQ56" s="88"/>
      <c r="AR56" s="88"/>
      <c r="AS56" s="105"/>
      <c r="AT56" s="88"/>
      <c r="AU56" s="106"/>
      <c r="AV56" s="107"/>
      <c r="AW56" s="106"/>
      <c r="AX56" s="107"/>
      <c r="AY56" s="106"/>
      <c r="AZ56" s="107"/>
      <c r="BA56" s="106"/>
      <c r="BB56" s="107"/>
      <c r="BC56" s="108"/>
      <c r="BD56" s="109"/>
      <c r="BE56" s="110"/>
      <c r="BF56" s="111"/>
      <c r="BG56" s="111"/>
      <c r="BH56" s="124"/>
    </row>
    <row r="57" spans="1:60" s="36" customFormat="1" ht="23.25" customHeight="1" x14ac:dyDescent="0.3">
      <c r="A57" s="61">
        <v>53</v>
      </c>
      <c r="B57" s="66">
        <f t="shared" si="0"/>
        <v>43124</v>
      </c>
      <c r="C57" s="140"/>
      <c r="D57" s="126">
        <v>25</v>
      </c>
      <c r="E57" s="127">
        <f t="shared" si="1"/>
        <v>43124</v>
      </c>
      <c r="F57" s="128">
        <v>5117</v>
      </c>
      <c r="G57" s="128">
        <v>230</v>
      </c>
      <c r="H57" s="129">
        <v>4.5</v>
      </c>
      <c r="I57" s="130" t="s">
        <v>1366</v>
      </c>
      <c r="J57" s="131">
        <v>3</v>
      </c>
      <c r="K57" s="126">
        <v>155</v>
      </c>
      <c r="L57" s="140"/>
      <c r="M57" s="132">
        <v>25</v>
      </c>
      <c r="N57" s="133">
        <v>10</v>
      </c>
      <c r="O57" s="134"/>
      <c r="P57" s="135"/>
      <c r="Q57" s="136"/>
      <c r="R57" s="137"/>
      <c r="S57" s="138"/>
      <c r="T57" s="60"/>
      <c r="U57" s="87"/>
      <c r="V57" s="88"/>
      <c r="W57" s="88"/>
      <c r="X57" s="88"/>
      <c r="Y57" s="88"/>
      <c r="Z57" s="88"/>
      <c r="AA57" s="88"/>
      <c r="AB57" s="88"/>
      <c r="AC57" s="88"/>
      <c r="AD57" s="88"/>
      <c r="AE57" s="88"/>
      <c r="AF57" s="88"/>
      <c r="AG57" s="88"/>
      <c r="AH57" s="88"/>
      <c r="AI57" s="88"/>
      <c r="AJ57" s="88"/>
      <c r="AK57" s="124"/>
      <c r="AL57" s="104"/>
      <c r="AM57" s="104"/>
      <c r="AN57" s="104"/>
      <c r="AO57" s="104"/>
      <c r="AP57" s="104"/>
      <c r="AQ57" s="88"/>
      <c r="AR57" s="88"/>
      <c r="AS57" s="105"/>
      <c r="AT57" s="88"/>
      <c r="AU57" s="106"/>
      <c r="AV57" s="107"/>
      <c r="AW57" s="106"/>
      <c r="AX57" s="107"/>
      <c r="AY57" s="106"/>
      <c r="AZ57" s="107"/>
      <c r="BA57" s="106"/>
      <c r="BB57" s="107"/>
      <c r="BC57" s="108"/>
      <c r="BD57" s="109"/>
      <c r="BE57" s="110"/>
      <c r="BF57" s="111"/>
      <c r="BG57" s="111"/>
      <c r="BH57" s="124"/>
    </row>
    <row r="58" spans="1:60" s="36" customFormat="1" ht="23.25" customHeight="1" x14ac:dyDescent="0.3">
      <c r="A58" s="61">
        <v>54</v>
      </c>
      <c r="B58" s="66">
        <f t="shared" si="0"/>
        <v>43124</v>
      </c>
      <c r="C58" s="140"/>
      <c r="D58" s="126">
        <v>215</v>
      </c>
      <c r="E58" s="127">
        <f t="shared" si="1"/>
        <v>43124</v>
      </c>
      <c r="F58" s="128">
        <v>5117</v>
      </c>
      <c r="G58" s="128">
        <v>230</v>
      </c>
      <c r="H58" s="129">
        <v>4.5</v>
      </c>
      <c r="I58" s="130" t="s">
        <v>1366</v>
      </c>
      <c r="J58" s="131">
        <v>4</v>
      </c>
      <c r="K58" s="126">
        <v>335</v>
      </c>
      <c r="L58" s="140"/>
      <c r="M58" s="132">
        <v>25</v>
      </c>
      <c r="N58" s="133">
        <v>10</v>
      </c>
      <c r="O58" s="134"/>
      <c r="P58" s="135"/>
      <c r="Q58" s="136"/>
      <c r="R58" s="137"/>
      <c r="S58" s="138"/>
      <c r="T58" s="60"/>
      <c r="U58" s="87"/>
      <c r="V58" s="88"/>
      <c r="W58" s="88"/>
      <c r="X58" s="88"/>
      <c r="Y58" s="88"/>
      <c r="Z58" s="88"/>
      <c r="AA58" s="88"/>
      <c r="AB58" s="88"/>
      <c r="AC58" s="88"/>
      <c r="AD58" s="88"/>
      <c r="AE58" s="88"/>
      <c r="AF58" s="88"/>
      <c r="AG58" s="88"/>
      <c r="AH58" s="88"/>
      <c r="AI58" s="88"/>
      <c r="AJ58" s="88"/>
      <c r="AK58" s="124"/>
      <c r="AL58" s="104"/>
      <c r="AM58" s="104"/>
      <c r="AN58" s="104"/>
      <c r="AO58" s="104"/>
      <c r="AP58" s="104"/>
      <c r="AQ58" s="88"/>
      <c r="AR58" s="88"/>
      <c r="AS58" s="105"/>
      <c r="AT58" s="88"/>
      <c r="AU58" s="106"/>
      <c r="AV58" s="107"/>
      <c r="AW58" s="106"/>
      <c r="AX58" s="107"/>
      <c r="AY58" s="106"/>
      <c r="AZ58" s="107"/>
      <c r="BA58" s="106"/>
      <c r="BB58" s="107"/>
      <c r="BC58" s="108"/>
      <c r="BD58" s="109"/>
      <c r="BE58" s="110"/>
      <c r="BF58" s="111"/>
      <c r="BG58" s="111"/>
      <c r="BH58" s="124"/>
    </row>
    <row r="59" spans="1:60" s="36" customFormat="1" ht="23.25" customHeight="1" x14ac:dyDescent="0.3">
      <c r="A59" s="61">
        <v>55</v>
      </c>
      <c r="B59" s="66">
        <f t="shared" si="0"/>
        <v>43124</v>
      </c>
      <c r="C59" s="140"/>
      <c r="D59" s="126">
        <v>345</v>
      </c>
      <c r="E59" s="127">
        <f t="shared" si="1"/>
        <v>43124</v>
      </c>
      <c r="F59" s="128">
        <v>5120</v>
      </c>
      <c r="G59" s="128">
        <v>240</v>
      </c>
      <c r="H59" s="129">
        <v>4.5</v>
      </c>
      <c r="I59" s="130" t="s">
        <v>1366</v>
      </c>
      <c r="J59" s="131">
        <v>4</v>
      </c>
      <c r="K59" s="126">
        <v>505</v>
      </c>
      <c r="L59" s="140"/>
      <c r="M59" s="132">
        <v>25</v>
      </c>
      <c r="N59" s="133">
        <v>10</v>
      </c>
      <c r="O59" s="134"/>
      <c r="P59" s="135"/>
      <c r="Q59" s="136"/>
      <c r="R59" s="137"/>
      <c r="S59" s="138"/>
      <c r="T59" s="60"/>
      <c r="U59" s="87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124"/>
      <c r="AL59" s="104"/>
      <c r="AM59" s="104"/>
      <c r="AN59" s="104"/>
      <c r="AO59" s="104"/>
      <c r="AP59" s="104"/>
      <c r="AQ59" s="88"/>
      <c r="AR59" s="88"/>
      <c r="AS59" s="105"/>
      <c r="AT59" s="88"/>
      <c r="AU59" s="106"/>
      <c r="AV59" s="107"/>
      <c r="AW59" s="106"/>
      <c r="AX59" s="107"/>
      <c r="AY59" s="106"/>
      <c r="AZ59" s="107"/>
      <c r="BA59" s="106"/>
      <c r="BB59" s="107"/>
      <c r="BC59" s="108"/>
      <c r="BD59" s="109"/>
      <c r="BE59" s="110"/>
      <c r="BF59" s="111"/>
      <c r="BG59" s="111"/>
      <c r="BH59" s="124"/>
    </row>
    <row r="60" spans="1:60" s="36" customFormat="1" ht="23.25" customHeight="1" x14ac:dyDescent="0.3">
      <c r="A60" s="61">
        <v>56</v>
      </c>
      <c r="B60" s="66">
        <f t="shared" si="0"/>
        <v>43124</v>
      </c>
      <c r="C60" s="140"/>
      <c r="D60" s="126">
        <v>515</v>
      </c>
      <c r="E60" s="127">
        <f t="shared" si="1"/>
        <v>43124</v>
      </c>
      <c r="F60" s="128">
        <v>5124</v>
      </c>
      <c r="G60" s="128">
        <v>247</v>
      </c>
      <c r="H60" s="129">
        <v>4.5</v>
      </c>
      <c r="I60" s="130" t="s">
        <v>1366</v>
      </c>
      <c r="J60" s="131">
        <v>4</v>
      </c>
      <c r="K60" s="126">
        <v>630</v>
      </c>
      <c r="L60" s="140"/>
      <c r="M60" s="132">
        <v>35</v>
      </c>
      <c r="N60" s="133">
        <v>20</v>
      </c>
      <c r="O60" s="134"/>
      <c r="P60" s="135"/>
      <c r="Q60" s="136"/>
      <c r="R60" s="137"/>
      <c r="S60" s="138"/>
      <c r="T60" s="60"/>
      <c r="U60" s="87"/>
      <c r="V60" s="88"/>
      <c r="W60" s="88"/>
      <c r="X60" s="88"/>
      <c r="Y60" s="88"/>
      <c r="Z60" s="88"/>
      <c r="AA60" s="88"/>
      <c r="AB60" s="88"/>
      <c r="AC60" s="88"/>
      <c r="AD60" s="88"/>
      <c r="AE60" s="88"/>
      <c r="AF60" s="88"/>
      <c r="AG60" s="88"/>
      <c r="AH60" s="88"/>
      <c r="AI60" s="88"/>
      <c r="AJ60" s="88"/>
      <c r="AK60" s="124"/>
      <c r="AL60" s="104"/>
      <c r="AM60" s="104"/>
      <c r="AN60" s="104"/>
      <c r="AO60" s="104"/>
      <c r="AP60" s="104"/>
      <c r="AQ60" s="88"/>
      <c r="AR60" s="88"/>
      <c r="AS60" s="105"/>
      <c r="AT60" s="88"/>
      <c r="AU60" s="106"/>
      <c r="AV60" s="107"/>
      <c r="AW60" s="106"/>
      <c r="AX60" s="107"/>
      <c r="AY60" s="106"/>
      <c r="AZ60" s="107"/>
      <c r="BA60" s="106"/>
      <c r="BB60" s="107"/>
      <c r="BC60" s="108"/>
      <c r="BD60" s="109"/>
      <c r="BE60" s="110"/>
      <c r="BF60" s="111"/>
      <c r="BG60" s="111"/>
      <c r="BH60" s="124"/>
    </row>
    <row r="61" spans="1:60" s="36" customFormat="1" ht="23.25" customHeight="1" x14ac:dyDescent="0.3">
      <c r="A61" s="61">
        <v>57</v>
      </c>
      <c r="B61" s="66">
        <f t="shared" si="0"/>
        <v>43124</v>
      </c>
      <c r="C61" s="140"/>
      <c r="D61" s="126">
        <v>640</v>
      </c>
      <c r="E61" s="127">
        <f t="shared" si="1"/>
        <v>43124</v>
      </c>
      <c r="F61" s="128">
        <v>5128</v>
      </c>
      <c r="G61" s="128">
        <v>258</v>
      </c>
      <c r="H61" s="129">
        <v>4.5</v>
      </c>
      <c r="I61" s="130" t="s">
        <v>1366</v>
      </c>
      <c r="J61" s="131">
        <v>4</v>
      </c>
      <c r="K61" s="126">
        <v>800</v>
      </c>
      <c r="L61" s="140"/>
      <c r="M61" s="132">
        <v>35</v>
      </c>
      <c r="N61" s="133">
        <v>20</v>
      </c>
      <c r="O61" s="134"/>
      <c r="P61" s="135"/>
      <c r="Q61" s="136"/>
      <c r="R61" s="137"/>
      <c r="S61" s="138"/>
      <c r="T61" s="60"/>
      <c r="U61" s="87"/>
      <c r="V61" s="88"/>
      <c r="W61" s="88"/>
      <c r="X61" s="88"/>
      <c r="Y61" s="88"/>
      <c r="Z61" s="88"/>
      <c r="AA61" s="88"/>
      <c r="AB61" s="88"/>
      <c r="AC61" s="88"/>
      <c r="AD61" s="88"/>
      <c r="AE61" s="88"/>
      <c r="AF61" s="88"/>
      <c r="AG61" s="88"/>
      <c r="AH61" s="88"/>
      <c r="AI61" s="88"/>
      <c r="AJ61" s="88"/>
      <c r="AK61" s="124"/>
      <c r="AL61" s="104"/>
      <c r="AM61" s="104"/>
      <c r="AN61" s="104"/>
      <c r="AO61" s="104"/>
      <c r="AP61" s="104"/>
      <c r="AQ61" s="88"/>
      <c r="AR61" s="88"/>
      <c r="AS61" s="105"/>
      <c r="AT61" s="88"/>
      <c r="AU61" s="106"/>
      <c r="AV61" s="107"/>
      <c r="AW61" s="106"/>
      <c r="AX61" s="107"/>
      <c r="AY61" s="106"/>
      <c r="AZ61" s="107"/>
      <c r="BA61" s="106"/>
      <c r="BB61" s="107"/>
      <c r="BC61" s="108"/>
      <c r="BD61" s="109"/>
      <c r="BE61" s="110"/>
      <c r="BF61" s="111"/>
      <c r="BG61" s="111"/>
      <c r="BH61" s="124"/>
    </row>
    <row r="62" spans="1:60" s="36" customFormat="1" ht="23.25" customHeight="1" x14ac:dyDescent="0.3">
      <c r="A62" s="61">
        <v>58</v>
      </c>
      <c r="B62" s="66">
        <f t="shared" si="0"/>
        <v>43124</v>
      </c>
      <c r="C62" s="140"/>
      <c r="D62" s="126">
        <v>815</v>
      </c>
      <c r="E62" s="127">
        <f t="shared" si="1"/>
        <v>43124</v>
      </c>
      <c r="F62" s="128">
        <v>5131</v>
      </c>
      <c r="G62" s="128">
        <v>305</v>
      </c>
      <c r="H62" s="129">
        <v>4.5</v>
      </c>
      <c r="I62" s="130" t="s">
        <v>1366</v>
      </c>
      <c r="J62" s="131">
        <v>5</v>
      </c>
      <c r="K62" s="126">
        <v>940</v>
      </c>
      <c r="L62" s="140"/>
      <c r="M62" s="132">
        <v>35</v>
      </c>
      <c r="N62" s="133">
        <v>15</v>
      </c>
      <c r="O62" s="134"/>
      <c r="P62" s="135"/>
      <c r="Q62" s="136"/>
      <c r="R62" s="137"/>
      <c r="S62" s="138"/>
      <c r="T62" s="60"/>
      <c r="U62" s="87"/>
      <c r="V62" s="88"/>
      <c r="W62" s="88"/>
      <c r="X62" s="88"/>
      <c r="Y62" s="88"/>
      <c r="Z62" s="88"/>
      <c r="AA62" s="88"/>
      <c r="AB62" s="88"/>
      <c r="AC62" s="88"/>
      <c r="AD62" s="88"/>
      <c r="AE62" s="88"/>
      <c r="AF62" s="88"/>
      <c r="AG62" s="88"/>
      <c r="AH62" s="88"/>
      <c r="AI62" s="88"/>
      <c r="AJ62" s="88"/>
      <c r="AK62" s="124"/>
      <c r="AL62" s="104"/>
      <c r="AM62" s="104"/>
      <c r="AN62" s="104"/>
      <c r="AO62" s="104"/>
      <c r="AP62" s="104"/>
      <c r="AQ62" s="88"/>
      <c r="AR62" s="88"/>
      <c r="AS62" s="105"/>
      <c r="AT62" s="88"/>
      <c r="AU62" s="106"/>
      <c r="AV62" s="107"/>
      <c r="AW62" s="106"/>
      <c r="AX62" s="107"/>
      <c r="AY62" s="106"/>
      <c r="AZ62" s="107"/>
      <c r="BA62" s="106"/>
      <c r="BB62" s="107"/>
      <c r="BC62" s="108"/>
      <c r="BD62" s="109"/>
      <c r="BE62" s="110"/>
      <c r="BF62" s="111"/>
      <c r="BG62" s="111"/>
      <c r="BH62" s="124"/>
    </row>
    <row r="63" spans="1:60" s="36" customFormat="1" ht="23.25" customHeight="1" x14ac:dyDescent="0.3">
      <c r="A63" s="61">
        <v>59</v>
      </c>
      <c r="B63" s="66">
        <f t="shared" si="0"/>
        <v>43124</v>
      </c>
      <c r="C63" s="140"/>
      <c r="D63" s="126">
        <v>950</v>
      </c>
      <c r="E63" s="127">
        <f t="shared" si="1"/>
        <v>43124</v>
      </c>
      <c r="F63" s="128">
        <v>5129</v>
      </c>
      <c r="G63" s="128">
        <v>300</v>
      </c>
      <c r="H63" s="129">
        <v>4.5</v>
      </c>
      <c r="I63" s="130" t="s">
        <v>1366</v>
      </c>
      <c r="J63" s="131">
        <v>5</v>
      </c>
      <c r="K63" s="126">
        <v>1105</v>
      </c>
      <c r="L63" s="140"/>
      <c r="M63" s="132">
        <v>25</v>
      </c>
      <c r="N63" s="133">
        <v>15</v>
      </c>
      <c r="O63" s="134"/>
      <c r="P63" s="135"/>
      <c r="Q63" s="136"/>
      <c r="R63" s="137"/>
      <c r="S63" s="138"/>
      <c r="T63" s="60"/>
      <c r="U63" s="87"/>
      <c r="V63" s="88"/>
      <c r="W63" s="88"/>
      <c r="X63" s="88"/>
      <c r="Y63" s="88"/>
      <c r="Z63" s="88"/>
      <c r="AA63" s="88"/>
      <c r="AB63" s="88"/>
      <c r="AC63" s="88"/>
      <c r="AD63" s="88"/>
      <c r="AE63" s="88"/>
      <c r="AF63" s="88"/>
      <c r="AG63" s="88"/>
      <c r="AH63" s="88"/>
      <c r="AI63" s="88"/>
      <c r="AJ63" s="88"/>
      <c r="AK63" s="124"/>
      <c r="AL63" s="104"/>
      <c r="AM63" s="104"/>
      <c r="AN63" s="104"/>
      <c r="AO63" s="104"/>
      <c r="AP63" s="104"/>
      <c r="AQ63" s="88"/>
      <c r="AR63" s="88"/>
      <c r="AS63" s="105"/>
      <c r="AT63" s="88"/>
      <c r="AU63" s="106"/>
      <c r="AV63" s="107"/>
      <c r="AW63" s="106"/>
      <c r="AX63" s="107"/>
      <c r="AY63" s="106"/>
      <c r="AZ63" s="107"/>
      <c r="BA63" s="106"/>
      <c r="BB63" s="107"/>
      <c r="BC63" s="108"/>
      <c r="BD63" s="109"/>
      <c r="BE63" s="110"/>
      <c r="BF63" s="111"/>
      <c r="BG63" s="111"/>
      <c r="BH63" s="124"/>
    </row>
    <row r="64" spans="1:60" s="36" customFormat="1" ht="23.25" customHeight="1" x14ac:dyDescent="0.3">
      <c r="A64" s="61">
        <v>60</v>
      </c>
      <c r="B64" s="66">
        <f t="shared" si="0"/>
        <v>43124</v>
      </c>
      <c r="C64" s="140"/>
      <c r="D64" s="126">
        <v>1120</v>
      </c>
      <c r="E64" s="127">
        <f t="shared" si="1"/>
        <v>43124</v>
      </c>
      <c r="F64" s="128">
        <v>5127</v>
      </c>
      <c r="G64" s="128">
        <v>256</v>
      </c>
      <c r="H64" s="129">
        <v>4.5</v>
      </c>
      <c r="I64" s="130" t="s">
        <v>1366</v>
      </c>
      <c r="J64" s="131">
        <v>5</v>
      </c>
      <c r="K64" s="126">
        <v>1240</v>
      </c>
      <c r="L64" s="140"/>
      <c r="M64" s="132">
        <v>25</v>
      </c>
      <c r="N64" s="133">
        <v>15</v>
      </c>
      <c r="O64" s="134"/>
      <c r="P64" s="135"/>
      <c r="Q64" s="136"/>
      <c r="R64" s="137"/>
      <c r="S64" s="138"/>
      <c r="T64" s="60"/>
      <c r="U64" s="87"/>
      <c r="V64" s="88"/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  <c r="AJ64" s="88"/>
      <c r="AK64" s="124"/>
      <c r="AL64" s="104"/>
      <c r="AM64" s="104"/>
      <c r="AN64" s="104"/>
      <c r="AO64" s="104"/>
      <c r="AP64" s="104"/>
      <c r="AQ64" s="88"/>
      <c r="AR64" s="88"/>
      <c r="AS64" s="105"/>
      <c r="AT64" s="88"/>
      <c r="AU64" s="106"/>
      <c r="AV64" s="107"/>
      <c r="AW64" s="106"/>
      <c r="AX64" s="107"/>
      <c r="AY64" s="106"/>
      <c r="AZ64" s="107"/>
      <c r="BA64" s="106"/>
      <c r="BB64" s="107"/>
      <c r="BC64" s="108"/>
      <c r="BD64" s="109"/>
      <c r="BE64" s="110"/>
      <c r="BF64" s="111"/>
      <c r="BG64" s="111"/>
      <c r="BH64" s="124"/>
    </row>
    <row r="65" spans="1:60" s="36" customFormat="1" ht="23.25" customHeight="1" x14ac:dyDescent="0.3">
      <c r="A65" s="61">
        <v>61</v>
      </c>
      <c r="B65" s="66">
        <f t="shared" si="0"/>
        <v>43124</v>
      </c>
      <c r="C65" s="140"/>
      <c r="D65" s="126">
        <v>1250</v>
      </c>
      <c r="E65" s="127">
        <f t="shared" si="1"/>
        <v>43124</v>
      </c>
      <c r="F65" s="128">
        <v>5128</v>
      </c>
      <c r="G65" s="128">
        <v>256</v>
      </c>
      <c r="H65" s="129">
        <v>4.5</v>
      </c>
      <c r="I65" s="130" t="s">
        <v>1366</v>
      </c>
      <c r="J65" s="131">
        <v>5</v>
      </c>
      <c r="K65" s="126">
        <v>1430</v>
      </c>
      <c r="L65" s="140"/>
      <c r="M65" s="132"/>
      <c r="N65" s="133">
        <v>15</v>
      </c>
      <c r="O65" s="134"/>
      <c r="P65" s="135"/>
      <c r="Q65" s="136"/>
      <c r="R65" s="137"/>
      <c r="S65" s="138"/>
      <c r="T65" s="60"/>
      <c r="U65" s="87"/>
      <c r="V65" s="88"/>
      <c r="W65" s="88"/>
      <c r="X65" s="88"/>
      <c r="Y65" s="88"/>
      <c r="Z65" s="88"/>
      <c r="AA65" s="88"/>
      <c r="AB65" s="88"/>
      <c r="AC65" s="88"/>
      <c r="AD65" s="88"/>
      <c r="AE65" s="88"/>
      <c r="AF65" s="88"/>
      <c r="AG65" s="88"/>
      <c r="AH65" s="88"/>
      <c r="AI65" s="88"/>
      <c r="AJ65" s="88"/>
      <c r="AK65" s="124"/>
      <c r="AL65" s="104"/>
      <c r="AM65" s="104"/>
      <c r="AN65" s="104"/>
      <c r="AO65" s="104"/>
      <c r="AP65" s="104"/>
      <c r="AQ65" s="88"/>
      <c r="AR65" s="88"/>
      <c r="AS65" s="105"/>
      <c r="AT65" s="88"/>
      <c r="AU65" s="106"/>
      <c r="AV65" s="107"/>
      <c r="AW65" s="106"/>
      <c r="AX65" s="107"/>
      <c r="AY65" s="106"/>
      <c r="AZ65" s="107"/>
      <c r="BA65" s="106"/>
      <c r="BB65" s="107"/>
      <c r="BC65" s="108"/>
      <c r="BD65" s="109"/>
      <c r="BE65" s="110"/>
      <c r="BF65" s="111"/>
      <c r="BG65" s="111"/>
      <c r="BH65" s="124"/>
    </row>
    <row r="66" spans="1:60" s="36" customFormat="1" ht="23.25" customHeight="1" x14ac:dyDescent="0.3">
      <c r="A66" s="61">
        <v>62</v>
      </c>
      <c r="B66" s="66" t="str">
        <f t="shared" si="0"/>
        <v>vul eerst tijd zetten in</v>
      </c>
      <c r="C66" s="140"/>
      <c r="D66" s="126"/>
      <c r="E66" s="127" t="str">
        <f t="shared" si="1"/>
        <v>vul eerst tijd zetten in</v>
      </c>
      <c r="F66" s="128"/>
      <c r="G66" s="128"/>
      <c r="H66" s="129">
        <v>4.5</v>
      </c>
      <c r="I66" s="130"/>
      <c r="J66" s="131"/>
      <c r="K66" s="126"/>
      <c r="L66" s="140"/>
      <c r="M66" s="132"/>
      <c r="N66" s="133"/>
      <c r="O66" s="134"/>
      <c r="P66" s="135"/>
      <c r="Q66" s="136"/>
      <c r="R66" s="137"/>
      <c r="S66" s="138"/>
      <c r="T66" s="60"/>
      <c r="U66" s="87"/>
      <c r="V66" s="88"/>
      <c r="W66" s="88"/>
      <c r="X66" s="88"/>
      <c r="Y66" s="88"/>
      <c r="Z66" s="88"/>
      <c r="AA66" s="88"/>
      <c r="AB66" s="88"/>
      <c r="AC66" s="88"/>
      <c r="AD66" s="88"/>
      <c r="AE66" s="88"/>
      <c r="AF66" s="88"/>
      <c r="AG66" s="88"/>
      <c r="AH66" s="88"/>
      <c r="AI66" s="88"/>
      <c r="AJ66" s="88"/>
      <c r="AK66" s="124"/>
      <c r="AL66" s="104"/>
      <c r="AM66" s="104"/>
      <c r="AN66" s="104"/>
      <c r="AO66" s="104"/>
      <c r="AP66" s="104"/>
      <c r="AQ66" s="88"/>
      <c r="AR66" s="88"/>
      <c r="AS66" s="105"/>
      <c r="AT66" s="88"/>
      <c r="AU66" s="106"/>
      <c r="AV66" s="107"/>
      <c r="AW66" s="106"/>
      <c r="AX66" s="107"/>
      <c r="AY66" s="106"/>
      <c r="AZ66" s="107"/>
      <c r="BA66" s="106"/>
      <c r="BB66" s="107"/>
      <c r="BC66" s="108"/>
      <c r="BD66" s="109"/>
      <c r="BE66" s="110"/>
      <c r="BF66" s="111"/>
      <c r="BG66" s="111"/>
      <c r="BH66" s="124"/>
    </row>
    <row r="67" spans="1:60" s="36" customFormat="1" ht="23.25" customHeight="1" x14ac:dyDescent="0.3">
      <c r="A67" s="61">
        <v>63</v>
      </c>
      <c r="B67" s="66" t="str">
        <f t="shared" si="0"/>
        <v>check dan de datum</v>
      </c>
      <c r="C67" s="140"/>
      <c r="D67" s="126"/>
      <c r="E67" s="127" t="str">
        <f t="shared" si="1"/>
        <v>check dan de datum</v>
      </c>
      <c r="F67" s="128"/>
      <c r="G67" s="128"/>
      <c r="H67" s="129">
        <v>4.5</v>
      </c>
      <c r="I67" s="130"/>
      <c r="J67" s="131"/>
      <c r="K67" s="126"/>
      <c r="L67" s="140"/>
      <c r="M67" s="132"/>
      <c r="N67" s="133"/>
      <c r="O67" s="134">
        <v>300</v>
      </c>
      <c r="P67" s="135"/>
      <c r="Q67" s="136">
        <v>130</v>
      </c>
      <c r="R67" s="137">
        <v>40</v>
      </c>
      <c r="S67" s="138"/>
      <c r="T67" s="60"/>
      <c r="U67" s="87">
        <v>150</v>
      </c>
      <c r="V67" s="88">
        <v>60</v>
      </c>
      <c r="W67" s="88"/>
      <c r="X67" s="88"/>
      <c r="Y67" s="88"/>
      <c r="Z67" s="88"/>
      <c r="AA67" s="88"/>
      <c r="AB67" s="88"/>
      <c r="AC67" s="88"/>
      <c r="AD67" s="88"/>
      <c r="AE67" s="88"/>
      <c r="AF67" s="88"/>
      <c r="AG67" s="88"/>
      <c r="AH67" s="88"/>
      <c r="AI67" s="88"/>
      <c r="AJ67" s="88"/>
      <c r="AK67" s="124"/>
      <c r="AL67" s="104"/>
      <c r="AM67" s="104"/>
      <c r="AN67" s="104"/>
      <c r="AO67" s="104"/>
      <c r="AP67" s="104"/>
      <c r="AQ67" s="88"/>
      <c r="AR67" s="88"/>
      <c r="AS67" s="105"/>
      <c r="AT67" s="88"/>
      <c r="AU67" s="106"/>
      <c r="AV67" s="107"/>
      <c r="AW67" s="106"/>
      <c r="AX67" s="107"/>
      <c r="AY67" s="106"/>
      <c r="AZ67" s="107"/>
      <c r="BA67" s="106"/>
      <c r="BB67" s="107"/>
      <c r="BC67" s="108"/>
      <c r="BD67" s="109"/>
      <c r="BE67" s="110"/>
      <c r="BF67" s="111"/>
      <c r="BG67" s="111"/>
      <c r="BH67" s="124"/>
    </row>
    <row r="68" spans="1:60" s="36" customFormat="1" ht="23.25" customHeight="1" x14ac:dyDescent="0.3">
      <c r="A68" s="61">
        <v>64</v>
      </c>
      <c r="B68" s="66" t="str">
        <f t="shared" si="0"/>
        <v/>
      </c>
      <c r="C68" s="140"/>
      <c r="D68" s="126"/>
      <c r="E68" s="127" t="str">
        <f t="shared" si="1"/>
        <v/>
      </c>
      <c r="F68" s="128"/>
      <c r="G68" s="128"/>
      <c r="H68" s="129"/>
      <c r="I68" s="130"/>
      <c r="J68" s="131"/>
      <c r="K68" s="126"/>
      <c r="L68" s="140"/>
      <c r="M68" s="132"/>
      <c r="N68" s="133"/>
      <c r="O68" s="134"/>
      <c r="P68" s="135"/>
      <c r="Q68" s="136"/>
      <c r="R68" s="137"/>
      <c r="S68" s="138"/>
      <c r="T68" s="60"/>
      <c r="U68" s="87"/>
      <c r="V68" s="88"/>
      <c r="W68" s="88"/>
      <c r="X68" s="88"/>
      <c r="Y68" s="88"/>
      <c r="Z68" s="88"/>
      <c r="AA68" s="88"/>
      <c r="AB68" s="88"/>
      <c r="AC68" s="88"/>
      <c r="AD68" s="88"/>
      <c r="AE68" s="88"/>
      <c r="AF68" s="88"/>
      <c r="AG68" s="88"/>
      <c r="AH68" s="88"/>
      <c r="AI68" s="88"/>
      <c r="AJ68" s="88"/>
      <c r="AK68" s="124"/>
      <c r="AL68" s="104"/>
      <c r="AM68" s="104"/>
      <c r="AN68" s="104"/>
      <c r="AO68" s="104"/>
      <c r="AP68" s="104"/>
      <c r="AQ68" s="88"/>
      <c r="AR68" s="88"/>
      <c r="AS68" s="105"/>
      <c r="AT68" s="88"/>
      <c r="AU68" s="106"/>
      <c r="AV68" s="107"/>
      <c r="AW68" s="106"/>
      <c r="AX68" s="107"/>
      <c r="AY68" s="106"/>
      <c r="AZ68" s="107"/>
      <c r="BA68" s="106"/>
      <c r="BB68" s="107"/>
      <c r="BC68" s="108"/>
      <c r="BD68" s="109"/>
      <c r="BE68" s="110"/>
      <c r="BF68" s="111"/>
      <c r="BG68" s="111"/>
      <c r="BH68" s="124"/>
    </row>
    <row r="69" spans="1:60" s="36" customFormat="1" ht="23.25" customHeight="1" x14ac:dyDescent="0.3">
      <c r="A69" s="61">
        <v>65</v>
      </c>
      <c r="B69" s="66" t="str">
        <f t="shared" si="0"/>
        <v/>
      </c>
      <c r="C69" s="140"/>
      <c r="D69" s="126"/>
      <c r="E69" s="127" t="str">
        <f t="shared" si="1"/>
        <v/>
      </c>
      <c r="F69" s="128"/>
      <c r="G69" s="128"/>
      <c r="H69" s="129"/>
      <c r="I69" s="130"/>
      <c r="J69" s="131"/>
      <c r="K69" s="126"/>
      <c r="L69" s="140"/>
      <c r="M69" s="132"/>
      <c r="N69" s="133"/>
      <c r="O69" s="134"/>
      <c r="P69" s="135"/>
      <c r="Q69" s="136"/>
      <c r="R69" s="137"/>
      <c r="S69" s="138"/>
      <c r="T69" s="60"/>
      <c r="U69" s="87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88"/>
      <c r="AK69" s="124"/>
      <c r="AL69" s="104"/>
      <c r="AM69" s="104"/>
      <c r="AN69" s="104"/>
      <c r="AO69" s="104"/>
      <c r="AP69" s="104"/>
      <c r="AQ69" s="88"/>
      <c r="AR69" s="88"/>
      <c r="AS69" s="105"/>
      <c r="AT69" s="88"/>
      <c r="AU69" s="106"/>
      <c r="AV69" s="107"/>
      <c r="AW69" s="106"/>
      <c r="AX69" s="107"/>
      <c r="AY69" s="106"/>
      <c r="AZ69" s="107"/>
      <c r="BA69" s="106"/>
      <c r="BB69" s="107"/>
      <c r="BC69" s="108"/>
      <c r="BD69" s="109"/>
      <c r="BE69" s="110"/>
      <c r="BF69" s="111"/>
      <c r="BG69" s="111"/>
      <c r="BH69" s="124"/>
    </row>
    <row r="70" spans="1:60" s="36" customFormat="1" ht="23.25" customHeight="1" x14ac:dyDescent="0.3">
      <c r="A70" s="61">
        <v>66</v>
      </c>
      <c r="B70" s="66" t="str">
        <f t="shared" ref="B70:B133" si="2">IF(E69="vul eerst tijd zetten in","check dan de datum",IF(OR(E69="",E69="check dan de datum"),"",IF(ISBLANK(D70),"vul eerst tijd zetten in",IF(D70&lt;D69,E69+1,E69))))</f>
        <v/>
      </c>
      <c r="C70" s="140"/>
      <c r="D70" s="126"/>
      <c r="E70" s="127" t="str">
        <f t="shared" si="1"/>
        <v/>
      </c>
      <c r="F70" s="128"/>
      <c r="G70" s="128"/>
      <c r="H70" s="129"/>
      <c r="I70" s="130"/>
      <c r="J70" s="131"/>
      <c r="K70" s="126"/>
      <c r="L70" s="140"/>
      <c r="M70" s="132"/>
      <c r="N70" s="133"/>
      <c r="O70" s="134"/>
      <c r="P70" s="135"/>
      <c r="Q70" s="136"/>
      <c r="R70" s="137"/>
      <c r="S70" s="138"/>
      <c r="T70" s="60"/>
      <c r="U70" s="87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124"/>
      <c r="AL70" s="104"/>
      <c r="AM70" s="104"/>
      <c r="AN70" s="104"/>
      <c r="AO70" s="104"/>
      <c r="AP70" s="104"/>
      <c r="AQ70" s="88"/>
      <c r="AR70" s="88"/>
      <c r="AS70" s="105"/>
      <c r="AT70" s="88"/>
      <c r="AU70" s="106"/>
      <c r="AV70" s="107"/>
      <c r="AW70" s="106"/>
      <c r="AX70" s="107"/>
      <c r="AY70" s="106"/>
      <c r="AZ70" s="107"/>
      <c r="BA70" s="106"/>
      <c r="BB70" s="107"/>
      <c r="BC70" s="108"/>
      <c r="BD70" s="109"/>
      <c r="BE70" s="110"/>
      <c r="BF70" s="111"/>
      <c r="BG70" s="111"/>
      <c r="BH70" s="124"/>
    </row>
    <row r="71" spans="1:60" s="36" customFormat="1" ht="23.25" customHeight="1" x14ac:dyDescent="0.3">
      <c r="A71" s="61">
        <v>67</v>
      </c>
      <c r="B71" s="66" t="str">
        <f t="shared" si="2"/>
        <v/>
      </c>
      <c r="C71" s="140"/>
      <c r="D71" s="126"/>
      <c r="E71" s="127" t="str">
        <f t="shared" ref="E71:E134" si="3">B71</f>
        <v/>
      </c>
      <c r="F71" s="128"/>
      <c r="G71" s="128"/>
      <c r="H71" s="129"/>
      <c r="I71" s="130"/>
      <c r="J71" s="131"/>
      <c r="K71" s="126"/>
      <c r="L71" s="140"/>
      <c r="M71" s="132">
        <v>25</v>
      </c>
      <c r="N71" s="133"/>
      <c r="O71" s="134"/>
      <c r="P71" s="135"/>
      <c r="Q71" s="136"/>
      <c r="R71" s="137"/>
      <c r="S71" s="138"/>
      <c r="T71" s="60"/>
      <c r="U71" s="87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124"/>
      <c r="AL71" s="104"/>
      <c r="AM71" s="104"/>
      <c r="AN71" s="104"/>
      <c r="AO71" s="104"/>
      <c r="AP71" s="104"/>
      <c r="AQ71" s="88"/>
      <c r="AR71" s="88"/>
      <c r="AS71" s="105"/>
      <c r="AT71" s="88"/>
      <c r="AU71" s="106"/>
      <c r="AV71" s="107"/>
      <c r="AW71" s="106"/>
      <c r="AX71" s="107"/>
      <c r="AY71" s="106"/>
      <c r="AZ71" s="107"/>
      <c r="BA71" s="106"/>
      <c r="BB71" s="107"/>
      <c r="BC71" s="108"/>
      <c r="BD71" s="109"/>
      <c r="BE71" s="110"/>
      <c r="BF71" s="111"/>
      <c r="BG71" s="111"/>
      <c r="BH71" s="124"/>
    </row>
    <row r="72" spans="1:60" s="36" customFormat="1" ht="23.25" customHeight="1" x14ac:dyDescent="0.3">
      <c r="A72" s="61">
        <v>68</v>
      </c>
      <c r="B72" s="66" t="str">
        <f t="shared" si="2"/>
        <v/>
      </c>
      <c r="C72" s="140"/>
      <c r="D72" s="126"/>
      <c r="E72" s="127" t="str">
        <f t="shared" si="3"/>
        <v/>
      </c>
      <c r="F72" s="128"/>
      <c r="G72" s="128"/>
      <c r="H72" s="129"/>
      <c r="I72" s="130"/>
      <c r="J72" s="131"/>
      <c r="K72" s="126"/>
      <c r="L72" s="140"/>
      <c r="M72" s="132">
        <v>25</v>
      </c>
      <c r="N72" s="133"/>
      <c r="O72" s="134"/>
      <c r="P72" s="135"/>
      <c r="Q72" s="136"/>
      <c r="R72" s="137"/>
      <c r="S72" s="138"/>
      <c r="T72" s="60"/>
      <c r="U72" s="87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124"/>
      <c r="AL72" s="104"/>
      <c r="AM72" s="104"/>
      <c r="AN72" s="104"/>
      <c r="AO72" s="104"/>
      <c r="AP72" s="104"/>
      <c r="AQ72" s="88"/>
      <c r="AR72" s="88"/>
      <c r="AS72" s="105"/>
      <c r="AT72" s="88"/>
      <c r="AU72" s="106"/>
      <c r="AV72" s="107"/>
      <c r="AW72" s="106"/>
      <c r="AX72" s="107"/>
      <c r="AY72" s="106"/>
      <c r="AZ72" s="107"/>
      <c r="BA72" s="106"/>
      <c r="BB72" s="107"/>
      <c r="BC72" s="108"/>
      <c r="BD72" s="109"/>
      <c r="BE72" s="110"/>
      <c r="BF72" s="111"/>
      <c r="BG72" s="111"/>
      <c r="BH72" s="124"/>
    </row>
    <row r="73" spans="1:60" s="36" customFormat="1" ht="23.25" customHeight="1" x14ac:dyDescent="0.3">
      <c r="A73" s="61">
        <v>69</v>
      </c>
      <c r="B73" s="66" t="str">
        <f t="shared" si="2"/>
        <v/>
      </c>
      <c r="C73" s="140"/>
      <c r="D73" s="126"/>
      <c r="E73" s="127" t="str">
        <f t="shared" si="3"/>
        <v/>
      </c>
      <c r="F73" s="128"/>
      <c r="G73" s="128"/>
      <c r="H73" s="129"/>
      <c r="I73" s="130"/>
      <c r="J73" s="131"/>
      <c r="K73" s="126"/>
      <c r="L73" s="140"/>
      <c r="M73" s="132"/>
      <c r="N73" s="133"/>
      <c r="O73" s="134"/>
      <c r="P73" s="135"/>
      <c r="Q73" s="136"/>
      <c r="R73" s="137"/>
      <c r="S73" s="138"/>
      <c r="T73" s="60"/>
      <c r="U73" s="87"/>
      <c r="V73" s="88"/>
      <c r="W73" s="88"/>
      <c r="X73" s="88"/>
      <c r="Y73" s="88"/>
      <c r="Z73" s="88"/>
      <c r="AA73" s="88"/>
      <c r="AB73" s="88"/>
      <c r="AC73" s="88"/>
      <c r="AD73" s="88"/>
      <c r="AE73" s="88"/>
      <c r="AF73" s="88"/>
      <c r="AG73" s="88"/>
      <c r="AH73" s="88"/>
      <c r="AI73" s="88"/>
      <c r="AJ73" s="88"/>
      <c r="AK73" s="124"/>
      <c r="AL73" s="104"/>
      <c r="AM73" s="104"/>
      <c r="AN73" s="104"/>
      <c r="AO73" s="104"/>
      <c r="AP73" s="104"/>
      <c r="AQ73" s="88"/>
      <c r="AR73" s="88"/>
      <c r="AS73" s="105"/>
      <c r="AT73" s="88"/>
      <c r="AU73" s="106"/>
      <c r="AV73" s="107"/>
      <c r="AW73" s="106"/>
      <c r="AX73" s="107"/>
      <c r="AY73" s="106"/>
      <c r="AZ73" s="107"/>
      <c r="BA73" s="106"/>
      <c r="BB73" s="107"/>
      <c r="BC73" s="108"/>
      <c r="BD73" s="109"/>
      <c r="BE73" s="110"/>
      <c r="BF73" s="111"/>
      <c r="BG73" s="111"/>
      <c r="BH73" s="124"/>
    </row>
    <row r="74" spans="1:60" s="36" customFormat="1" ht="23.25" customHeight="1" x14ac:dyDescent="0.3">
      <c r="A74" s="61">
        <v>70</v>
      </c>
      <c r="B74" s="66" t="str">
        <f t="shared" si="2"/>
        <v/>
      </c>
      <c r="C74" s="140"/>
      <c r="D74" s="126"/>
      <c r="E74" s="127" t="str">
        <f t="shared" si="3"/>
        <v/>
      </c>
      <c r="F74" s="128"/>
      <c r="G74" s="128"/>
      <c r="H74" s="129"/>
      <c r="I74" s="130"/>
      <c r="J74" s="131"/>
      <c r="K74" s="126"/>
      <c r="L74" s="140"/>
      <c r="M74" s="132"/>
      <c r="N74" s="133"/>
      <c r="O74" s="134"/>
      <c r="P74" s="135"/>
      <c r="Q74" s="136"/>
      <c r="R74" s="137"/>
      <c r="S74" s="138"/>
      <c r="T74" s="60"/>
      <c r="U74" s="87"/>
      <c r="V74" s="88"/>
      <c r="W74" s="88"/>
      <c r="X74" s="88"/>
      <c r="Y74" s="88"/>
      <c r="Z74" s="88"/>
      <c r="AA74" s="88"/>
      <c r="AB74" s="88"/>
      <c r="AC74" s="88"/>
      <c r="AD74" s="88"/>
      <c r="AE74" s="88"/>
      <c r="AF74" s="88"/>
      <c r="AG74" s="88"/>
      <c r="AH74" s="88"/>
      <c r="AI74" s="88"/>
      <c r="AJ74" s="88"/>
      <c r="AK74" s="124"/>
      <c r="AL74" s="104"/>
      <c r="AM74" s="104"/>
      <c r="AN74" s="104"/>
      <c r="AO74" s="104"/>
      <c r="AP74" s="104"/>
      <c r="AQ74" s="88"/>
      <c r="AR74" s="88"/>
      <c r="AS74" s="105"/>
      <c r="AT74" s="88"/>
      <c r="AU74" s="106"/>
      <c r="AV74" s="107"/>
      <c r="AW74" s="106"/>
      <c r="AX74" s="107"/>
      <c r="AY74" s="106"/>
      <c r="AZ74" s="107"/>
      <c r="BA74" s="106"/>
      <c r="BB74" s="107"/>
      <c r="BC74" s="108"/>
      <c r="BD74" s="109"/>
      <c r="BE74" s="110"/>
      <c r="BF74" s="111"/>
      <c r="BG74" s="111"/>
      <c r="BH74" s="124"/>
    </row>
    <row r="75" spans="1:60" s="36" customFormat="1" ht="23.25" customHeight="1" x14ac:dyDescent="0.3">
      <c r="A75" s="61">
        <v>71</v>
      </c>
      <c r="B75" s="66" t="str">
        <f t="shared" si="2"/>
        <v/>
      </c>
      <c r="C75" s="140"/>
      <c r="D75" s="126"/>
      <c r="E75" s="127" t="str">
        <f t="shared" si="3"/>
        <v/>
      </c>
      <c r="F75" s="128"/>
      <c r="G75" s="128"/>
      <c r="H75" s="129"/>
      <c r="I75" s="130"/>
      <c r="J75" s="131"/>
      <c r="K75" s="126"/>
      <c r="L75" s="140"/>
      <c r="M75" s="132"/>
      <c r="N75" s="133"/>
      <c r="O75" s="134"/>
      <c r="P75" s="135"/>
      <c r="Q75" s="136"/>
      <c r="R75" s="137"/>
      <c r="S75" s="138"/>
      <c r="T75" s="60"/>
      <c r="U75" s="87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  <c r="AI75" s="88"/>
      <c r="AJ75" s="88"/>
      <c r="AK75" s="124"/>
      <c r="AL75" s="104"/>
      <c r="AM75" s="104"/>
      <c r="AN75" s="104"/>
      <c r="AO75" s="104"/>
      <c r="AP75" s="104"/>
      <c r="AQ75" s="88"/>
      <c r="AR75" s="88"/>
      <c r="AS75" s="105"/>
      <c r="AT75" s="88"/>
      <c r="AU75" s="106"/>
      <c r="AV75" s="107"/>
      <c r="AW75" s="106"/>
      <c r="AX75" s="107"/>
      <c r="AY75" s="106"/>
      <c r="AZ75" s="107"/>
      <c r="BA75" s="106"/>
      <c r="BB75" s="107"/>
      <c r="BC75" s="108"/>
      <c r="BD75" s="109"/>
      <c r="BE75" s="110"/>
      <c r="BF75" s="111"/>
      <c r="BG75" s="111"/>
      <c r="BH75" s="124"/>
    </row>
    <row r="76" spans="1:60" s="36" customFormat="1" ht="23.25" customHeight="1" x14ac:dyDescent="0.3">
      <c r="A76" s="61">
        <v>72</v>
      </c>
      <c r="B76" s="66" t="str">
        <f t="shared" si="2"/>
        <v/>
      </c>
      <c r="C76" s="140"/>
      <c r="D76" s="126"/>
      <c r="E76" s="127" t="str">
        <f t="shared" si="3"/>
        <v/>
      </c>
      <c r="F76" s="128"/>
      <c r="G76" s="128"/>
      <c r="H76" s="129"/>
      <c r="I76" s="130"/>
      <c r="J76" s="131"/>
      <c r="K76" s="126"/>
      <c r="L76" s="140"/>
      <c r="M76" s="132"/>
      <c r="N76" s="133"/>
      <c r="O76" s="134"/>
      <c r="P76" s="135"/>
      <c r="Q76" s="136"/>
      <c r="R76" s="137"/>
      <c r="S76" s="138"/>
      <c r="T76" s="60"/>
      <c r="U76" s="87"/>
      <c r="V76" s="88"/>
      <c r="W76" s="88"/>
      <c r="X76" s="88"/>
      <c r="Y76" s="88"/>
      <c r="Z76" s="88"/>
      <c r="AA76" s="88"/>
      <c r="AB76" s="88"/>
      <c r="AC76" s="88"/>
      <c r="AD76" s="88"/>
      <c r="AE76" s="88"/>
      <c r="AF76" s="88"/>
      <c r="AG76" s="88"/>
      <c r="AH76" s="88"/>
      <c r="AI76" s="88"/>
      <c r="AJ76" s="88"/>
      <c r="AK76" s="124"/>
      <c r="AL76" s="104"/>
      <c r="AM76" s="104"/>
      <c r="AN76" s="104"/>
      <c r="AO76" s="104"/>
      <c r="AP76" s="104"/>
      <c r="AQ76" s="88"/>
      <c r="AR76" s="88"/>
      <c r="AS76" s="105"/>
      <c r="AT76" s="88"/>
      <c r="AU76" s="106"/>
      <c r="AV76" s="107"/>
      <c r="AW76" s="106"/>
      <c r="AX76" s="107"/>
      <c r="AY76" s="106"/>
      <c r="AZ76" s="107"/>
      <c r="BA76" s="106"/>
      <c r="BB76" s="107"/>
      <c r="BC76" s="108"/>
      <c r="BD76" s="109"/>
      <c r="BE76" s="110"/>
      <c r="BF76" s="111"/>
      <c r="BG76" s="111"/>
      <c r="BH76" s="124"/>
    </row>
    <row r="77" spans="1:60" s="36" customFormat="1" ht="23.25" customHeight="1" x14ac:dyDescent="0.3">
      <c r="A77" s="61">
        <v>73</v>
      </c>
      <c r="B77" s="66" t="str">
        <f t="shared" si="2"/>
        <v/>
      </c>
      <c r="C77" s="140"/>
      <c r="D77" s="126"/>
      <c r="E77" s="127" t="str">
        <f t="shared" si="3"/>
        <v/>
      </c>
      <c r="F77" s="128"/>
      <c r="G77" s="128"/>
      <c r="H77" s="129"/>
      <c r="I77" s="130"/>
      <c r="J77" s="131"/>
      <c r="K77" s="126"/>
      <c r="L77" s="140"/>
      <c r="M77" s="132"/>
      <c r="N77" s="133"/>
      <c r="O77" s="134"/>
      <c r="P77" s="135"/>
      <c r="Q77" s="136"/>
      <c r="R77" s="137"/>
      <c r="S77" s="138"/>
      <c r="T77" s="60"/>
      <c r="U77" s="87"/>
      <c r="V77" s="88"/>
      <c r="W77" s="88"/>
      <c r="X77" s="88"/>
      <c r="Y77" s="88"/>
      <c r="Z77" s="88"/>
      <c r="AA77" s="88"/>
      <c r="AB77" s="88"/>
      <c r="AC77" s="88"/>
      <c r="AD77" s="88"/>
      <c r="AE77" s="88"/>
      <c r="AF77" s="88"/>
      <c r="AG77" s="88"/>
      <c r="AH77" s="88"/>
      <c r="AI77" s="88"/>
      <c r="AJ77" s="88"/>
      <c r="AK77" s="124"/>
      <c r="AL77" s="104"/>
      <c r="AM77" s="104"/>
      <c r="AN77" s="104"/>
      <c r="AO77" s="104"/>
      <c r="AP77" s="104"/>
      <c r="AQ77" s="88"/>
      <c r="AR77" s="88"/>
      <c r="AS77" s="105"/>
      <c r="AT77" s="88"/>
      <c r="AU77" s="106"/>
      <c r="AV77" s="107"/>
      <c r="AW77" s="106"/>
      <c r="AX77" s="107"/>
      <c r="AY77" s="106"/>
      <c r="AZ77" s="107"/>
      <c r="BA77" s="106"/>
      <c r="BB77" s="107"/>
      <c r="BC77" s="108"/>
      <c r="BD77" s="109"/>
      <c r="BE77" s="110"/>
      <c r="BF77" s="111"/>
      <c r="BG77" s="111"/>
      <c r="BH77" s="124"/>
    </row>
    <row r="78" spans="1:60" s="36" customFormat="1" ht="23.25" customHeight="1" x14ac:dyDescent="0.3">
      <c r="A78" s="61">
        <v>74</v>
      </c>
      <c r="B78" s="66" t="str">
        <f t="shared" si="2"/>
        <v/>
      </c>
      <c r="C78" s="140"/>
      <c r="D78" s="126"/>
      <c r="E78" s="127" t="str">
        <f t="shared" si="3"/>
        <v/>
      </c>
      <c r="F78" s="128"/>
      <c r="G78" s="128"/>
      <c r="H78" s="129"/>
      <c r="I78" s="130"/>
      <c r="J78" s="131"/>
      <c r="K78" s="126"/>
      <c r="L78" s="140"/>
      <c r="M78" s="132"/>
      <c r="N78" s="133"/>
      <c r="O78" s="134"/>
      <c r="P78" s="135"/>
      <c r="Q78" s="136"/>
      <c r="R78" s="137"/>
      <c r="S78" s="138"/>
      <c r="T78" s="60"/>
      <c r="U78" s="87"/>
      <c r="V78" s="88"/>
      <c r="W78" s="88"/>
      <c r="X78" s="88"/>
      <c r="Y78" s="88"/>
      <c r="Z78" s="88"/>
      <c r="AA78" s="88"/>
      <c r="AB78" s="88"/>
      <c r="AC78" s="88"/>
      <c r="AD78" s="88"/>
      <c r="AE78" s="88"/>
      <c r="AF78" s="88"/>
      <c r="AG78" s="88"/>
      <c r="AH78" s="88"/>
      <c r="AI78" s="88"/>
      <c r="AJ78" s="88"/>
      <c r="AK78" s="124"/>
      <c r="AL78" s="104"/>
      <c r="AM78" s="104"/>
      <c r="AN78" s="104"/>
      <c r="AO78" s="104"/>
      <c r="AP78" s="104"/>
      <c r="AQ78" s="88"/>
      <c r="AR78" s="88"/>
      <c r="AS78" s="105"/>
      <c r="AT78" s="88"/>
      <c r="AU78" s="106"/>
      <c r="AV78" s="107"/>
      <c r="AW78" s="106"/>
      <c r="AX78" s="107"/>
      <c r="AY78" s="106"/>
      <c r="AZ78" s="107"/>
      <c r="BA78" s="106"/>
      <c r="BB78" s="107"/>
      <c r="BC78" s="108"/>
      <c r="BD78" s="109"/>
      <c r="BE78" s="110"/>
      <c r="BF78" s="111"/>
      <c r="BG78" s="111"/>
      <c r="BH78" s="124"/>
    </row>
    <row r="79" spans="1:60" s="36" customFormat="1" ht="23.25" customHeight="1" x14ac:dyDescent="0.3">
      <c r="A79" s="61">
        <v>75</v>
      </c>
      <c r="B79" s="66" t="str">
        <f t="shared" si="2"/>
        <v/>
      </c>
      <c r="C79" s="140"/>
      <c r="D79" s="126"/>
      <c r="E79" s="127" t="str">
        <f t="shared" si="3"/>
        <v/>
      </c>
      <c r="F79" s="128"/>
      <c r="G79" s="128"/>
      <c r="H79" s="129"/>
      <c r="I79" s="130"/>
      <c r="J79" s="131"/>
      <c r="K79" s="126"/>
      <c r="L79" s="140"/>
      <c r="M79" s="132"/>
      <c r="N79" s="133"/>
      <c r="O79" s="134"/>
      <c r="P79" s="135"/>
      <c r="Q79" s="136"/>
      <c r="R79" s="137"/>
      <c r="S79" s="138"/>
      <c r="T79" s="60"/>
      <c r="U79" s="87"/>
      <c r="V79" s="88"/>
      <c r="W79" s="88"/>
      <c r="X79" s="88"/>
      <c r="Y79" s="88"/>
      <c r="Z79" s="88"/>
      <c r="AA79" s="88"/>
      <c r="AB79" s="88"/>
      <c r="AC79" s="88"/>
      <c r="AD79" s="88"/>
      <c r="AE79" s="88"/>
      <c r="AF79" s="88"/>
      <c r="AG79" s="88"/>
      <c r="AH79" s="88"/>
      <c r="AI79" s="88"/>
      <c r="AJ79" s="88"/>
      <c r="AK79" s="124"/>
      <c r="AL79" s="104"/>
      <c r="AM79" s="104"/>
      <c r="AN79" s="104"/>
      <c r="AO79" s="104"/>
      <c r="AP79" s="104"/>
      <c r="AQ79" s="88"/>
      <c r="AR79" s="88"/>
      <c r="AS79" s="105"/>
      <c r="AT79" s="88"/>
      <c r="AU79" s="106"/>
      <c r="AV79" s="107"/>
      <c r="AW79" s="106"/>
      <c r="AX79" s="107"/>
      <c r="AY79" s="106"/>
      <c r="AZ79" s="107"/>
      <c r="BA79" s="106"/>
      <c r="BB79" s="107"/>
      <c r="BC79" s="108"/>
      <c r="BD79" s="109"/>
      <c r="BE79" s="110"/>
      <c r="BF79" s="111"/>
      <c r="BG79" s="111"/>
      <c r="BH79" s="124"/>
    </row>
    <row r="80" spans="1:60" s="36" customFormat="1" ht="23.25" customHeight="1" x14ac:dyDescent="0.3">
      <c r="A80" s="61">
        <v>76</v>
      </c>
      <c r="B80" s="66" t="str">
        <f t="shared" si="2"/>
        <v/>
      </c>
      <c r="C80" s="140"/>
      <c r="D80" s="126"/>
      <c r="E80" s="127" t="str">
        <f t="shared" si="3"/>
        <v/>
      </c>
      <c r="F80" s="128"/>
      <c r="G80" s="128"/>
      <c r="H80" s="129"/>
      <c r="I80" s="130"/>
      <c r="J80" s="131"/>
      <c r="K80" s="126"/>
      <c r="L80" s="140"/>
      <c r="M80" s="132"/>
      <c r="N80" s="133"/>
      <c r="O80" s="134"/>
      <c r="P80" s="135"/>
      <c r="Q80" s="136"/>
      <c r="R80" s="137"/>
      <c r="S80" s="138"/>
      <c r="T80" s="60"/>
      <c r="U80" s="87"/>
      <c r="V80" s="88"/>
      <c r="W80" s="88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8"/>
      <c r="AI80" s="88"/>
      <c r="AJ80" s="88"/>
      <c r="AK80" s="124"/>
      <c r="AL80" s="104"/>
      <c r="AM80" s="104"/>
      <c r="AN80" s="104"/>
      <c r="AO80" s="104"/>
      <c r="AP80" s="104"/>
      <c r="AQ80" s="88"/>
      <c r="AR80" s="88"/>
      <c r="AS80" s="105"/>
      <c r="AT80" s="88"/>
      <c r="AU80" s="106"/>
      <c r="AV80" s="107"/>
      <c r="AW80" s="106"/>
      <c r="AX80" s="107"/>
      <c r="AY80" s="106"/>
      <c r="AZ80" s="107"/>
      <c r="BA80" s="106"/>
      <c r="BB80" s="107"/>
      <c r="BC80" s="108"/>
      <c r="BD80" s="109"/>
      <c r="BE80" s="110"/>
      <c r="BF80" s="111"/>
      <c r="BG80" s="111"/>
      <c r="BH80" s="124"/>
    </row>
    <row r="81" spans="1:60" s="36" customFormat="1" ht="23.25" customHeight="1" x14ac:dyDescent="0.3">
      <c r="A81" s="61">
        <v>77</v>
      </c>
      <c r="B81" s="66" t="str">
        <f t="shared" si="2"/>
        <v/>
      </c>
      <c r="C81" s="140"/>
      <c r="D81" s="126"/>
      <c r="E81" s="127" t="str">
        <f t="shared" si="3"/>
        <v/>
      </c>
      <c r="F81" s="128"/>
      <c r="G81" s="128"/>
      <c r="H81" s="129"/>
      <c r="I81" s="130"/>
      <c r="J81" s="131"/>
      <c r="K81" s="126"/>
      <c r="L81" s="140"/>
      <c r="M81" s="132"/>
      <c r="N81" s="133"/>
      <c r="O81" s="134"/>
      <c r="P81" s="135"/>
      <c r="Q81" s="136"/>
      <c r="R81" s="137"/>
      <c r="S81" s="138"/>
      <c r="T81" s="60"/>
      <c r="U81" s="87"/>
      <c r="V81" s="88"/>
      <c r="W81" s="88"/>
      <c r="X81" s="88"/>
      <c r="Y81" s="88"/>
      <c r="Z81" s="88"/>
      <c r="AA81" s="88"/>
      <c r="AB81" s="88"/>
      <c r="AC81" s="88"/>
      <c r="AD81" s="88"/>
      <c r="AE81" s="88"/>
      <c r="AF81" s="88"/>
      <c r="AG81" s="88"/>
      <c r="AH81" s="88"/>
      <c r="AI81" s="88"/>
      <c r="AJ81" s="88"/>
      <c r="AK81" s="124"/>
      <c r="AL81" s="104"/>
      <c r="AM81" s="104"/>
      <c r="AN81" s="104"/>
      <c r="AO81" s="104"/>
      <c r="AP81" s="104"/>
      <c r="AQ81" s="88"/>
      <c r="AR81" s="88"/>
      <c r="AS81" s="105"/>
      <c r="AT81" s="88"/>
      <c r="AU81" s="106"/>
      <c r="AV81" s="107"/>
      <c r="AW81" s="106"/>
      <c r="AX81" s="107"/>
      <c r="AY81" s="106"/>
      <c r="AZ81" s="107"/>
      <c r="BA81" s="106"/>
      <c r="BB81" s="107"/>
      <c r="BC81" s="108"/>
      <c r="BD81" s="109"/>
      <c r="BE81" s="110"/>
      <c r="BF81" s="111"/>
      <c r="BG81" s="111"/>
      <c r="BH81" s="124"/>
    </row>
    <row r="82" spans="1:60" s="36" customFormat="1" ht="23.25" customHeight="1" x14ac:dyDescent="0.3">
      <c r="A82" s="61">
        <v>78</v>
      </c>
      <c r="B82" s="66" t="str">
        <f t="shared" si="2"/>
        <v/>
      </c>
      <c r="C82" s="140"/>
      <c r="D82" s="126"/>
      <c r="E82" s="127" t="str">
        <f t="shared" si="3"/>
        <v/>
      </c>
      <c r="F82" s="128"/>
      <c r="G82" s="128"/>
      <c r="H82" s="129"/>
      <c r="I82" s="130"/>
      <c r="J82" s="131"/>
      <c r="K82" s="126"/>
      <c r="L82" s="140"/>
      <c r="M82" s="132"/>
      <c r="N82" s="133"/>
      <c r="O82" s="134"/>
      <c r="P82" s="135"/>
      <c r="Q82" s="136"/>
      <c r="R82" s="137"/>
      <c r="S82" s="138"/>
      <c r="T82" s="60"/>
      <c r="U82" s="87"/>
      <c r="V82" s="88"/>
      <c r="W82" s="88"/>
      <c r="X82" s="88"/>
      <c r="Y82" s="88"/>
      <c r="Z82" s="88"/>
      <c r="AA82" s="88"/>
      <c r="AB82" s="88"/>
      <c r="AC82" s="88"/>
      <c r="AD82" s="88"/>
      <c r="AE82" s="88"/>
      <c r="AF82" s="88"/>
      <c r="AG82" s="88"/>
      <c r="AH82" s="88"/>
      <c r="AI82" s="88"/>
      <c r="AJ82" s="88"/>
      <c r="AK82" s="124"/>
      <c r="AL82" s="104"/>
      <c r="AM82" s="104"/>
      <c r="AN82" s="104"/>
      <c r="AO82" s="104"/>
      <c r="AP82" s="104"/>
      <c r="AQ82" s="88"/>
      <c r="AR82" s="88"/>
      <c r="AS82" s="105"/>
      <c r="AT82" s="88"/>
      <c r="AU82" s="106"/>
      <c r="AV82" s="107"/>
      <c r="AW82" s="106"/>
      <c r="AX82" s="107"/>
      <c r="AY82" s="106"/>
      <c r="AZ82" s="107"/>
      <c r="BA82" s="106"/>
      <c r="BB82" s="107"/>
      <c r="BC82" s="108"/>
      <c r="BD82" s="109"/>
      <c r="BE82" s="110"/>
      <c r="BF82" s="111"/>
      <c r="BG82" s="111"/>
      <c r="BH82" s="124"/>
    </row>
    <row r="83" spans="1:60" s="36" customFormat="1" ht="23.25" customHeight="1" x14ac:dyDescent="0.3">
      <c r="A83" s="61">
        <v>79</v>
      </c>
      <c r="B83" s="66" t="str">
        <f t="shared" si="2"/>
        <v/>
      </c>
      <c r="C83" s="140"/>
      <c r="D83" s="126"/>
      <c r="E83" s="127" t="str">
        <f t="shared" si="3"/>
        <v/>
      </c>
      <c r="F83" s="128"/>
      <c r="G83" s="128"/>
      <c r="H83" s="129"/>
      <c r="I83" s="130"/>
      <c r="J83" s="131"/>
      <c r="K83" s="126"/>
      <c r="L83" s="140"/>
      <c r="M83" s="132"/>
      <c r="N83" s="133"/>
      <c r="O83" s="134"/>
      <c r="P83" s="135"/>
      <c r="Q83" s="136"/>
      <c r="R83" s="137"/>
      <c r="S83" s="138"/>
      <c r="T83" s="60"/>
      <c r="U83" s="87"/>
      <c r="V83" s="88"/>
      <c r="W83" s="88"/>
      <c r="X83" s="88"/>
      <c r="Y83" s="88"/>
      <c r="Z83" s="88"/>
      <c r="AA83" s="88"/>
      <c r="AB83" s="88"/>
      <c r="AC83" s="88"/>
      <c r="AD83" s="88"/>
      <c r="AE83" s="88"/>
      <c r="AF83" s="88"/>
      <c r="AG83" s="88"/>
      <c r="AH83" s="88"/>
      <c r="AI83" s="88"/>
      <c r="AJ83" s="88"/>
      <c r="AK83" s="124"/>
      <c r="AL83" s="104"/>
      <c r="AM83" s="104"/>
      <c r="AN83" s="104"/>
      <c r="AO83" s="104"/>
      <c r="AP83" s="104"/>
      <c r="AQ83" s="88"/>
      <c r="AR83" s="88"/>
      <c r="AS83" s="105"/>
      <c r="AT83" s="88"/>
      <c r="AU83" s="106"/>
      <c r="AV83" s="107"/>
      <c r="AW83" s="106"/>
      <c r="AX83" s="107"/>
      <c r="AY83" s="106"/>
      <c r="AZ83" s="107"/>
      <c r="BA83" s="106"/>
      <c r="BB83" s="107"/>
      <c r="BC83" s="108"/>
      <c r="BD83" s="109"/>
      <c r="BE83" s="110"/>
      <c r="BF83" s="111"/>
      <c r="BG83" s="111"/>
      <c r="BH83" s="124"/>
    </row>
    <row r="84" spans="1:60" s="36" customFormat="1" ht="23.25" customHeight="1" x14ac:dyDescent="0.3">
      <c r="A84" s="61">
        <v>80</v>
      </c>
      <c r="B84" s="66" t="str">
        <f t="shared" si="2"/>
        <v/>
      </c>
      <c r="C84" s="140"/>
      <c r="D84" s="126"/>
      <c r="E84" s="127" t="str">
        <f t="shared" si="3"/>
        <v/>
      </c>
      <c r="F84" s="128"/>
      <c r="G84" s="128"/>
      <c r="H84" s="129"/>
      <c r="I84" s="130"/>
      <c r="J84" s="131"/>
      <c r="K84" s="126"/>
      <c r="L84" s="140"/>
      <c r="M84" s="132"/>
      <c r="N84" s="133"/>
      <c r="O84" s="134"/>
      <c r="P84" s="135"/>
      <c r="Q84" s="136"/>
      <c r="R84" s="137"/>
      <c r="S84" s="138"/>
      <c r="T84" s="60"/>
      <c r="U84" s="87"/>
      <c r="V84" s="88"/>
      <c r="W84" s="88"/>
      <c r="X84" s="88"/>
      <c r="Y84" s="88"/>
      <c r="Z84" s="88"/>
      <c r="AA84" s="88"/>
      <c r="AB84" s="88"/>
      <c r="AC84" s="88"/>
      <c r="AD84" s="88"/>
      <c r="AE84" s="88"/>
      <c r="AF84" s="88"/>
      <c r="AG84" s="88"/>
      <c r="AH84" s="88"/>
      <c r="AI84" s="88"/>
      <c r="AJ84" s="88"/>
      <c r="AK84" s="125"/>
      <c r="AL84" s="112"/>
      <c r="AM84" s="112"/>
      <c r="AN84" s="112"/>
      <c r="AO84" s="112"/>
      <c r="AP84" s="112"/>
      <c r="AQ84" s="113"/>
      <c r="AR84" s="113"/>
      <c r="AS84" s="114"/>
      <c r="AT84" s="88"/>
      <c r="AU84" s="115"/>
      <c r="AV84" s="116"/>
      <c r="AW84" s="115"/>
      <c r="AX84" s="116"/>
      <c r="AY84" s="115"/>
      <c r="AZ84" s="116"/>
      <c r="BA84" s="115"/>
      <c r="BB84" s="116"/>
      <c r="BC84" s="117"/>
      <c r="BD84" s="118"/>
      <c r="BE84" s="119"/>
      <c r="BF84" s="120"/>
      <c r="BG84" s="120"/>
      <c r="BH84" s="125"/>
    </row>
    <row r="85" spans="1:60" s="36" customFormat="1" ht="23.25" customHeight="1" x14ac:dyDescent="0.3">
      <c r="A85" s="61">
        <v>81</v>
      </c>
      <c r="B85" s="66" t="str">
        <f t="shared" si="2"/>
        <v/>
      </c>
      <c r="C85" s="140"/>
      <c r="D85" s="126"/>
      <c r="E85" s="127" t="str">
        <f t="shared" si="3"/>
        <v/>
      </c>
      <c r="F85" s="128"/>
      <c r="G85" s="128"/>
      <c r="H85" s="129"/>
      <c r="I85" s="130"/>
      <c r="J85" s="131"/>
      <c r="K85" s="126"/>
      <c r="L85" s="140"/>
      <c r="M85" s="132"/>
      <c r="N85" s="133"/>
      <c r="O85" s="134"/>
      <c r="P85" s="135"/>
      <c r="Q85" s="136"/>
      <c r="R85" s="137"/>
      <c r="S85" s="138"/>
      <c r="T85" s="60"/>
      <c r="U85" s="87"/>
      <c r="V85" s="88"/>
      <c r="W85" s="88"/>
      <c r="X85" s="88"/>
      <c r="Y85" s="88"/>
      <c r="Z85" s="88"/>
      <c r="AA85" s="88"/>
      <c r="AB85" s="88"/>
      <c r="AC85" s="88"/>
      <c r="AD85" s="88"/>
      <c r="AE85" s="88"/>
      <c r="AF85" s="88"/>
      <c r="AG85" s="88"/>
      <c r="AH85" s="88"/>
      <c r="AI85" s="88"/>
      <c r="AJ85" s="88"/>
      <c r="AK85" s="125"/>
      <c r="AL85" s="112"/>
      <c r="AM85" s="112"/>
      <c r="AN85" s="112"/>
      <c r="AO85" s="112"/>
      <c r="AP85" s="112"/>
      <c r="AQ85" s="113"/>
      <c r="AR85" s="113"/>
      <c r="AS85" s="114"/>
      <c r="AT85" s="88"/>
      <c r="AU85" s="115"/>
      <c r="AV85" s="116"/>
      <c r="AW85" s="115"/>
      <c r="AX85" s="116"/>
      <c r="AY85" s="115"/>
      <c r="AZ85" s="116"/>
      <c r="BA85" s="115"/>
      <c r="BB85" s="116"/>
      <c r="BC85" s="117"/>
      <c r="BD85" s="118"/>
      <c r="BE85" s="119"/>
      <c r="BF85" s="120"/>
      <c r="BG85" s="120"/>
      <c r="BH85" s="125"/>
    </row>
    <row r="86" spans="1:60" s="36" customFormat="1" ht="23.25" customHeight="1" x14ac:dyDescent="0.3">
      <c r="A86" s="61">
        <v>82</v>
      </c>
      <c r="B86" s="66" t="str">
        <f t="shared" si="2"/>
        <v/>
      </c>
      <c r="C86" s="140"/>
      <c r="D86" s="126"/>
      <c r="E86" s="127" t="str">
        <f t="shared" si="3"/>
        <v/>
      </c>
      <c r="F86" s="128"/>
      <c r="G86" s="128"/>
      <c r="H86" s="129"/>
      <c r="I86" s="130"/>
      <c r="J86" s="131"/>
      <c r="K86" s="126"/>
      <c r="L86" s="140"/>
      <c r="M86" s="132"/>
      <c r="N86" s="133"/>
      <c r="O86" s="134"/>
      <c r="P86" s="135"/>
      <c r="Q86" s="136"/>
      <c r="R86" s="137"/>
      <c r="S86" s="138"/>
      <c r="T86" s="60"/>
      <c r="U86" s="87"/>
      <c r="V86" s="88"/>
      <c r="W86" s="88"/>
      <c r="X86" s="88"/>
      <c r="Y86" s="88"/>
      <c r="Z86" s="88"/>
      <c r="AA86" s="88"/>
      <c r="AB86" s="88"/>
      <c r="AC86" s="88"/>
      <c r="AD86" s="88"/>
      <c r="AE86" s="88"/>
      <c r="AF86" s="88"/>
      <c r="AG86" s="88"/>
      <c r="AH86" s="88"/>
      <c r="AI86" s="88"/>
      <c r="AJ86" s="88"/>
      <c r="AK86" s="125"/>
      <c r="AL86" s="112"/>
      <c r="AM86" s="112"/>
      <c r="AN86" s="112"/>
      <c r="AO86" s="112"/>
      <c r="AP86" s="112"/>
      <c r="AQ86" s="113"/>
      <c r="AR86" s="113"/>
      <c r="AS86" s="114"/>
      <c r="AT86" s="88"/>
      <c r="AU86" s="115"/>
      <c r="AV86" s="116"/>
      <c r="AW86" s="115"/>
      <c r="AX86" s="116"/>
      <c r="AY86" s="115"/>
      <c r="AZ86" s="116"/>
      <c r="BA86" s="115"/>
      <c r="BB86" s="116"/>
      <c r="BC86" s="117"/>
      <c r="BD86" s="118"/>
      <c r="BE86" s="119"/>
      <c r="BF86" s="120"/>
      <c r="BG86" s="120"/>
      <c r="BH86" s="125"/>
    </row>
    <row r="87" spans="1:60" s="36" customFormat="1" ht="23.25" customHeight="1" x14ac:dyDescent="0.3">
      <c r="A87" s="61">
        <v>83</v>
      </c>
      <c r="B87" s="66" t="str">
        <f t="shared" si="2"/>
        <v/>
      </c>
      <c r="C87" s="140"/>
      <c r="D87" s="126"/>
      <c r="E87" s="127" t="str">
        <f t="shared" si="3"/>
        <v/>
      </c>
      <c r="F87" s="128"/>
      <c r="G87" s="128"/>
      <c r="H87" s="129"/>
      <c r="I87" s="130"/>
      <c r="J87" s="131"/>
      <c r="K87" s="126"/>
      <c r="L87" s="140"/>
      <c r="M87" s="132"/>
      <c r="N87" s="133"/>
      <c r="O87" s="134"/>
      <c r="P87" s="135"/>
      <c r="Q87" s="136"/>
      <c r="R87" s="137"/>
      <c r="S87" s="138"/>
      <c r="T87" s="60"/>
      <c r="U87" s="87"/>
      <c r="V87" s="88"/>
      <c r="W87" s="88"/>
      <c r="X87" s="88"/>
      <c r="Y87" s="88"/>
      <c r="Z87" s="88"/>
      <c r="AA87" s="88"/>
      <c r="AB87" s="88"/>
      <c r="AC87" s="88"/>
      <c r="AD87" s="88"/>
      <c r="AE87" s="88"/>
      <c r="AF87" s="88"/>
      <c r="AG87" s="88"/>
      <c r="AH87" s="88"/>
      <c r="AI87" s="88"/>
      <c r="AJ87" s="88"/>
      <c r="AK87" s="125"/>
      <c r="AL87" s="112"/>
      <c r="AM87" s="112"/>
      <c r="AN87" s="112"/>
      <c r="AO87" s="112"/>
      <c r="AP87" s="112"/>
      <c r="AQ87" s="113"/>
      <c r="AR87" s="113"/>
      <c r="AS87" s="114"/>
      <c r="AT87" s="88"/>
      <c r="AU87" s="115"/>
      <c r="AV87" s="116"/>
      <c r="AW87" s="115"/>
      <c r="AX87" s="116"/>
      <c r="AY87" s="115"/>
      <c r="AZ87" s="116"/>
      <c r="BA87" s="115"/>
      <c r="BB87" s="116"/>
      <c r="BC87" s="117"/>
      <c r="BD87" s="118"/>
      <c r="BE87" s="119"/>
      <c r="BF87" s="120"/>
      <c r="BG87" s="120"/>
      <c r="BH87" s="125"/>
    </row>
    <row r="88" spans="1:60" s="36" customFormat="1" ht="23.25" customHeight="1" x14ac:dyDescent="0.3">
      <c r="A88" s="61">
        <v>84</v>
      </c>
      <c r="B88" s="66" t="str">
        <f t="shared" si="2"/>
        <v/>
      </c>
      <c r="C88" s="140"/>
      <c r="D88" s="126"/>
      <c r="E88" s="127" t="str">
        <f t="shared" si="3"/>
        <v/>
      </c>
      <c r="F88" s="128"/>
      <c r="G88" s="128"/>
      <c r="H88" s="129"/>
      <c r="I88" s="130"/>
      <c r="J88" s="131"/>
      <c r="K88" s="126"/>
      <c r="L88" s="140"/>
      <c r="M88" s="132"/>
      <c r="N88" s="133"/>
      <c r="O88" s="134"/>
      <c r="P88" s="135"/>
      <c r="Q88" s="136"/>
      <c r="R88" s="137"/>
      <c r="S88" s="138"/>
      <c r="T88" s="60"/>
      <c r="U88" s="87"/>
      <c r="V88" s="88"/>
      <c r="W88" s="88"/>
      <c r="X88" s="88"/>
      <c r="Y88" s="88"/>
      <c r="Z88" s="88"/>
      <c r="AA88" s="88"/>
      <c r="AB88" s="88"/>
      <c r="AC88" s="88"/>
      <c r="AD88" s="88"/>
      <c r="AE88" s="88"/>
      <c r="AF88" s="88"/>
      <c r="AG88" s="88"/>
      <c r="AH88" s="88"/>
      <c r="AI88" s="88"/>
      <c r="AJ88" s="88"/>
      <c r="AK88" s="125"/>
      <c r="AL88" s="112"/>
      <c r="AM88" s="112"/>
      <c r="AN88" s="112"/>
      <c r="AO88" s="112"/>
      <c r="AP88" s="112"/>
      <c r="AQ88" s="113"/>
      <c r="AR88" s="113"/>
      <c r="AS88" s="114"/>
      <c r="AT88" s="88"/>
      <c r="AU88" s="115"/>
      <c r="AV88" s="116"/>
      <c r="AW88" s="115"/>
      <c r="AX88" s="116"/>
      <c r="AY88" s="115"/>
      <c r="AZ88" s="116"/>
      <c r="BA88" s="115"/>
      <c r="BB88" s="116"/>
      <c r="BC88" s="117"/>
      <c r="BD88" s="118"/>
      <c r="BE88" s="119"/>
      <c r="BF88" s="120"/>
      <c r="BG88" s="120"/>
      <c r="BH88" s="125"/>
    </row>
    <row r="89" spans="1:60" s="36" customFormat="1" ht="23.25" customHeight="1" x14ac:dyDescent="0.3">
      <c r="A89" s="61">
        <v>85</v>
      </c>
      <c r="B89" s="66" t="str">
        <f t="shared" si="2"/>
        <v/>
      </c>
      <c r="C89" s="140"/>
      <c r="D89" s="126"/>
      <c r="E89" s="127" t="str">
        <f t="shared" si="3"/>
        <v/>
      </c>
      <c r="F89" s="128"/>
      <c r="G89" s="128"/>
      <c r="H89" s="129"/>
      <c r="I89" s="130"/>
      <c r="J89" s="131"/>
      <c r="K89" s="126"/>
      <c r="L89" s="140"/>
      <c r="M89" s="132"/>
      <c r="N89" s="133"/>
      <c r="O89" s="134"/>
      <c r="P89" s="135"/>
      <c r="Q89" s="136"/>
      <c r="R89" s="137"/>
      <c r="S89" s="138"/>
      <c r="T89" s="60"/>
      <c r="U89" s="87"/>
      <c r="V89" s="88"/>
      <c r="W89" s="88"/>
      <c r="X89" s="88"/>
      <c r="Y89" s="88"/>
      <c r="Z89" s="88"/>
      <c r="AA89" s="88"/>
      <c r="AB89" s="88"/>
      <c r="AC89" s="88"/>
      <c r="AD89" s="88"/>
      <c r="AE89" s="88"/>
      <c r="AF89" s="88"/>
      <c r="AG89" s="88"/>
      <c r="AH89" s="88"/>
      <c r="AI89" s="88"/>
      <c r="AJ89" s="88"/>
      <c r="AK89" s="125"/>
      <c r="AL89" s="112"/>
      <c r="AM89" s="112"/>
      <c r="AN89" s="112"/>
      <c r="AO89" s="112"/>
      <c r="AP89" s="112"/>
      <c r="AQ89" s="113"/>
      <c r="AR89" s="113"/>
      <c r="AS89" s="114"/>
      <c r="AT89" s="88"/>
      <c r="AU89" s="115"/>
      <c r="AV89" s="116"/>
      <c r="AW89" s="115"/>
      <c r="AX89" s="116"/>
      <c r="AY89" s="115"/>
      <c r="AZ89" s="116"/>
      <c r="BA89" s="115"/>
      <c r="BB89" s="116"/>
      <c r="BC89" s="117"/>
      <c r="BD89" s="118"/>
      <c r="BE89" s="119"/>
      <c r="BF89" s="120"/>
      <c r="BG89" s="120"/>
      <c r="BH89" s="125"/>
    </row>
    <row r="90" spans="1:60" s="36" customFormat="1" ht="23.25" customHeight="1" x14ac:dyDescent="0.3">
      <c r="A90" s="61">
        <v>86</v>
      </c>
      <c r="B90" s="66" t="str">
        <f t="shared" si="2"/>
        <v/>
      </c>
      <c r="C90" s="140"/>
      <c r="D90" s="126"/>
      <c r="E90" s="127" t="str">
        <f t="shared" si="3"/>
        <v/>
      </c>
      <c r="F90" s="128"/>
      <c r="G90" s="128"/>
      <c r="H90" s="129"/>
      <c r="I90" s="130"/>
      <c r="J90" s="131"/>
      <c r="K90" s="126"/>
      <c r="L90" s="140"/>
      <c r="M90" s="132"/>
      <c r="N90" s="133"/>
      <c r="O90" s="134"/>
      <c r="P90" s="135"/>
      <c r="Q90" s="136"/>
      <c r="R90" s="137"/>
      <c r="S90" s="138"/>
      <c r="T90" s="60"/>
      <c r="U90" s="87"/>
      <c r="V90" s="88"/>
      <c r="W90" s="88"/>
      <c r="X90" s="88"/>
      <c r="Y90" s="88"/>
      <c r="Z90" s="88"/>
      <c r="AA90" s="88"/>
      <c r="AB90" s="88"/>
      <c r="AC90" s="88"/>
      <c r="AD90" s="88"/>
      <c r="AE90" s="88"/>
      <c r="AF90" s="88"/>
      <c r="AG90" s="88"/>
      <c r="AH90" s="88"/>
      <c r="AI90" s="88"/>
      <c r="AJ90" s="88"/>
      <c r="AK90" s="125"/>
      <c r="AL90" s="112"/>
      <c r="AM90" s="112"/>
      <c r="AN90" s="112"/>
      <c r="AO90" s="112"/>
      <c r="AP90" s="112"/>
      <c r="AQ90" s="113"/>
      <c r="AR90" s="113"/>
      <c r="AS90" s="114"/>
      <c r="AT90" s="88"/>
      <c r="AU90" s="115"/>
      <c r="AV90" s="116"/>
      <c r="AW90" s="115"/>
      <c r="AX90" s="116"/>
      <c r="AY90" s="115"/>
      <c r="AZ90" s="116"/>
      <c r="BA90" s="115"/>
      <c r="BB90" s="116"/>
      <c r="BC90" s="117"/>
      <c r="BD90" s="118"/>
      <c r="BE90" s="119"/>
      <c r="BF90" s="120"/>
      <c r="BG90" s="120"/>
      <c r="BH90" s="125"/>
    </row>
    <row r="91" spans="1:60" s="36" customFormat="1" ht="23.25" customHeight="1" x14ac:dyDescent="0.3">
      <c r="A91" s="61">
        <v>87</v>
      </c>
      <c r="B91" s="66" t="str">
        <f t="shared" si="2"/>
        <v/>
      </c>
      <c r="C91" s="140"/>
      <c r="D91" s="126"/>
      <c r="E91" s="127" t="str">
        <f t="shared" si="3"/>
        <v/>
      </c>
      <c r="F91" s="128"/>
      <c r="G91" s="128"/>
      <c r="H91" s="129"/>
      <c r="I91" s="130"/>
      <c r="J91" s="131"/>
      <c r="K91" s="126"/>
      <c r="L91" s="140"/>
      <c r="M91" s="132"/>
      <c r="N91" s="133"/>
      <c r="O91" s="134"/>
      <c r="P91" s="135"/>
      <c r="Q91" s="136"/>
      <c r="R91" s="137"/>
      <c r="S91" s="138"/>
      <c r="T91" s="60"/>
      <c r="U91" s="87"/>
      <c r="V91" s="88"/>
      <c r="W91" s="88"/>
      <c r="X91" s="88"/>
      <c r="Y91" s="88"/>
      <c r="Z91" s="88"/>
      <c r="AA91" s="88"/>
      <c r="AB91" s="88"/>
      <c r="AC91" s="88"/>
      <c r="AD91" s="88"/>
      <c r="AE91" s="88"/>
      <c r="AF91" s="88"/>
      <c r="AG91" s="88"/>
      <c r="AH91" s="88"/>
      <c r="AI91" s="88"/>
      <c r="AJ91" s="88"/>
      <c r="AK91" s="125"/>
      <c r="AL91" s="112"/>
      <c r="AM91" s="112"/>
      <c r="AN91" s="112"/>
      <c r="AO91" s="112"/>
      <c r="AP91" s="112"/>
      <c r="AQ91" s="113"/>
      <c r="AR91" s="113"/>
      <c r="AS91" s="114"/>
      <c r="AT91" s="88"/>
      <c r="AU91" s="115"/>
      <c r="AV91" s="116"/>
      <c r="AW91" s="115"/>
      <c r="AX91" s="116"/>
      <c r="AY91" s="115"/>
      <c r="AZ91" s="116"/>
      <c r="BA91" s="115"/>
      <c r="BB91" s="116"/>
      <c r="BC91" s="117"/>
      <c r="BD91" s="118"/>
      <c r="BE91" s="119"/>
      <c r="BF91" s="120"/>
      <c r="BG91" s="120"/>
      <c r="BH91" s="125"/>
    </row>
    <row r="92" spans="1:60" s="36" customFormat="1" ht="23.25" customHeight="1" x14ac:dyDescent="0.3">
      <c r="A92" s="61">
        <v>88</v>
      </c>
      <c r="B92" s="66" t="str">
        <f t="shared" si="2"/>
        <v/>
      </c>
      <c r="C92" s="140"/>
      <c r="D92" s="126"/>
      <c r="E92" s="127" t="str">
        <f t="shared" si="3"/>
        <v/>
      </c>
      <c r="F92" s="128"/>
      <c r="G92" s="128"/>
      <c r="H92" s="129"/>
      <c r="I92" s="130"/>
      <c r="J92" s="131"/>
      <c r="K92" s="126"/>
      <c r="L92" s="140"/>
      <c r="M92" s="132"/>
      <c r="N92" s="133"/>
      <c r="O92" s="134"/>
      <c r="P92" s="135"/>
      <c r="Q92" s="136"/>
      <c r="R92" s="137"/>
      <c r="S92" s="138"/>
      <c r="T92" s="60"/>
      <c r="U92" s="87"/>
      <c r="V92" s="88"/>
      <c r="W92" s="88"/>
      <c r="X92" s="88"/>
      <c r="Y92" s="88"/>
      <c r="Z92" s="88"/>
      <c r="AA92" s="88"/>
      <c r="AB92" s="88"/>
      <c r="AC92" s="88"/>
      <c r="AD92" s="88"/>
      <c r="AE92" s="88"/>
      <c r="AF92" s="88"/>
      <c r="AG92" s="88"/>
      <c r="AH92" s="88"/>
      <c r="AI92" s="88"/>
      <c r="AJ92" s="88"/>
      <c r="AK92" s="125"/>
      <c r="AL92" s="112"/>
      <c r="AM92" s="112"/>
      <c r="AN92" s="112"/>
      <c r="AO92" s="112"/>
      <c r="AP92" s="112"/>
      <c r="AQ92" s="113"/>
      <c r="AR92" s="113"/>
      <c r="AS92" s="114"/>
      <c r="AT92" s="88"/>
      <c r="AU92" s="115"/>
      <c r="AV92" s="116"/>
      <c r="AW92" s="115"/>
      <c r="AX92" s="116"/>
      <c r="AY92" s="115"/>
      <c r="AZ92" s="116"/>
      <c r="BA92" s="115"/>
      <c r="BB92" s="116"/>
      <c r="BC92" s="117"/>
      <c r="BD92" s="118"/>
      <c r="BE92" s="119"/>
      <c r="BF92" s="120"/>
      <c r="BG92" s="120"/>
      <c r="BH92" s="125"/>
    </row>
    <row r="93" spans="1:60" s="36" customFormat="1" ht="23.25" customHeight="1" x14ac:dyDescent="0.3">
      <c r="A93" s="61">
        <v>89</v>
      </c>
      <c r="B93" s="66" t="str">
        <f t="shared" si="2"/>
        <v/>
      </c>
      <c r="C93" s="140"/>
      <c r="D93" s="126"/>
      <c r="E93" s="127" t="str">
        <f t="shared" si="3"/>
        <v/>
      </c>
      <c r="F93" s="128"/>
      <c r="G93" s="128"/>
      <c r="H93" s="129"/>
      <c r="I93" s="130"/>
      <c r="J93" s="131"/>
      <c r="K93" s="126"/>
      <c r="L93" s="140"/>
      <c r="M93" s="132"/>
      <c r="N93" s="133"/>
      <c r="O93" s="134"/>
      <c r="P93" s="135"/>
      <c r="Q93" s="136"/>
      <c r="R93" s="137"/>
      <c r="S93" s="138"/>
      <c r="T93" s="60"/>
      <c r="U93" s="87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88"/>
      <c r="AG93" s="88"/>
      <c r="AH93" s="88"/>
      <c r="AI93" s="88"/>
      <c r="AJ93" s="88"/>
      <c r="AK93" s="125"/>
      <c r="AL93" s="112"/>
      <c r="AM93" s="112"/>
      <c r="AN93" s="112"/>
      <c r="AO93" s="112"/>
      <c r="AP93" s="112"/>
      <c r="AQ93" s="113"/>
      <c r="AR93" s="113"/>
      <c r="AS93" s="114"/>
      <c r="AT93" s="88"/>
      <c r="AU93" s="115"/>
      <c r="AV93" s="116"/>
      <c r="AW93" s="115"/>
      <c r="AX93" s="116"/>
      <c r="AY93" s="115"/>
      <c r="AZ93" s="116"/>
      <c r="BA93" s="115"/>
      <c r="BB93" s="116"/>
      <c r="BC93" s="117"/>
      <c r="BD93" s="118"/>
      <c r="BE93" s="119"/>
      <c r="BF93" s="120"/>
      <c r="BG93" s="120"/>
      <c r="BH93" s="125"/>
    </row>
    <row r="94" spans="1:60" s="36" customFormat="1" ht="23.25" customHeight="1" x14ac:dyDescent="0.3">
      <c r="A94" s="61">
        <v>90</v>
      </c>
      <c r="B94" s="66" t="str">
        <f t="shared" si="2"/>
        <v/>
      </c>
      <c r="C94" s="140"/>
      <c r="D94" s="126"/>
      <c r="E94" s="127" t="str">
        <f t="shared" si="3"/>
        <v/>
      </c>
      <c r="F94" s="128"/>
      <c r="G94" s="128"/>
      <c r="H94" s="129"/>
      <c r="I94" s="130"/>
      <c r="J94" s="131"/>
      <c r="K94" s="126"/>
      <c r="L94" s="140"/>
      <c r="M94" s="132"/>
      <c r="N94" s="133"/>
      <c r="O94" s="134"/>
      <c r="P94" s="135"/>
      <c r="Q94" s="136"/>
      <c r="R94" s="137"/>
      <c r="S94" s="138"/>
      <c r="T94" s="60"/>
      <c r="U94" s="87"/>
      <c r="V94" s="88"/>
      <c r="W94" s="88"/>
      <c r="X94" s="88"/>
      <c r="Y94" s="88"/>
      <c r="Z94" s="88"/>
      <c r="AA94" s="88"/>
      <c r="AB94" s="88"/>
      <c r="AC94" s="88"/>
      <c r="AD94" s="88"/>
      <c r="AE94" s="88"/>
      <c r="AF94" s="88"/>
      <c r="AG94" s="88"/>
      <c r="AH94" s="88"/>
      <c r="AI94" s="88"/>
      <c r="AJ94" s="88"/>
      <c r="AK94" s="125"/>
      <c r="AL94" s="112"/>
      <c r="AM94" s="112"/>
      <c r="AN94" s="112"/>
      <c r="AO94" s="112"/>
      <c r="AP94" s="112"/>
      <c r="AQ94" s="113"/>
      <c r="AR94" s="113"/>
      <c r="AS94" s="114"/>
      <c r="AT94" s="88"/>
      <c r="AU94" s="115"/>
      <c r="AV94" s="116"/>
      <c r="AW94" s="115"/>
      <c r="AX94" s="116"/>
      <c r="AY94" s="115"/>
      <c r="AZ94" s="116"/>
      <c r="BA94" s="115"/>
      <c r="BB94" s="116"/>
      <c r="BC94" s="117"/>
      <c r="BD94" s="118"/>
      <c r="BE94" s="119"/>
      <c r="BF94" s="120"/>
      <c r="BG94" s="120"/>
      <c r="BH94" s="125"/>
    </row>
    <row r="95" spans="1:60" s="36" customFormat="1" ht="23.25" customHeight="1" x14ac:dyDescent="0.3">
      <c r="A95" s="61">
        <v>91</v>
      </c>
      <c r="B95" s="66" t="str">
        <f t="shared" si="2"/>
        <v/>
      </c>
      <c r="C95" s="140"/>
      <c r="D95" s="126"/>
      <c r="E95" s="127" t="str">
        <f t="shared" si="3"/>
        <v/>
      </c>
      <c r="F95" s="128"/>
      <c r="G95" s="128"/>
      <c r="H95" s="129"/>
      <c r="I95" s="130"/>
      <c r="J95" s="131"/>
      <c r="K95" s="126"/>
      <c r="L95" s="140"/>
      <c r="M95" s="132"/>
      <c r="N95" s="133"/>
      <c r="O95" s="134"/>
      <c r="P95" s="135"/>
      <c r="Q95" s="136"/>
      <c r="R95" s="137"/>
      <c r="S95" s="138"/>
      <c r="T95" s="60"/>
      <c r="U95" s="87"/>
      <c r="V95" s="88"/>
      <c r="W95" s="88"/>
      <c r="X95" s="88"/>
      <c r="Y95" s="88"/>
      <c r="Z95" s="88"/>
      <c r="AA95" s="88"/>
      <c r="AB95" s="88"/>
      <c r="AC95" s="88"/>
      <c r="AD95" s="88"/>
      <c r="AE95" s="88"/>
      <c r="AF95" s="88"/>
      <c r="AG95" s="88"/>
      <c r="AH95" s="88"/>
      <c r="AI95" s="88"/>
      <c r="AJ95" s="88"/>
      <c r="AK95" s="125"/>
      <c r="AL95" s="112"/>
      <c r="AM95" s="112"/>
      <c r="AN95" s="112"/>
      <c r="AO95" s="112"/>
      <c r="AP95" s="112"/>
      <c r="AQ95" s="113"/>
      <c r="AR95" s="113"/>
      <c r="AS95" s="114"/>
      <c r="AT95" s="88"/>
      <c r="AU95" s="115"/>
      <c r="AV95" s="116"/>
      <c r="AW95" s="115"/>
      <c r="AX95" s="116"/>
      <c r="AY95" s="115"/>
      <c r="AZ95" s="116"/>
      <c r="BA95" s="115"/>
      <c r="BB95" s="116"/>
      <c r="BC95" s="117"/>
      <c r="BD95" s="118"/>
      <c r="BE95" s="119"/>
      <c r="BF95" s="120"/>
      <c r="BG95" s="120"/>
      <c r="BH95" s="125"/>
    </row>
    <row r="96" spans="1:60" s="36" customFormat="1" ht="23.25" customHeight="1" x14ac:dyDescent="0.3">
      <c r="A96" s="61">
        <v>92</v>
      </c>
      <c r="B96" s="66" t="str">
        <f t="shared" si="2"/>
        <v/>
      </c>
      <c r="C96" s="140"/>
      <c r="D96" s="126"/>
      <c r="E96" s="127" t="str">
        <f t="shared" si="3"/>
        <v/>
      </c>
      <c r="F96" s="128"/>
      <c r="G96" s="128"/>
      <c r="H96" s="129"/>
      <c r="I96" s="130"/>
      <c r="J96" s="131"/>
      <c r="K96" s="126"/>
      <c r="L96" s="140"/>
      <c r="M96" s="132"/>
      <c r="N96" s="133"/>
      <c r="O96" s="134"/>
      <c r="P96" s="135"/>
      <c r="Q96" s="136"/>
      <c r="R96" s="137"/>
      <c r="S96" s="138"/>
      <c r="T96" s="60"/>
      <c r="U96" s="87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125"/>
      <c r="AL96" s="112"/>
      <c r="AM96" s="112"/>
      <c r="AN96" s="112"/>
      <c r="AO96" s="112"/>
      <c r="AP96" s="112"/>
      <c r="AQ96" s="113"/>
      <c r="AR96" s="113"/>
      <c r="AS96" s="114"/>
      <c r="AT96" s="88"/>
      <c r="AU96" s="115"/>
      <c r="AV96" s="116"/>
      <c r="AW96" s="115"/>
      <c r="AX96" s="116"/>
      <c r="AY96" s="115"/>
      <c r="AZ96" s="116"/>
      <c r="BA96" s="115"/>
      <c r="BB96" s="116"/>
      <c r="BC96" s="117"/>
      <c r="BD96" s="118"/>
      <c r="BE96" s="119"/>
      <c r="BF96" s="120"/>
      <c r="BG96" s="120"/>
      <c r="BH96" s="125"/>
    </row>
    <row r="97" spans="1:60" s="36" customFormat="1" ht="23.25" customHeight="1" x14ac:dyDescent="0.3">
      <c r="A97" s="61">
        <v>93</v>
      </c>
      <c r="B97" s="66" t="str">
        <f t="shared" si="2"/>
        <v/>
      </c>
      <c r="C97" s="140"/>
      <c r="D97" s="126"/>
      <c r="E97" s="127" t="str">
        <f t="shared" si="3"/>
        <v/>
      </c>
      <c r="F97" s="128"/>
      <c r="G97" s="128"/>
      <c r="H97" s="129"/>
      <c r="I97" s="130"/>
      <c r="J97" s="131"/>
      <c r="K97" s="126"/>
      <c r="L97" s="140"/>
      <c r="M97" s="132"/>
      <c r="N97" s="133"/>
      <c r="O97" s="134"/>
      <c r="P97" s="135"/>
      <c r="Q97" s="136"/>
      <c r="R97" s="137"/>
      <c r="S97" s="138"/>
      <c r="T97" s="60"/>
      <c r="U97" s="87"/>
      <c r="V97" s="88"/>
      <c r="W97" s="88"/>
      <c r="X97" s="88"/>
      <c r="Y97" s="88"/>
      <c r="Z97" s="88"/>
      <c r="AA97" s="88"/>
      <c r="AB97" s="88"/>
      <c r="AC97" s="88"/>
      <c r="AD97" s="88"/>
      <c r="AE97" s="88"/>
      <c r="AF97" s="88"/>
      <c r="AG97" s="88"/>
      <c r="AH97" s="88"/>
      <c r="AI97" s="88"/>
      <c r="AJ97" s="88"/>
      <c r="AK97" s="125"/>
      <c r="AL97" s="112"/>
      <c r="AM97" s="112"/>
      <c r="AN97" s="112"/>
      <c r="AO97" s="112"/>
      <c r="AP97" s="112"/>
      <c r="AQ97" s="113"/>
      <c r="AR97" s="113"/>
      <c r="AS97" s="114"/>
      <c r="AT97" s="88"/>
      <c r="AU97" s="115"/>
      <c r="AV97" s="116"/>
      <c r="AW97" s="115"/>
      <c r="AX97" s="116"/>
      <c r="AY97" s="115"/>
      <c r="AZ97" s="116"/>
      <c r="BA97" s="115"/>
      <c r="BB97" s="116"/>
      <c r="BC97" s="117"/>
      <c r="BD97" s="118"/>
      <c r="BE97" s="119"/>
      <c r="BF97" s="120"/>
      <c r="BG97" s="120"/>
      <c r="BH97" s="125"/>
    </row>
    <row r="98" spans="1:60" s="36" customFormat="1" ht="23.25" customHeight="1" x14ac:dyDescent="0.3">
      <c r="A98" s="61">
        <v>94</v>
      </c>
      <c r="B98" s="66" t="str">
        <f t="shared" si="2"/>
        <v/>
      </c>
      <c r="C98" s="140"/>
      <c r="D98" s="126"/>
      <c r="E98" s="127" t="str">
        <f t="shared" si="3"/>
        <v/>
      </c>
      <c r="F98" s="128"/>
      <c r="G98" s="128"/>
      <c r="H98" s="129"/>
      <c r="I98" s="130"/>
      <c r="J98" s="131"/>
      <c r="K98" s="126"/>
      <c r="L98" s="140"/>
      <c r="M98" s="132"/>
      <c r="N98" s="133"/>
      <c r="O98" s="134"/>
      <c r="P98" s="135"/>
      <c r="Q98" s="136"/>
      <c r="R98" s="137"/>
      <c r="S98" s="138"/>
      <c r="T98" s="60"/>
      <c r="U98" s="87"/>
      <c r="V98" s="88"/>
      <c r="W98" s="88"/>
      <c r="X98" s="88"/>
      <c r="Y98" s="88"/>
      <c r="Z98" s="88"/>
      <c r="AA98" s="88"/>
      <c r="AB98" s="88"/>
      <c r="AC98" s="88"/>
      <c r="AD98" s="88"/>
      <c r="AE98" s="88"/>
      <c r="AF98" s="88"/>
      <c r="AG98" s="88"/>
      <c r="AH98" s="88"/>
      <c r="AI98" s="88"/>
      <c r="AJ98" s="88"/>
      <c r="AK98" s="125"/>
      <c r="AL98" s="112"/>
      <c r="AM98" s="112"/>
      <c r="AN98" s="112"/>
      <c r="AO98" s="112"/>
      <c r="AP98" s="112"/>
      <c r="AQ98" s="113"/>
      <c r="AR98" s="113"/>
      <c r="AS98" s="114"/>
      <c r="AT98" s="88"/>
      <c r="AU98" s="115"/>
      <c r="AV98" s="116"/>
      <c r="AW98" s="115"/>
      <c r="AX98" s="116"/>
      <c r="AY98" s="115"/>
      <c r="AZ98" s="116"/>
      <c r="BA98" s="115"/>
      <c r="BB98" s="116"/>
      <c r="BC98" s="117"/>
      <c r="BD98" s="118"/>
      <c r="BE98" s="119"/>
      <c r="BF98" s="120"/>
      <c r="BG98" s="120"/>
      <c r="BH98" s="125"/>
    </row>
    <row r="99" spans="1:60" s="36" customFormat="1" ht="23.25" customHeight="1" x14ac:dyDescent="0.3">
      <c r="A99" s="61">
        <v>95</v>
      </c>
      <c r="B99" s="66" t="str">
        <f t="shared" si="2"/>
        <v/>
      </c>
      <c r="C99" s="140"/>
      <c r="D99" s="126"/>
      <c r="E99" s="127" t="str">
        <f t="shared" si="3"/>
        <v/>
      </c>
      <c r="F99" s="128"/>
      <c r="G99" s="128"/>
      <c r="H99" s="129"/>
      <c r="I99" s="130"/>
      <c r="J99" s="131"/>
      <c r="K99" s="126"/>
      <c r="L99" s="140"/>
      <c r="M99" s="132"/>
      <c r="N99" s="133"/>
      <c r="O99" s="134"/>
      <c r="P99" s="135"/>
      <c r="Q99" s="136"/>
      <c r="R99" s="137"/>
      <c r="S99" s="138"/>
      <c r="T99" s="60"/>
      <c r="U99" s="87"/>
      <c r="V99" s="88"/>
      <c r="W99" s="88"/>
      <c r="X99" s="88"/>
      <c r="Y99" s="88"/>
      <c r="Z99" s="88"/>
      <c r="AA99" s="88"/>
      <c r="AB99" s="88"/>
      <c r="AC99" s="88"/>
      <c r="AD99" s="88"/>
      <c r="AE99" s="88"/>
      <c r="AF99" s="88"/>
      <c r="AG99" s="88"/>
      <c r="AH99" s="88"/>
      <c r="AI99" s="88"/>
      <c r="AJ99" s="88"/>
      <c r="AK99" s="125"/>
      <c r="AL99" s="112"/>
      <c r="AM99" s="112"/>
      <c r="AN99" s="112"/>
      <c r="AO99" s="112"/>
      <c r="AP99" s="112"/>
      <c r="AQ99" s="113"/>
      <c r="AR99" s="113"/>
      <c r="AS99" s="114"/>
      <c r="AT99" s="88"/>
      <c r="AU99" s="115"/>
      <c r="AV99" s="116"/>
      <c r="AW99" s="115"/>
      <c r="AX99" s="116"/>
      <c r="AY99" s="115"/>
      <c r="AZ99" s="116"/>
      <c r="BA99" s="115"/>
      <c r="BB99" s="116"/>
      <c r="BC99" s="117"/>
      <c r="BD99" s="118"/>
      <c r="BE99" s="119"/>
      <c r="BF99" s="120"/>
      <c r="BG99" s="120"/>
      <c r="BH99" s="125"/>
    </row>
    <row r="100" spans="1:60" s="36" customFormat="1" ht="23.25" customHeight="1" x14ac:dyDescent="0.3">
      <c r="A100" s="61">
        <v>96</v>
      </c>
      <c r="B100" s="66" t="str">
        <f t="shared" si="2"/>
        <v/>
      </c>
      <c r="C100" s="140"/>
      <c r="D100" s="126"/>
      <c r="E100" s="127" t="str">
        <f t="shared" si="3"/>
        <v/>
      </c>
      <c r="F100" s="128"/>
      <c r="G100" s="128"/>
      <c r="H100" s="129"/>
      <c r="I100" s="130"/>
      <c r="J100" s="131"/>
      <c r="K100" s="126"/>
      <c r="L100" s="140"/>
      <c r="M100" s="132"/>
      <c r="N100" s="133"/>
      <c r="O100" s="134"/>
      <c r="P100" s="135"/>
      <c r="Q100" s="136"/>
      <c r="R100" s="137"/>
      <c r="S100" s="138"/>
      <c r="T100" s="60"/>
      <c r="U100" s="87"/>
      <c r="V100" s="88"/>
      <c r="W100" s="88"/>
      <c r="X100" s="88"/>
      <c r="Y100" s="88"/>
      <c r="Z100" s="88"/>
      <c r="AA100" s="88"/>
      <c r="AB100" s="88"/>
      <c r="AC100" s="88"/>
      <c r="AD100" s="88"/>
      <c r="AE100" s="88"/>
      <c r="AF100" s="88"/>
      <c r="AG100" s="88"/>
      <c r="AH100" s="88"/>
      <c r="AI100" s="88"/>
      <c r="AJ100" s="88"/>
      <c r="AK100" s="125"/>
      <c r="AL100" s="112"/>
      <c r="AM100" s="112"/>
      <c r="AN100" s="112"/>
      <c r="AO100" s="112"/>
      <c r="AP100" s="112"/>
      <c r="AQ100" s="113"/>
      <c r="AR100" s="113"/>
      <c r="AS100" s="114"/>
      <c r="AT100" s="88"/>
      <c r="AU100" s="115"/>
      <c r="AV100" s="116"/>
      <c r="AW100" s="115"/>
      <c r="AX100" s="116"/>
      <c r="AY100" s="115"/>
      <c r="AZ100" s="116"/>
      <c r="BA100" s="115"/>
      <c r="BB100" s="116"/>
      <c r="BC100" s="117"/>
      <c r="BD100" s="118"/>
      <c r="BE100" s="119"/>
      <c r="BF100" s="120"/>
      <c r="BG100" s="120"/>
      <c r="BH100" s="125"/>
    </row>
    <row r="101" spans="1:60" s="36" customFormat="1" ht="23.25" customHeight="1" x14ac:dyDescent="0.3">
      <c r="A101" s="61">
        <v>97</v>
      </c>
      <c r="B101" s="66" t="str">
        <f t="shared" si="2"/>
        <v/>
      </c>
      <c r="C101" s="140"/>
      <c r="D101" s="126"/>
      <c r="E101" s="127" t="str">
        <f t="shared" si="3"/>
        <v/>
      </c>
      <c r="F101" s="128"/>
      <c r="G101" s="128"/>
      <c r="H101" s="129"/>
      <c r="I101" s="130"/>
      <c r="J101" s="131"/>
      <c r="K101" s="126"/>
      <c r="L101" s="140"/>
      <c r="M101" s="132"/>
      <c r="N101" s="133"/>
      <c r="O101" s="134"/>
      <c r="P101" s="135"/>
      <c r="Q101" s="136"/>
      <c r="R101" s="137"/>
      <c r="S101" s="138"/>
      <c r="T101" s="60"/>
      <c r="U101" s="87"/>
      <c r="V101" s="88"/>
      <c r="W101" s="88"/>
      <c r="X101" s="88"/>
      <c r="Y101" s="88"/>
      <c r="Z101" s="88"/>
      <c r="AA101" s="88"/>
      <c r="AB101" s="88"/>
      <c r="AC101" s="88"/>
      <c r="AD101" s="88"/>
      <c r="AE101" s="88"/>
      <c r="AF101" s="88"/>
      <c r="AG101" s="88"/>
      <c r="AH101" s="88"/>
      <c r="AI101" s="88"/>
      <c r="AJ101" s="88"/>
      <c r="AK101" s="125"/>
      <c r="AL101" s="112"/>
      <c r="AM101" s="112"/>
      <c r="AN101" s="112"/>
      <c r="AO101" s="112"/>
      <c r="AP101" s="112"/>
      <c r="AQ101" s="113"/>
      <c r="AR101" s="113"/>
      <c r="AS101" s="114"/>
      <c r="AT101" s="88"/>
      <c r="AU101" s="115"/>
      <c r="AV101" s="116"/>
      <c r="AW101" s="115"/>
      <c r="AX101" s="116"/>
      <c r="AY101" s="115"/>
      <c r="AZ101" s="116"/>
      <c r="BA101" s="115"/>
      <c r="BB101" s="116"/>
      <c r="BC101" s="117"/>
      <c r="BD101" s="118"/>
      <c r="BE101" s="119"/>
      <c r="BF101" s="120"/>
      <c r="BG101" s="120"/>
      <c r="BH101" s="125"/>
    </row>
    <row r="102" spans="1:60" s="36" customFormat="1" ht="23.25" customHeight="1" x14ac:dyDescent="0.3">
      <c r="A102" s="61">
        <v>98</v>
      </c>
      <c r="B102" s="66" t="str">
        <f t="shared" si="2"/>
        <v/>
      </c>
      <c r="C102" s="140"/>
      <c r="D102" s="126"/>
      <c r="E102" s="127" t="str">
        <f t="shared" si="3"/>
        <v/>
      </c>
      <c r="F102" s="128"/>
      <c r="G102" s="128"/>
      <c r="H102" s="129"/>
      <c r="I102" s="130"/>
      <c r="J102" s="131"/>
      <c r="K102" s="126"/>
      <c r="L102" s="140"/>
      <c r="M102" s="132"/>
      <c r="N102" s="133"/>
      <c r="O102" s="134"/>
      <c r="P102" s="135"/>
      <c r="Q102" s="136"/>
      <c r="R102" s="137"/>
      <c r="S102" s="138"/>
      <c r="T102" s="60"/>
      <c r="U102" s="87"/>
      <c r="V102" s="88"/>
      <c r="W102" s="88"/>
      <c r="X102" s="88"/>
      <c r="Y102" s="88"/>
      <c r="Z102" s="88"/>
      <c r="AA102" s="88"/>
      <c r="AB102" s="88"/>
      <c r="AC102" s="88"/>
      <c r="AD102" s="88"/>
      <c r="AE102" s="88"/>
      <c r="AF102" s="88"/>
      <c r="AG102" s="88"/>
      <c r="AH102" s="88"/>
      <c r="AI102" s="88"/>
      <c r="AJ102" s="88"/>
      <c r="AK102" s="125"/>
      <c r="AL102" s="112"/>
      <c r="AM102" s="112"/>
      <c r="AN102" s="112"/>
      <c r="AO102" s="112"/>
      <c r="AP102" s="112"/>
      <c r="AQ102" s="113"/>
      <c r="AR102" s="113"/>
      <c r="AS102" s="114"/>
      <c r="AT102" s="88"/>
      <c r="AU102" s="115"/>
      <c r="AV102" s="116"/>
      <c r="AW102" s="115"/>
      <c r="AX102" s="116"/>
      <c r="AY102" s="115"/>
      <c r="AZ102" s="116"/>
      <c r="BA102" s="115"/>
      <c r="BB102" s="116"/>
      <c r="BC102" s="117"/>
      <c r="BD102" s="118"/>
      <c r="BE102" s="119"/>
      <c r="BF102" s="120"/>
      <c r="BG102" s="120"/>
      <c r="BH102" s="125"/>
    </row>
    <row r="103" spans="1:60" s="36" customFormat="1" ht="23.25" customHeight="1" x14ac:dyDescent="0.3">
      <c r="A103" s="61">
        <v>99</v>
      </c>
      <c r="B103" s="66" t="str">
        <f t="shared" si="2"/>
        <v/>
      </c>
      <c r="C103" s="140"/>
      <c r="D103" s="126"/>
      <c r="E103" s="127" t="str">
        <f t="shared" si="3"/>
        <v/>
      </c>
      <c r="F103" s="128"/>
      <c r="G103" s="128"/>
      <c r="H103" s="129"/>
      <c r="I103" s="130"/>
      <c r="J103" s="131"/>
      <c r="K103" s="126"/>
      <c r="L103" s="140"/>
      <c r="M103" s="132"/>
      <c r="N103" s="133"/>
      <c r="O103" s="134"/>
      <c r="P103" s="135"/>
      <c r="Q103" s="136"/>
      <c r="R103" s="137"/>
      <c r="S103" s="138"/>
      <c r="T103" s="60"/>
      <c r="U103" s="87"/>
      <c r="V103" s="88"/>
      <c r="W103" s="88"/>
      <c r="X103" s="88"/>
      <c r="Y103" s="88"/>
      <c r="Z103" s="88"/>
      <c r="AA103" s="88"/>
      <c r="AB103" s="88"/>
      <c r="AC103" s="88"/>
      <c r="AD103" s="88"/>
      <c r="AE103" s="88"/>
      <c r="AF103" s="88"/>
      <c r="AG103" s="88"/>
      <c r="AH103" s="88"/>
      <c r="AI103" s="88"/>
      <c r="AJ103" s="88"/>
      <c r="AK103" s="125"/>
      <c r="AL103" s="112"/>
      <c r="AM103" s="112"/>
      <c r="AN103" s="112"/>
      <c r="AO103" s="112"/>
      <c r="AP103" s="112"/>
      <c r="AQ103" s="113"/>
      <c r="AR103" s="113"/>
      <c r="AS103" s="114"/>
      <c r="AT103" s="88"/>
      <c r="AU103" s="115"/>
      <c r="AV103" s="116"/>
      <c r="AW103" s="115"/>
      <c r="AX103" s="116"/>
      <c r="AY103" s="115"/>
      <c r="AZ103" s="116"/>
      <c r="BA103" s="115"/>
      <c r="BB103" s="116"/>
      <c r="BC103" s="117"/>
      <c r="BD103" s="118"/>
      <c r="BE103" s="119"/>
      <c r="BF103" s="120"/>
      <c r="BG103" s="120"/>
      <c r="BH103" s="125"/>
    </row>
    <row r="104" spans="1:60" s="36" customFormat="1" ht="23.25" customHeight="1" x14ac:dyDescent="0.3">
      <c r="A104" s="61">
        <v>100</v>
      </c>
      <c r="B104" s="66" t="str">
        <f t="shared" si="2"/>
        <v/>
      </c>
      <c r="C104" s="140"/>
      <c r="D104" s="126"/>
      <c r="E104" s="127" t="str">
        <f t="shared" si="3"/>
        <v/>
      </c>
      <c r="F104" s="128"/>
      <c r="G104" s="128"/>
      <c r="H104" s="129"/>
      <c r="I104" s="130"/>
      <c r="J104" s="131"/>
      <c r="K104" s="126"/>
      <c r="L104" s="140"/>
      <c r="M104" s="132"/>
      <c r="N104" s="133"/>
      <c r="O104" s="134"/>
      <c r="P104" s="135"/>
      <c r="Q104" s="136"/>
      <c r="R104" s="137"/>
      <c r="S104" s="138"/>
      <c r="T104" s="60"/>
      <c r="U104" s="87"/>
      <c r="V104" s="88"/>
      <c r="W104" s="88"/>
      <c r="X104" s="88"/>
      <c r="Y104" s="88"/>
      <c r="Z104" s="88"/>
      <c r="AA104" s="88"/>
      <c r="AB104" s="88"/>
      <c r="AC104" s="88"/>
      <c r="AD104" s="88"/>
      <c r="AE104" s="88"/>
      <c r="AF104" s="88"/>
      <c r="AG104" s="88"/>
      <c r="AH104" s="88"/>
      <c r="AI104" s="88"/>
      <c r="AJ104" s="88"/>
      <c r="AK104" s="125"/>
      <c r="AL104" s="112"/>
      <c r="AM104" s="112"/>
      <c r="AN104" s="112"/>
      <c r="AO104" s="112"/>
      <c r="AP104" s="112"/>
      <c r="AQ104" s="113"/>
      <c r="AR104" s="113"/>
      <c r="AS104" s="114"/>
      <c r="AT104" s="88"/>
      <c r="AU104" s="115"/>
      <c r="AV104" s="116"/>
      <c r="AW104" s="115"/>
      <c r="AX104" s="116"/>
      <c r="AY104" s="115"/>
      <c r="AZ104" s="116"/>
      <c r="BA104" s="115"/>
      <c r="BB104" s="116"/>
      <c r="BC104" s="117"/>
      <c r="BD104" s="118"/>
      <c r="BE104" s="119"/>
      <c r="BF104" s="120"/>
      <c r="BG104" s="120"/>
      <c r="BH104" s="125"/>
    </row>
    <row r="105" spans="1:60" s="36" customFormat="1" ht="23.25" customHeight="1" x14ac:dyDescent="0.3">
      <c r="A105" s="61">
        <v>101</v>
      </c>
      <c r="B105" s="66" t="str">
        <f t="shared" si="2"/>
        <v/>
      </c>
      <c r="C105" s="140"/>
      <c r="D105" s="126"/>
      <c r="E105" s="127" t="str">
        <f t="shared" si="3"/>
        <v/>
      </c>
      <c r="F105" s="128"/>
      <c r="G105" s="128"/>
      <c r="H105" s="129"/>
      <c r="I105" s="130"/>
      <c r="J105" s="131"/>
      <c r="K105" s="126"/>
      <c r="L105" s="140"/>
      <c r="M105" s="132"/>
      <c r="N105" s="133"/>
      <c r="O105" s="134"/>
      <c r="P105" s="135"/>
      <c r="Q105" s="136"/>
      <c r="R105" s="137"/>
      <c r="S105" s="138"/>
      <c r="T105" s="60"/>
      <c r="U105" s="87"/>
      <c r="V105" s="88"/>
      <c r="W105" s="88"/>
      <c r="X105" s="88"/>
      <c r="Y105" s="88"/>
      <c r="Z105" s="88"/>
      <c r="AA105" s="88"/>
      <c r="AB105" s="88"/>
      <c r="AC105" s="88"/>
      <c r="AD105" s="88"/>
      <c r="AE105" s="88"/>
      <c r="AF105" s="88"/>
      <c r="AG105" s="88"/>
      <c r="AH105" s="88"/>
      <c r="AI105" s="88"/>
      <c r="AJ105" s="88"/>
      <c r="AK105" s="125"/>
      <c r="AL105" s="112"/>
      <c r="AM105" s="112"/>
      <c r="AN105" s="112"/>
      <c r="AO105" s="112"/>
      <c r="AP105" s="112"/>
      <c r="AQ105" s="113"/>
      <c r="AR105" s="113"/>
      <c r="AS105" s="114"/>
      <c r="AT105" s="88"/>
      <c r="AU105" s="115"/>
      <c r="AV105" s="116"/>
      <c r="AW105" s="115"/>
      <c r="AX105" s="116"/>
      <c r="AY105" s="115"/>
      <c r="AZ105" s="116"/>
      <c r="BA105" s="115"/>
      <c r="BB105" s="116"/>
      <c r="BC105" s="117"/>
      <c r="BD105" s="118"/>
      <c r="BE105" s="119"/>
      <c r="BF105" s="120"/>
      <c r="BG105" s="120"/>
      <c r="BH105" s="125"/>
    </row>
    <row r="106" spans="1:60" s="36" customFormat="1" ht="23.25" customHeight="1" x14ac:dyDescent="0.3">
      <c r="A106" s="61">
        <v>102</v>
      </c>
      <c r="B106" s="66" t="str">
        <f t="shared" si="2"/>
        <v/>
      </c>
      <c r="C106" s="140"/>
      <c r="D106" s="126"/>
      <c r="E106" s="127" t="str">
        <f t="shared" si="3"/>
        <v/>
      </c>
      <c r="F106" s="128"/>
      <c r="G106" s="128"/>
      <c r="H106" s="129"/>
      <c r="I106" s="130"/>
      <c r="J106" s="131"/>
      <c r="K106" s="126"/>
      <c r="L106" s="140"/>
      <c r="M106" s="132"/>
      <c r="N106" s="133"/>
      <c r="O106" s="134"/>
      <c r="P106" s="135"/>
      <c r="Q106" s="136"/>
      <c r="R106" s="137"/>
      <c r="S106" s="138"/>
      <c r="T106" s="60"/>
      <c r="U106" s="87"/>
      <c r="V106" s="88"/>
      <c r="W106" s="88"/>
      <c r="X106" s="88"/>
      <c r="Y106" s="88"/>
      <c r="Z106" s="88"/>
      <c r="AA106" s="88"/>
      <c r="AB106" s="88"/>
      <c r="AC106" s="88"/>
      <c r="AD106" s="88"/>
      <c r="AE106" s="88"/>
      <c r="AF106" s="88"/>
      <c r="AG106" s="88"/>
      <c r="AH106" s="88"/>
      <c r="AI106" s="88"/>
      <c r="AJ106" s="88"/>
      <c r="AK106" s="125"/>
      <c r="AL106" s="112"/>
      <c r="AM106" s="112"/>
      <c r="AN106" s="112"/>
      <c r="AO106" s="112"/>
      <c r="AP106" s="112"/>
      <c r="AQ106" s="113"/>
      <c r="AR106" s="113"/>
      <c r="AS106" s="114"/>
      <c r="AT106" s="88"/>
      <c r="AU106" s="115"/>
      <c r="AV106" s="116"/>
      <c r="AW106" s="115"/>
      <c r="AX106" s="116"/>
      <c r="AY106" s="115"/>
      <c r="AZ106" s="116"/>
      <c r="BA106" s="115"/>
      <c r="BB106" s="116"/>
      <c r="BC106" s="117"/>
      <c r="BD106" s="118"/>
      <c r="BE106" s="119"/>
      <c r="BF106" s="120"/>
      <c r="BG106" s="120"/>
      <c r="BH106" s="125"/>
    </row>
    <row r="107" spans="1:60" s="36" customFormat="1" ht="23.25" customHeight="1" x14ac:dyDescent="0.3">
      <c r="A107" s="61">
        <v>103</v>
      </c>
      <c r="B107" s="66" t="str">
        <f t="shared" si="2"/>
        <v/>
      </c>
      <c r="C107" s="140"/>
      <c r="D107" s="126"/>
      <c r="E107" s="127" t="str">
        <f t="shared" si="3"/>
        <v/>
      </c>
      <c r="F107" s="128"/>
      <c r="G107" s="128"/>
      <c r="H107" s="129"/>
      <c r="I107" s="130"/>
      <c r="J107" s="131"/>
      <c r="K107" s="126"/>
      <c r="L107" s="140"/>
      <c r="M107" s="132"/>
      <c r="N107" s="133"/>
      <c r="O107" s="134"/>
      <c r="P107" s="135"/>
      <c r="Q107" s="136"/>
      <c r="R107" s="137"/>
      <c r="S107" s="138"/>
      <c r="T107" s="60"/>
      <c r="U107" s="87"/>
      <c r="V107" s="88"/>
      <c r="W107" s="88"/>
      <c r="X107" s="88"/>
      <c r="Y107" s="88"/>
      <c r="Z107" s="88"/>
      <c r="AA107" s="88"/>
      <c r="AB107" s="88"/>
      <c r="AC107" s="88"/>
      <c r="AD107" s="88"/>
      <c r="AE107" s="88"/>
      <c r="AF107" s="88"/>
      <c r="AG107" s="88"/>
      <c r="AH107" s="88"/>
      <c r="AI107" s="88"/>
      <c r="AJ107" s="88"/>
      <c r="AK107" s="125"/>
      <c r="AL107" s="112"/>
      <c r="AM107" s="112"/>
      <c r="AN107" s="112"/>
      <c r="AO107" s="112"/>
      <c r="AP107" s="112"/>
      <c r="AQ107" s="113"/>
      <c r="AR107" s="113"/>
      <c r="AS107" s="114"/>
      <c r="AT107" s="88"/>
      <c r="AU107" s="115"/>
      <c r="AV107" s="116"/>
      <c r="AW107" s="115"/>
      <c r="AX107" s="116"/>
      <c r="AY107" s="115"/>
      <c r="AZ107" s="116"/>
      <c r="BA107" s="115"/>
      <c r="BB107" s="116"/>
      <c r="BC107" s="117"/>
      <c r="BD107" s="118"/>
      <c r="BE107" s="119"/>
      <c r="BF107" s="120"/>
      <c r="BG107" s="120"/>
      <c r="BH107" s="125"/>
    </row>
    <row r="108" spans="1:60" s="36" customFormat="1" ht="23.25" customHeight="1" x14ac:dyDescent="0.3">
      <c r="A108" s="61">
        <v>104</v>
      </c>
      <c r="B108" s="66" t="str">
        <f t="shared" si="2"/>
        <v/>
      </c>
      <c r="C108" s="140"/>
      <c r="D108" s="126"/>
      <c r="E108" s="127" t="str">
        <f t="shared" si="3"/>
        <v/>
      </c>
      <c r="F108" s="128"/>
      <c r="G108" s="128"/>
      <c r="H108" s="129"/>
      <c r="I108" s="130"/>
      <c r="J108" s="131"/>
      <c r="K108" s="126"/>
      <c r="L108" s="140"/>
      <c r="M108" s="132"/>
      <c r="N108" s="133"/>
      <c r="O108" s="134"/>
      <c r="P108" s="135"/>
      <c r="Q108" s="136"/>
      <c r="R108" s="137"/>
      <c r="S108" s="138"/>
      <c r="T108" s="60"/>
      <c r="U108" s="87"/>
      <c r="V108" s="88"/>
      <c r="W108" s="88"/>
      <c r="X108" s="88"/>
      <c r="Y108" s="88"/>
      <c r="Z108" s="88"/>
      <c r="AA108" s="88"/>
      <c r="AB108" s="88"/>
      <c r="AC108" s="88"/>
      <c r="AD108" s="88"/>
      <c r="AE108" s="88"/>
      <c r="AF108" s="88"/>
      <c r="AG108" s="88"/>
      <c r="AH108" s="88"/>
      <c r="AI108" s="88"/>
      <c r="AJ108" s="88"/>
      <c r="AK108" s="125"/>
      <c r="AL108" s="112"/>
      <c r="AM108" s="112"/>
      <c r="AN108" s="112"/>
      <c r="AO108" s="112"/>
      <c r="AP108" s="112"/>
      <c r="AQ108" s="113"/>
      <c r="AR108" s="113"/>
      <c r="AS108" s="114"/>
      <c r="AT108" s="88"/>
      <c r="AU108" s="115"/>
      <c r="AV108" s="116"/>
      <c r="AW108" s="115"/>
      <c r="AX108" s="116"/>
      <c r="AY108" s="115"/>
      <c r="AZ108" s="116"/>
      <c r="BA108" s="115"/>
      <c r="BB108" s="116"/>
      <c r="BC108" s="117"/>
      <c r="BD108" s="118"/>
      <c r="BE108" s="119"/>
      <c r="BF108" s="120"/>
      <c r="BG108" s="120"/>
      <c r="BH108" s="125"/>
    </row>
    <row r="109" spans="1:60" s="36" customFormat="1" ht="23.25" customHeight="1" x14ac:dyDescent="0.3">
      <c r="A109" s="61">
        <v>105</v>
      </c>
      <c r="B109" s="66" t="str">
        <f t="shared" si="2"/>
        <v/>
      </c>
      <c r="C109" s="140"/>
      <c r="D109" s="126"/>
      <c r="E109" s="127" t="str">
        <f t="shared" si="3"/>
        <v/>
      </c>
      <c r="F109" s="128"/>
      <c r="G109" s="128"/>
      <c r="H109" s="129"/>
      <c r="I109" s="130"/>
      <c r="J109" s="131"/>
      <c r="K109" s="126"/>
      <c r="L109" s="140"/>
      <c r="M109" s="132"/>
      <c r="N109" s="133"/>
      <c r="O109" s="134"/>
      <c r="P109" s="135"/>
      <c r="Q109" s="136"/>
      <c r="R109" s="137"/>
      <c r="S109" s="138"/>
      <c r="T109" s="60"/>
      <c r="U109" s="87"/>
      <c r="V109" s="88"/>
      <c r="W109" s="88"/>
      <c r="X109" s="88"/>
      <c r="Y109" s="88"/>
      <c r="Z109" s="88"/>
      <c r="AA109" s="88"/>
      <c r="AB109" s="88"/>
      <c r="AC109" s="88"/>
      <c r="AD109" s="88"/>
      <c r="AE109" s="88"/>
      <c r="AF109" s="88"/>
      <c r="AG109" s="88"/>
      <c r="AH109" s="88"/>
      <c r="AI109" s="88"/>
      <c r="AJ109" s="88"/>
      <c r="AK109" s="125"/>
      <c r="AL109" s="112"/>
      <c r="AM109" s="112"/>
      <c r="AN109" s="112"/>
      <c r="AO109" s="112"/>
      <c r="AP109" s="112"/>
      <c r="AQ109" s="113"/>
      <c r="AR109" s="113"/>
      <c r="AS109" s="114"/>
      <c r="AT109" s="88"/>
      <c r="AU109" s="115"/>
      <c r="AV109" s="116"/>
      <c r="AW109" s="115"/>
      <c r="AX109" s="116"/>
      <c r="AY109" s="115"/>
      <c r="AZ109" s="116"/>
      <c r="BA109" s="115"/>
      <c r="BB109" s="116"/>
      <c r="BC109" s="117"/>
      <c r="BD109" s="118"/>
      <c r="BE109" s="119"/>
      <c r="BF109" s="120"/>
      <c r="BG109" s="120"/>
      <c r="BH109" s="125"/>
    </row>
    <row r="110" spans="1:60" s="36" customFormat="1" ht="23.25" customHeight="1" x14ac:dyDescent="0.3">
      <c r="A110" s="61">
        <v>106</v>
      </c>
      <c r="B110" s="66" t="str">
        <f t="shared" si="2"/>
        <v/>
      </c>
      <c r="C110" s="140"/>
      <c r="D110" s="126"/>
      <c r="E110" s="127" t="str">
        <f t="shared" si="3"/>
        <v/>
      </c>
      <c r="F110" s="128"/>
      <c r="G110" s="128"/>
      <c r="H110" s="129"/>
      <c r="I110" s="130"/>
      <c r="J110" s="131"/>
      <c r="K110" s="126"/>
      <c r="L110" s="140"/>
      <c r="M110" s="132"/>
      <c r="N110" s="133"/>
      <c r="O110" s="134"/>
      <c r="P110" s="135"/>
      <c r="Q110" s="136"/>
      <c r="R110" s="137"/>
      <c r="S110" s="138"/>
      <c r="T110" s="60"/>
      <c r="U110" s="87"/>
      <c r="V110" s="88"/>
      <c r="W110" s="88"/>
      <c r="X110" s="88"/>
      <c r="Y110" s="88"/>
      <c r="Z110" s="88"/>
      <c r="AA110" s="88"/>
      <c r="AB110" s="88"/>
      <c r="AC110" s="88"/>
      <c r="AD110" s="88"/>
      <c r="AE110" s="88"/>
      <c r="AF110" s="88"/>
      <c r="AG110" s="88"/>
      <c r="AH110" s="88"/>
      <c r="AI110" s="88"/>
      <c r="AJ110" s="88"/>
      <c r="AK110" s="125"/>
      <c r="AL110" s="112"/>
      <c r="AM110" s="112"/>
      <c r="AN110" s="112"/>
      <c r="AO110" s="112"/>
      <c r="AP110" s="112"/>
      <c r="AQ110" s="113"/>
      <c r="AR110" s="113"/>
      <c r="AS110" s="114"/>
      <c r="AT110" s="88"/>
      <c r="AU110" s="115"/>
      <c r="AV110" s="116"/>
      <c r="AW110" s="115"/>
      <c r="AX110" s="116"/>
      <c r="AY110" s="115"/>
      <c r="AZ110" s="116"/>
      <c r="BA110" s="115"/>
      <c r="BB110" s="116"/>
      <c r="BC110" s="117"/>
      <c r="BD110" s="118"/>
      <c r="BE110" s="119"/>
      <c r="BF110" s="120"/>
      <c r="BG110" s="120"/>
      <c r="BH110" s="125"/>
    </row>
    <row r="111" spans="1:60" s="36" customFormat="1" ht="23.25" customHeight="1" x14ac:dyDescent="0.3">
      <c r="A111" s="61">
        <v>107</v>
      </c>
      <c r="B111" s="66" t="str">
        <f t="shared" si="2"/>
        <v/>
      </c>
      <c r="C111" s="140"/>
      <c r="D111" s="126"/>
      <c r="E111" s="127" t="str">
        <f t="shared" si="3"/>
        <v/>
      </c>
      <c r="F111" s="128"/>
      <c r="G111" s="128"/>
      <c r="H111" s="129"/>
      <c r="I111" s="130"/>
      <c r="J111" s="131"/>
      <c r="K111" s="126"/>
      <c r="L111" s="140"/>
      <c r="M111" s="132"/>
      <c r="N111" s="133"/>
      <c r="O111" s="134"/>
      <c r="P111" s="135"/>
      <c r="Q111" s="136"/>
      <c r="R111" s="137"/>
      <c r="S111" s="138"/>
      <c r="T111" s="60"/>
      <c r="U111" s="87"/>
      <c r="V111" s="88"/>
      <c r="W111" s="88"/>
      <c r="X111" s="88"/>
      <c r="Y111" s="88"/>
      <c r="Z111" s="88"/>
      <c r="AA111" s="88"/>
      <c r="AB111" s="88"/>
      <c r="AC111" s="88"/>
      <c r="AD111" s="88"/>
      <c r="AE111" s="88"/>
      <c r="AF111" s="88"/>
      <c r="AG111" s="88"/>
      <c r="AH111" s="88"/>
      <c r="AI111" s="88"/>
      <c r="AJ111" s="88"/>
      <c r="AK111" s="125"/>
      <c r="AL111" s="112"/>
      <c r="AM111" s="112"/>
      <c r="AN111" s="112"/>
      <c r="AO111" s="112"/>
      <c r="AP111" s="112"/>
      <c r="AQ111" s="113"/>
      <c r="AR111" s="113"/>
      <c r="AS111" s="114"/>
      <c r="AT111" s="88"/>
      <c r="AU111" s="115"/>
      <c r="AV111" s="116"/>
      <c r="AW111" s="115"/>
      <c r="AX111" s="116"/>
      <c r="AY111" s="115"/>
      <c r="AZ111" s="116"/>
      <c r="BA111" s="115"/>
      <c r="BB111" s="116"/>
      <c r="BC111" s="117"/>
      <c r="BD111" s="118"/>
      <c r="BE111" s="119"/>
      <c r="BF111" s="120"/>
      <c r="BG111" s="120"/>
      <c r="BH111" s="125"/>
    </row>
    <row r="112" spans="1:60" s="36" customFormat="1" ht="23.25" customHeight="1" x14ac:dyDescent="0.3">
      <c r="A112" s="61">
        <v>108</v>
      </c>
      <c r="B112" s="66" t="str">
        <f t="shared" si="2"/>
        <v/>
      </c>
      <c r="C112" s="140"/>
      <c r="D112" s="126"/>
      <c r="E112" s="127" t="str">
        <f t="shared" si="3"/>
        <v/>
      </c>
      <c r="F112" s="128"/>
      <c r="G112" s="128"/>
      <c r="H112" s="129"/>
      <c r="I112" s="130"/>
      <c r="J112" s="131"/>
      <c r="K112" s="126"/>
      <c r="L112" s="140"/>
      <c r="M112" s="132"/>
      <c r="N112" s="133"/>
      <c r="O112" s="134"/>
      <c r="P112" s="135"/>
      <c r="Q112" s="136"/>
      <c r="R112" s="137"/>
      <c r="S112" s="138"/>
      <c r="T112" s="60"/>
      <c r="U112" s="87"/>
      <c r="V112" s="88"/>
      <c r="W112" s="88"/>
      <c r="X112" s="88"/>
      <c r="Y112" s="88"/>
      <c r="Z112" s="88"/>
      <c r="AA112" s="88"/>
      <c r="AB112" s="88"/>
      <c r="AC112" s="88"/>
      <c r="AD112" s="88"/>
      <c r="AE112" s="88"/>
      <c r="AF112" s="88"/>
      <c r="AG112" s="88"/>
      <c r="AH112" s="88"/>
      <c r="AI112" s="88"/>
      <c r="AJ112" s="88"/>
      <c r="AK112" s="125"/>
      <c r="AL112" s="112"/>
      <c r="AM112" s="112"/>
      <c r="AN112" s="112"/>
      <c r="AO112" s="112"/>
      <c r="AP112" s="112"/>
      <c r="AQ112" s="113"/>
      <c r="AR112" s="113"/>
      <c r="AS112" s="114"/>
      <c r="AT112" s="88"/>
      <c r="AU112" s="115"/>
      <c r="AV112" s="116"/>
      <c r="AW112" s="115"/>
      <c r="AX112" s="116"/>
      <c r="AY112" s="115"/>
      <c r="AZ112" s="116"/>
      <c r="BA112" s="115"/>
      <c r="BB112" s="116"/>
      <c r="BC112" s="117"/>
      <c r="BD112" s="118"/>
      <c r="BE112" s="119"/>
      <c r="BF112" s="120"/>
      <c r="BG112" s="120"/>
      <c r="BH112" s="125"/>
    </row>
    <row r="113" spans="1:60" s="36" customFormat="1" ht="23.25" customHeight="1" x14ac:dyDescent="0.3">
      <c r="A113" s="61">
        <v>109</v>
      </c>
      <c r="B113" s="66" t="str">
        <f t="shared" si="2"/>
        <v/>
      </c>
      <c r="C113" s="140"/>
      <c r="D113" s="126"/>
      <c r="E113" s="127" t="str">
        <f t="shared" si="3"/>
        <v/>
      </c>
      <c r="F113" s="128"/>
      <c r="G113" s="128"/>
      <c r="H113" s="129"/>
      <c r="I113" s="130"/>
      <c r="J113" s="131"/>
      <c r="K113" s="126"/>
      <c r="L113" s="140"/>
      <c r="M113" s="132"/>
      <c r="N113" s="133"/>
      <c r="O113" s="134"/>
      <c r="P113" s="135"/>
      <c r="Q113" s="136"/>
      <c r="R113" s="137"/>
      <c r="S113" s="138"/>
      <c r="T113" s="60"/>
      <c r="U113" s="87"/>
      <c r="V113" s="88"/>
      <c r="W113" s="88"/>
      <c r="X113" s="88"/>
      <c r="Y113" s="88"/>
      <c r="Z113" s="88"/>
      <c r="AA113" s="88"/>
      <c r="AB113" s="88"/>
      <c r="AC113" s="88"/>
      <c r="AD113" s="88"/>
      <c r="AE113" s="88"/>
      <c r="AF113" s="88"/>
      <c r="AG113" s="88"/>
      <c r="AH113" s="88"/>
      <c r="AI113" s="88"/>
      <c r="AJ113" s="88"/>
      <c r="AK113" s="125"/>
      <c r="AL113" s="112"/>
      <c r="AM113" s="112"/>
      <c r="AN113" s="112"/>
      <c r="AO113" s="112"/>
      <c r="AP113" s="112"/>
      <c r="AQ113" s="113"/>
      <c r="AR113" s="113"/>
      <c r="AS113" s="114"/>
      <c r="AT113" s="88"/>
      <c r="AU113" s="115"/>
      <c r="AV113" s="116"/>
      <c r="AW113" s="115"/>
      <c r="AX113" s="116"/>
      <c r="AY113" s="115"/>
      <c r="AZ113" s="116"/>
      <c r="BA113" s="115"/>
      <c r="BB113" s="116"/>
      <c r="BC113" s="117"/>
      <c r="BD113" s="118"/>
      <c r="BE113" s="119"/>
      <c r="BF113" s="120"/>
      <c r="BG113" s="120"/>
      <c r="BH113" s="125"/>
    </row>
    <row r="114" spans="1:60" s="36" customFormat="1" ht="23.25" customHeight="1" x14ac:dyDescent="0.3">
      <c r="A114" s="61">
        <v>110</v>
      </c>
      <c r="B114" s="66" t="str">
        <f t="shared" si="2"/>
        <v/>
      </c>
      <c r="C114" s="140"/>
      <c r="D114" s="126"/>
      <c r="E114" s="127" t="str">
        <f t="shared" si="3"/>
        <v/>
      </c>
      <c r="F114" s="128"/>
      <c r="G114" s="128"/>
      <c r="H114" s="129"/>
      <c r="I114" s="130"/>
      <c r="J114" s="131"/>
      <c r="K114" s="126"/>
      <c r="L114" s="140"/>
      <c r="M114" s="132"/>
      <c r="N114" s="133"/>
      <c r="O114" s="134"/>
      <c r="P114" s="135"/>
      <c r="Q114" s="136"/>
      <c r="R114" s="137"/>
      <c r="S114" s="138"/>
      <c r="T114" s="60"/>
      <c r="U114" s="87"/>
      <c r="V114" s="88"/>
      <c r="W114" s="88"/>
      <c r="X114" s="88"/>
      <c r="Y114" s="88"/>
      <c r="Z114" s="88"/>
      <c r="AA114" s="88"/>
      <c r="AB114" s="88"/>
      <c r="AC114" s="88"/>
      <c r="AD114" s="88"/>
      <c r="AE114" s="88"/>
      <c r="AF114" s="88"/>
      <c r="AG114" s="88"/>
      <c r="AH114" s="88"/>
      <c r="AI114" s="88"/>
      <c r="AJ114" s="88"/>
      <c r="AK114" s="125"/>
      <c r="AL114" s="112"/>
      <c r="AM114" s="112"/>
      <c r="AN114" s="112"/>
      <c r="AO114" s="112"/>
      <c r="AP114" s="112"/>
      <c r="AQ114" s="113"/>
      <c r="AR114" s="113"/>
      <c r="AS114" s="114"/>
      <c r="AT114" s="88"/>
      <c r="AU114" s="115"/>
      <c r="AV114" s="116"/>
      <c r="AW114" s="115"/>
      <c r="AX114" s="116"/>
      <c r="AY114" s="115"/>
      <c r="AZ114" s="116"/>
      <c r="BA114" s="115"/>
      <c r="BB114" s="116"/>
      <c r="BC114" s="117"/>
      <c r="BD114" s="118"/>
      <c r="BE114" s="119"/>
      <c r="BF114" s="120"/>
      <c r="BG114" s="120"/>
      <c r="BH114" s="125"/>
    </row>
    <row r="115" spans="1:60" s="36" customFormat="1" ht="23.25" customHeight="1" x14ac:dyDescent="0.3">
      <c r="A115" s="61">
        <v>111</v>
      </c>
      <c r="B115" s="66" t="str">
        <f t="shared" si="2"/>
        <v/>
      </c>
      <c r="C115" s="140"/>
      <c r="D115" s="126"/>
      <c r="E115" s="127" t="str">
        <f t="shared" si="3"/>
        <v/>
      </c>
      <c r="F115" s="128"/>
      <c r="G115" s="128"/>
      <c r="H115" s="129"/>
      <c r="I115" s="130"/>
      <c r="J115" s="131"/>
      <c r="K115" s="126"/>
      <c r="L115" s="140"/>
      <c r="M115" s="132"/>
      <c r="N115" s="133"/>
      <c r="O115" s="134"/>
      <c r="P115" s="135"/>
      <c r="Q115" s="136"/>
      <c r="R115" s="137"/>
      <c r="S115" s="138"/>
      <c r="T115" s="60"/>
      <c r="U115" s="87"/>
      <c r="V115" s="88"/>
      <c r="W115" s="88"/>
      <c r="X115" s="88"/>
      <c r="Y115" s="88"/>
      <c r="Z115" s="88"/>
      <c r="AA115" s="88"/>
      <c r="AB115" s="88"/>
      <c r="AC115" s="88"/>
      <c r="AD115" s="88"/>
      <c r="AE115" s="88"/>
      <c r="AF115" s="88"/>
      <c r="AG115" s="88"/>
      <c r="AH115" s="88"/>
      <c r="AI115" s="88"/>
      <c r="AJ115" s="88"/>
      <c r="AK115" s="125"/>
      <c r="AL115" s="112"/>
      <c r="AM115" s="112"/>
      <c r="AN115" s="112"/>
      <c r="AO115" s="112"/>
      <c r="AP115" s="112"/>
      <c r="AQ115" s="113"/>
      <c r="AR115" s="113"/>
      <c r="AS115" s="114"/>
      <c r="AT115" s="88"/>
      <c r="AU115" s="115"/>
      <c r="AV115" s="116"/>
      <c r="AW115" s="115"/>
      <c r="AX115" s="116"/>
      <c r="AY115" s="115"/>
      <c r="AZ115" s="116"/>
      <c r="BA115" s="115"/>
      <c r="BB115" s="116"/>
      <c r="BC115" s="117"/>
      <c r="BD115" s="118"/>
      <c r="BE115" s="119"/>
      <c r="BF115" s="120"/>
      <c r="BG115" s="120"/>
      <c r="BH115" s="125"/>
    </row>
    <row r="116" spans="1:60" s="36" customFormat="1" ht="23.25" customHeight="1" x14ac:dyDescent="0.3">
      <c r="A116" s="61">
        <v>112</v>
      </c>
      <c r="B116" s="66" t="str">
        <f t="shared" si="2"/>
        <v/>
      </c>
      <c r="C116" s="140"/>
      <c r="D116" s="126"/>
      <c r="E116" s="127" t="str">
        <f t="shared" si="3"/>
        <v/>
      </c>
      <c r="F116" s="128"/>
      <c r="G116" s="128"/>
      <c r="H116" s="129"/>
      <c r="I116" s="130"/>
      <c r="J116" s="131"/>
      <c r="K116" s="126"/>
      <c r="L116" s="140"/>
      <c r="M116" s="132"/>
      <c r="N116" s="133"/>
      <c r="O116" s="134"/>
      <c r="P116" s="135"/>
      <c r="Q116" s="136"/>
      <c r="R116" s="137"/>
      <c r="S116" s="138"/>
      <c r="T116" s="60"/>
      <c r="U116" s="87"/>
      <c r="V116" s="88"/>
      <c r="W116" s="88"/>
      <c r="X116" s="88"/>
      <c r="Y116" s="88"/>
      <c r="Z116" s="88"/>
      <c r="AA116" s="88"/>
      <c r="AB116" s="88"/>
      <c r="AC116" s="88"/>
      <c r="AD116" s="88"/>
      <c r="AE116" s="88"/>
      <c r="AF116" s="88"/>
      <c r="AG116" s="88"/>
      <c r="AH116" s="88"/>
      <c r="AI116" s="88"/>
      <c r="AJ116" s="88"/>
      <c r="AK116" s="125"/>
      <c r="AL116" s="112"/>
      <c r="AM116" s="112"/>
      <c r="AN116" s="112"/>
      <c r="AO116" s="112"/>
      <c r="AP116" s="112"/>
      <c r="AQ116" s="113"/>
      <c r="AR116" s="113"/>
      <c r="AS116" s="114"/>
      <c r="AT116" s="88"/>
      <c r="AU116" s="115"/>
      <c r="AV116" s="116"/>
      <c r="AW116" s="115"/>
      <c r="AX116" s="116"/>
      <c r="AY116" s="115"/>
      <c r="AZ116" s="116"/>
      <c r="BA116" s="115"/>
      <c r="BB116" s="116"/>
      <c r="BC116" s="117"/>
      <c r="BD116" s="118"/>
      <c r="BE116" s="119"/>
      <c r="BF116" s="120"/>
      <c r="BG116" s="120"/>
      <c r="BH116" s="125"/>
    </row>
    <row r="117" spans="1:60" s="36" customFormat="1" ht="23.25" customHeight="1" x14ac:dyDescent="0.3">
      <c r="A117" s="61">
        <v>113</v>
      </c>
      <c r="B117" s="66" t="str">
        <f t="shared" si="2"/>
        <v/>
      </c>
      <c r="C117" s="140"/>
      <c r="D117" s="126"/>
      <c r="E117" s="127" t="str">
        <f t="shared" si="3"/>
        <v/>
      </c>
      <c r="F117" s="128"/>
      <c r="G117" s="128"/>
      <c r="H117" s="129"/>
      <c r="I117" s="130"/>
      <c r="J117" s="131"/>
      <c r="K117" s="126"/>
      <c r="L117" s="140"/>
      <c r="M117" s="132"/>
      <c r="N117" s="133"/>
      <c r="O117" s="134"/>
      <c r="P117" s="135"/>
      <c r="Q117" s="136"/>
      <c r="R117" s="137"/>
      <c r="S117" s="138"/>
      <c r="T117" s="60"/>
      <c r="U117" s="87"/>
      <c r="V117" s="88"/>
      <c r="W117" s="88"/>
      <c r="X117" s="88"/>
      <c r="Y117" s="88"/>
      <c r="Z117" s="88"/>
      <c r="AA117" s="88"/>
      <c r="AB117" s="88"/>
      <c r="AC117" s="88"/>
      <c r="AD117" s="88"/>
      <c r="AE117" s="88"/>
      <c r="AF117" s="88"/>
      <c r="AG117" s="88"/>
      <c r="AH117" s="88"/>
      <c r="AI117" s="88"/>
      <c r="AJ117" s="88"/>
      <c r="AK117" s="125"/>
      <c r="AL117" s="112"/>
      <c r="AM117" s="112"/>
      <c r="AN117" s="112"/>
      <c r="AO117" s="112"/>
      <c r="AP117" s="112"/>
      <c r="AQ117" s="113"/>
      <c r="AR117" s="113"/>
      <c r="AS117" s="114"/>
      <c r="AT117" s="88"/>
      <c r="AU117" s="115"/>
      <c r="AV117" s="116"/>
      <c r="AW117" s="115"/>
      <c r="AX117" s="116"/>
      <c r="AY117" s="115"/>
      <c r="AZ117" s="116"/>
      <c r="BA117" s="115"/>
      <c r="BB117" s="116"/>
      <c r="BC117" s="117"/>
      <c r="BD117" s="118"/>
      <c r="BE117" s="119"/>
      <c r="BF117" s="120"/>
      <c r="BG117" s="120"/>
      <c r="BH117" s="125"/>
    </row>
    <row r="118" spans="1:60" s="36" customFormat="1" ht="23.25" customHeight="1" x14ac:dyDescent="0.3">
      <c r="A118" s="61">
        <v>114</v>
      </c>
      <c r="B118" s="66" t="str">
        <f t="shared" si="2"/>
        <v/>
      </c>
      <c r="C118" s="140"/>
      <c r="D118" s="126"/>
      <c r="E118" s="127" t="str">
        <f t="shared" si="3"/>
        <v/>
      </c>
      <c r="F118" s="128"/>
      <c r="G118" s="128"/>
      <c r="H118" s="129"/>
      <c r="I118" s="130"/>
      <c r="J118" s="131"/>
      <c r="K118" s="126"/>
      <c r="L118" s="140"/>
      <c r="M118" s="132"/>
      <c r="N118" s="133"/>
      <c r="O118" s="134"/>
      <c r="P118" s="135"/>
      <c r="Q118" s="136"/>
      <c r="R118" s="137"/>
      <c r="S118" s="138"/>
      <c r="T118" s="60"/>
      <c r="U118" s="87"/>
      <c r="V118" s="88"/>
      <c r="W118" s="88"/>
      <c r="X118" s="88"/>
      <c r="Y118" s="88"/>
      <c r="Z118" s="88"/>
      <c r="AA118" s="88"/>
      <c r="AB118" s="88"/>
      <c r="AC118" s="88"/>
      <c r="AD118" s="88"/>
      <c r="AE118" s="88"/>
      <c r="AF118" s="88"/>
      <c r="AG118" s="88"/>
      <c r="AH118" s="88"/>
      <c r="AI118" s="88"/>
      <c r="AJ118" s="88"/>
      <c r="AK118" s="125"/>
      <c r="AL118" s="112"/>
      <c r="AM118" s="112"/>
      <c r="AN118" s="112"/>
      <c r="AO118" s="112"/>
      <c r="AP118" s="112"/>
      <c r="AQ118" s="113"/>
      <c r="AR118" s="113"/>
      <c r="AS118" s="114"/>
      <c r="AT118" s="88"/>
      <c r="AU118" s="115"/>
      <c r="AV118" s="116"/>
      <c r="AW118" s="115"/>
      <c r="AX118" s="116"/>
      <c r="AY118" s="115"/>
      <c r="AZ118" s="116"/>
      <c r="BA118" s="115"/>
      <c r="BB118" s="116"/>
      <c r="BC118" s="117"/>
      <c r="BD118" s="118"/>
      <c r="BE118" s="119"/>
      <c r="BF118" s="120"/>
      <c r="BG118" s="120"/>
      <c r="BH118" s="125"/>
    </row>
    <row r="119" spans="1:60" s="36" customFormat="1" ht="23.25" customHeight="1" x14ac:dyDescent="0.3">
      <c r="A119" s="61">
        <v>115</v>
      </c>
      <c r="B119" s="66" t="str">
        <f t="shared" si="2"/>
        <v/>
      </c>
      <c r="C119" s="140"/>
      <c r="D119" s="126"/>
      <c r="E119" s="127" t="str">
        <f t="shared" si="3"/>
        <v/>
      </c>
      <c r="F119" s="128"/>
      <c r="G119" s="128"/>
      <c r="H119" s="129"/>
      <c r="I119" s="130"/>
      <c r="J119" s="131"/>
      <c r="K119" s="126"/>
      <c r="L119" s="140"/>
      <c r="M119" s="132"/>
      <c r="N119" s="133"/>
      <c r="O119" s="134"/>
      <c r="P119" s="135"/>
      <c r="Q119" s="136"/>
      <c r="R119" s="137"/>
      <c r="S119" s="138"/>
      <c r="T119" s="60"/>
      <c r="U119" s="87"/>
      <c r="V119" s="88"/>
      <c r="W119" s="88"/>
      <c r="X119" s="88"/>
      <c r="Y119" s="88"/>
      <c r="Z119" s="88"/>
      <c r="AA119" s="88"/>
      <c r="AB119" s="88"/>
      <c r="AC119" s="88"/>
      <c r="AD119" s="88"/>
      <c r="AE119" s="88"/>
      <c r="AF119" s="88"/>
      <c r="AG119" s="88"/>
      <c r="AH119" s="88"/>
      <c r="AI119" s="88"/>
      <c r="AJ119" s="88"/>
      <c r="AK119" s="125"/>
      <c r="AL119" s="112"/>
      <c r="AM119" s="112"/>
      <c r="AN119" s="112"/>
      <c r="AO119" s="112"/>
      <c r="AP119" s="112"/>
      <c r="AQ119" s="113"/>
      <c r="AR119" s="113"/>
      <c r="AS119" s="114"/>
      <c r="AT119" s="88"/>
      <c r="AU119" s="115"/>
      <c r="AV119" s="116"/>
      <c r="AW119" s="115"/>
      <c r="AX119" s="116"/>
      <c r="AY119" s="115"/>
      <c r="AZ119" s="116"/>
      <c r="BA119" s="115"/>
      <c r="BB119" s="116"/>
      <c r="BC119" s="117"/>
      <c r="BD119" s="118"/>
      <c r="BE119" s="119"/>
      <c r="BF119" s="120"/>
      <c r="BG119" s="120"/>
      <c r="BH119" s="125"/>
    </row>
    <row r="120" spans="1:60" s="36" customFormat="1" ht="23.25" customHeight="1" x14ac:dyDescent="0.3">
      <c r="A120" s="61">
        <v>116</v>
      </c>
      <c r="B120" s="66" t="str">
        <f t="shared" si="2"/>
        <v/>
      </c>
      <c r="C120" s="140"/>
      <c r="D120" s="126"/>
      <c r="E120" s="127" t="str">
        <f t="shared" si="3"/>
        <v/>
      </c>
      <c r="F120" s="128"/>
      <c r="G120" s="128"/>
      <c r="H120" s="129"/>
      <c r="I120" s="130"/>
      <c r="J120" s="131"/>
      <c r="K120" s="126"/>
      <c r="L120" s="140"/>
      <c r="M120" s="132"/>
      <c r="N120" s="133"/>
      <c r="O120" s="134"/>
      <c r="P120" s="135"/>
      <c r="Q120" s="136"/>
      <c r="R120" s="137"/>
      <c r="S120" s="138"/>
      <c r="T120" s="60"/>
      <c r="U120" s="87"/>
      <c r="V120" s="88"/>
      <c r="W120" s="88"/>
      <c r="X120" s="88"/>
      <c r="Y120" s="88"/>
      <c r="Z120" s="88"/>
      <c r="AA120" s="88"/>
      <c r="AB120" s="88"/>
      <c r="AC120" s="88"/>
      <c r="AD120" s="88"/>
      <c r="AE120" s="88"/>
      <c r="AF120" s="88"/>
      <c r="AG120" s="88"/>
      <c r="AH120" s="88"/>
      <c r="AI120" s="88"/>
      <c r="AJ120" s="88"/>
      <c r="AK120" s="125"/>
      <c r="AL120" s="112"/>
      <c r="AM120" s="112"/>
      <c r="AN120" s="112"/>
      <c r="AO120" s="112"/>
      <c r="AP120" s="112"/>
      <c r="AQ120" s="113"/>
      <c r="AR120" s="113"/>
      <c r="AS120" s="114"/>
      <c r="AT120" s="88"/>
      <c r="AU120" s="115"/>
      <c r="AV120" s="116"/>
      <c r="AW120" s="115"/>
      <c r="AX120" s="116"/>
      <c r="AY120" s="115"/>
      <c r="AZ120" s="116"/>
      <c r="BA120" s="115"/>
      <c r="BB120" s="116"/>
      <c r="BC120" s="117"/>
      <c r="BD120" s="118"/>
      <c r="BE120" s="119"/>
      <c r="BF120" s="120"/>
      <c r="BG120" s="120"/>
      <c r="BH120" s="125"/>
    </row>
    <row r="121" spans="1:60" s="36" customFormat="1" ht="23.25" customHeight="1" x14ac:dyDescent="0.3">
      <c r="A121" s="61">
        <v>117</v>
      </c>
      <c r="B121" s="66" t="str">
        <f t="shared" si="2"/>
        <v/>
      </c>
      <c r="C121" s="140"/>
      <c r="D121" s="126"/>
      <c r="E121" s="127" t="str">
        <f t="shared" si="3"/>
        <v/>
      </c>
      <c r="F121" s="128"/>
      <c r="G121" s="128"/>
      <c r="H121" s="129"/>
      <c r="I121" s="130"/>
      <c r="J121" s="131"/>
      <c r="K121" s="126"/>
      <c r="L121" s="140"/>
      <c r="M121" s="132"/>
      <c r="N121" s="133"/>
      <c r="O121" s="134"/>
      <c r="P121" s="135"/>
      <c r="Q121" s="136"/>
      <c r="R121" s="137"/>
      <c r="S121" s="138"/>
      <c r="T121" s="60"/>
      <c r="U121" s="87"/>
      <c r="V121" s="88"/>
      <c r="W121" s="88"/>
      <c r="X121" s="88"/>
      <c r="Y121" s="88"/>
      <c r="Z121" s="88"/>
      <c r="AA121" s="88"/>
      <c r="AB121" s="88"/>
      <c r="AC121" s="88"/>
      <c r="AD121" s="88"/>
      <c r="AE121" s="88"/>
      <c r="AF121" s="88"/>
      <c r="AG121" s="88"/>
      <c r="AH121" s="88"/>
      <c r="AI121" s="88"/>
      <c r="AJ121" s="88"/>
      <c r="AK121" s="125"/>
      <c r="AL121" s="112"/>
      <c r="AM121" s="112"/>
      <c r="AN121" s="112"/>
      <c r="AO121" s="112"/>
      <c r="AP121" s="112"/>
      <c r="AQ121" s="113"/>
      <c r="AR121" s="113"/>
      <c r="AS121" s="114"/>
      <c r="AT121" s="88"/>
      <c r="AU121" s="115"/>
      <c r="AV121" s="116"/>
      <c r="AW121" s="115"/>
      <c r="AX121" s="116"/>
      <c r="AY121" s="115"/>
      <c r="AZ121" s="116"/>
      <c r="BA121" s="115"/>
      <c r="BB121" s="116"/>
      <c r="BC121" s="117"/>
      <c r="BD121" s="118"/>
      <c r="BE121" s="119"/>
      <c r="BF121" s="120"/>
      <c r="BG121" s="120"/>
      <c r="BH121" s="125"/>
    </row>
    <row r="122" spans="1:60" s="36" customFormat="1" ht="23.25" customHeight="1" x14ac:dyDescent="0.3">
      <c r="A122" s="61">
        <v>118</v>
      </c>
      <c r="B122" s="66" t="str">
        <f t="shared" si="2"/>
        <v/>
      </c>
      <c r="C122" s="140"/>
      <c r="D122" s="126"/>
      <c r="E122" s="127" t="str">
        <f t="shared" si="3"/>
        <v/>
      </c>
      <c r="F122" s="128"/>
      <c r="G122" s="128"/>
      <c r="H122" s="129"/>
      <c r="I122" s="130"/>
      <c r="J122" s="131"/>
      <c r="K122" s="126"/>
      <c r="L122" s="140"/>
      <c r="M122" s="132"/>
      <c r="N122" s="133"/>
      <c r="O122" s="134"/>
      <c r="P122" s="135"/>
      <c r="Q122" s="136"/>
      <c r="R122" s="137"/>
      <c r="S122" s="138"/>
      <c r="T122" s="60"/>
      <c r="U122" s="87"/>
      <c r="V122" s="88"/>
      <c r="W122" s="88"/>
      <c r="X122" s="88"/>
      <c r="Y122" s="88"/>
      <c r="Z122" s="88"/>
      <c r="AA122" s="88"/>
      <c r="AB122" s="88"/>
      <c r="AC122" s="88"/>
      <c r="AD122" s="88"/>
      <c r="AE122" s="88"/>
      <c r="AF122" s="88"/>
      <c r="AG122" s="88"/>
      <c r="AH122" s="88"/>
      <c r="AI122" s="88"/>
      <c r="AJ122" s="88"/>
      <c r="AK122" s="125"/>
      <c r="AL122" s="112"/>
      <c r="AM122" s="112"/>
      <c r="AN122" s="112"/>
      <c r="AO122" s="112"/>
      <c r="AP122" s="112"/>
      <c r="AQ122" s="113"/>
      <c r="AR122" s="113"/>
      <c r="AS122" s="114"/>
      <c r="AT122" s="88"/>
      <c r="AU122" s="115"/>
      <c r="AV122" s="116"/>
      <c r="AW122" s="115"/>
      <c r="AX122" s="116"/>
      <c r="AY122" s="115"/>
      <c r="AZ122" s="116"/>
      <c r="BA122" s="115"/>
      <c r="BB122" s="116"/>
      <c r="BC122" s="117"/>
      <c r="BD122" s="118"/>
      <c r="BE122" s="119"/>
      <c r="BF122" s="120"/>
      <c r="BG122" s="120"/>
      <c r="BH122" s="125"/>
    </row>
    <row r="123" spans="1:60" s="36" customFormat="1" ht="23.25" customHeight="1" x14ac:dyDescent="0.3">
      <c r="A123" s="61">
        <v>119</v>
      </c>
      <c r="B123" s="66" t="str">
        <f t="shared" si="2"/>
        <v/>
      </c>
      <c r="C123" s="140"/>
      <c r="D123" s="126"/>
      <c r="E123" s="127" t="str">
        <f t="shared" si="3"/>
        <v/>
      </c>
      <c r="F123" s="128"/>
      <c r="G123" s="128"/>
      <c r="H123" s="129"/>
      <c r="I123" s="130"/>
      <c r="J123" s="131"/>
      <c r="K123" s="126"/>
      <c r="L123" s="140"/>
      <c r="M123" s="132"/>
      <c r="N123" s="133"/>
      <c r="O123" s="134"/>
      <c r="P123" s="135"/>
      <c r="Q123" s="136"/>
      <c r="R123" s="137"/>
      <c r="S123" s="138"/>
      <c r="T123" s="60"/>
      <c r="U123" s="87"/>
      <c r="V123" s="88"/>
      <c r="W123" s="88"/>
      <c r="X123" s="88"/>
      <c r="Y123" s="88"/>
      <c r="Z123" s="88"/>
      <c r="AA123" s="88"/>
      <c r="AB123" s="88"/>
      <c r="AC123" s="88"/>
      <c r="AD123" s="88"/>
      <c r="AE123" s="88"/>
      <c r="AF123" s="88"/>
      <c r="AG123" s="88"/>
      <c r="AH123" s="88"/>
      <c r="AI123" s="88"/>
      <c r="AJ123" s="88"/>
      <c r="AK123" s="125"/>
      <c r="AL123" s="112"/>
      <c r="AM123" s="112"/>
      <c r="AN123" s="112"/>
      <c r="AO123" s="112"/>
      <c r="AP123" s="112"/>
      <c r="AQ123" s="113"/>
      <c r="AR123" s="113"/>
      <c r="AS123" s="114"/>
      <c r="AT123" s="88"/>
      <c r="AU123" s="115"/>
      <c r="AV123" s="116"/>
      <c r="AW123" s="115"/>
      <c r="AX123" s="116"/>
      <c r="AY123" s="115"/>
      <c r="AZ123" s="116"/>
      <c r="BA123" s="115"/>
      <c r="BB123" s="116"/>
      <c r="BC123" s="117"/>
      <c r="BD123" s="118"/>
      <c r="BE123" s="119"/>
      <c r="BF123" s="120"/>
      <c r="BG123" s="120"/>
      <c r="BH123" s="125"/>
    </row>
    <row r="124" spans="1:60" s="36" customFormat="1" ht="23.25" customHeight="1" x14ac:dyDescent="0.3">
      <c r="A124" s="61">
        <v>120</v>
      </c>
      <c r="B124" s="66" t="str">
        <f t="shared" si="2"/>
        <v/>
      </c>
      <c r="C124" s="140"/>
      <c r="D124" s="126"/>
      <c r="E124" s="127" t="str">
        <f t="shared" si="3"/>
        <v/>
      </c>
      <c r="F124" s="128"/>
      <c r="G124" s="128"/>
      <c r="H124" s="129"/>
      <c r="I124" s="130"/>
      <c r="J124" s="131"/>
      <c r="K124" s="126"/>
      <c r="L124" s="140"/>
      <c r="M124" s="132"/>
      <c r="N124" s="133"/>
      <c r="O124" s="134"/>
      <c r="P124" s="135"/>
      <c r="Q124" s="136"/>
      <c r="R124" s="137"/>
      <c r="S124" s="138"/>
      <c r="T124" s="60"/>
      <c r="U124" s="87"/>
      <c r="V124" s="88"/>
      <c r="W124" s="88"/>
      <c r="X124" s="88"/>
      <c r="Y124" s="88"/>
      <c r="Z124" s="88"/>
      <c r="AA124" s="88"/>
      <c r="AB124" s="88"/>
      <c r="AC124" s="88"/>
      <c r="AD124" s="88"/>
      <c r="AE124" s="88"/>
      <c r="AF124" s="88"/>
      <c r="AG124" s="88"/>
      <c r="AH124" s="88"/>
      <c r="AI124" s="88"/>
      <c r="AJ124" s="88"/>
      <c r="AK124" s="125"/>
      <c r="AL124" s="112"/>
      <c r="AM124" s="112"/>
      <c r="AN124" s="112"/>
      <c r="AO124" s="112"/>
      <c r="AP124" s="112"/>
      <c r="AQ124" s="113"/>
      <c r="AR124" s="113"/>
      <c r="AS124" s="114"/>
      <c r="AT124" s="88"/>
      <c r="AU124" s="115"/>
      <c r="AV124" s="116"/>
      <c r="AW124" s="115"/>
      <c r="AX124" s="116"/>
      <c r="AY124" s="115"/>
      <c r="AZ124" s="116"/>
      <c r="BA124" s="115"/>
      <c r="BB124" s="116"/>
      <c r="BC124" s="117"/>
      <c r="BD124" s="118"/>
      <c r="BE124" s="119"/>
      <c r="BF124" s="120"/>
      <c r="BG124" s="120"/>
      <c r="BH124" s="125"/>
    </row>
    <row r="125" spans="1:60" s="36" customFormat="1" ht="23.25" customHeight="1" x14ac:dyDescent="0.3">
      <c r="A125" s="61">
        <v>121</v>
      </c>
      <c r="B125" s="66" t="str">
        <f t="shared" si="2"/>
        <v/>
      </c>
      <c r="C125" s="140"/>
      <c r="D125" s="126"/>
      <c r="E125" s="127" t="str">
        <f t="shared" si="3"/>
        <v/>
      </c>
      <c r="F125" s="128"/>
      <c r="G125" s="128"/>
      <c r="H125" s="129"/>
      <c r="I125" s="130"/>
      <c r="J125" s="131"/>
      <c r="K125" s="126"/>
      <c r="L125" s="140"/>
      <c r="M125" s="132"/>
      <c r="N125" s="133"/>
      <c r="O125" s="134"/>
      <c r="P125" s="135"/>
      <c r="Q125" s="136"/>
      <c r="R125" s="137"/>
      <c r="S125" s="138"/>
      <c r="T125" s="60"/>
      <c r="U125" s="87"/>
      <c r="V125" s="88"/>
      <c r="W125" s="88"/>
      <c r="X125" s="88"/>
      <c r="Y125" s="88"/>
      <c r="Z125" s="88"/>
      <c r="AA125" s="88"/>
      <c r="AB125" s="88"/>
      <c r="AC125" s="88"/>
      <c r="AD125" s="88"/>
      <c r="AE125" s="88"/>
      <c r="AF125" s="88"/>
      <c r="AG125" s="88"/>
      <c r="AH125" s="88"/>
      <c r="AI125" s="88"/>
      <c r="AJ125" s="88"/>
      <c r="AK125" s="125"/>
      <c r="AL125" s="112"/>
      <c r="AM125" s="112"/>
      <c r="AN125" s="112"/>
      <c r="AO125" s="112"/>
      <c r="AP125" s="112"/>
      <c r="AQ125" s="113"/>
      <c r="AR125" s="113"/>
      <c r="AS125" s="114"/>
      <c r="AT125" s="88"/>
      <c r="AU125" s="115"/>
      <c r="AV125" s="116"/>
      <c r="AW125" s="115"/>
      <c r="AX125" s="116"/>
      <c r="AY125" s="115"/>
      <c r="AZ125" s="116"/>
      <c r="BA125" s="115"/>
      <c r="BB125" s="116"/>
      <c r="BC125" s="117"/>
      <c r="BD125" s="118"/>
      <c r="BE125" s="119"/>
      <c r="BF125" s="120"/>
      <c r="BG125" s="120"/>
      <c r="BH125" s="125"/>
    </row>
    <row r="126" spans="1:60" s="36" customFormat="1" ht="23.25" customHeight="1" x14ac:dyDescent="0.3">
      <c r="A126" s="61">
        <v>122</v>
      </c>
      <c r="B126" s="66" t="str">
        <f t="shared" si="2"/>
        <v/>
      </c>
      <c r="C126" s="140"/>
      <c r="D126" s="126"/>
      <c r="E126" s="127" t="str">
        <f t="shared" si="3"/>
        <v/>
      </c>
      <c r="F126" s="128"/>
      <c r="G126" s="128"/>
      <c r="H126" s="129"/>
      <c r="I126" s="130"/>
      <c r="J126" s="131"/>
      <c r="K126" s="126"/>
      <c r="L126" s="140"/>
      <c r="M126" s="132"/>
      <c r="N126" s="133"/>
      <c r="O126" s="134"/>
      <c r="P126" s="135"/>
      <c r="Q126" s="136"/>
      <c r="R126" s="137"/>
      <c r="S126" s="138"/>
      <c r="T126" s="60"/>
      <c r="U126" s="87"/>
      <c r="V126" s="88"/>
      <c r="W126" s="88"/>
      <c r="X126" s="88"/>
      <c r="Y126" s="88"/>
      <c r="Z126" s="88"/>
      <c r="AA126" s="88"/>
      <c r="AB126" s="88"/>
      <c r="AC126" s="88"/>
      <c r="AD126" s="88"/>
      <c r="AE126" s="88"/>
      <c r="AF126" s="88"/>
      <c r="AG126" s="88"/>
      <c r="AH126" s="88"/>
      <c r="AI126" s="88"/>
      <c r="AJ126" s="88"/>
      <c r="AK126" s="125"/>
      <c r="AL126" s="112"/>
      <c r="AM126" s="112"/>
      <c r="AN126" s="112"/>
      <c r="AO126" s="112"/>
      <c r="AP126" s="112"/>
      <c r="AQ126" s="113"/>
      <c r="AR126" s="113"/>
      <c r="AS126" s="114"/>
      <c r="AT126" s="88"/>
      <c r="AU126" s="115"/>
      <c r="AV126" s="116"/>
      <c r="AW126" s="115"/>
      <c r="AX126" s="116"/>
      <c r="AY126" s="115"/>
      <c r="AZ126" s="116"/>
      <c r="BA126" s="115"/>
      <c r="BB126" s="116"/>
      <c r="BC126" s="117"/>
      <c r="BD126" s="118"/>
      <c r="BE126" s="119"/>
      <c r="BF126" s="120"/>
      <c r="BG126" s="120"/>
      <c r="BH126" s="125"/>
    </row>
    <row r="127" spans="1:60" s="36" customFormat="1" ht="23.25" customHeight="1" x14ac:dyDescent="0.3">
      <c r="A127" s="61">
        <v>123</v>
      </c>
      <c r="B127" s="66" t="str">
        <f t="shared" si="2"/>
        <v/>
      </c>
      <c r="C127" s="140"/>
      <c r="D127" s="126"/>
      <c r="E127" s="127" t="str">
        <f t="shared" si="3"/>
        <v/>
      </c>
      <c r="F127" s="128"/>
      <c r="G127" s="128"/>
      <c r="H127" s="129"/>
      <c r="I127" s="130"/>
      <c r="J127" s="131"/>
      <c r="K127" s="126"/>
      <c r="L127" s="140"/>
      <c r="M127" s="132"/>
      <c r="N127" s="133"/>
      <c r="O127" s="134"/>
      <c r="P127" s="135"/>
      <c r="Q127" s="136"/>
      <c r="R127" s="137"/>
      <c r="S127" s="138"/>
      <c r="T127" s="60"/>
      <c r="U127" s="87"/>
      <c r="V127" s="88"/>
      <c r="W127" s="88"/>
      <c r="X127" s="88"/>
      <c r="Y127" s="88"/>
      <c r="Z127" s="88"/>
      <c r="AA127" s="88"/>
      <c r="AB127" s="88"/>
      <c r="AC127" s="88"/>
      <c r="AD127" s="88"/>
      <c r="AE127" s="88"/>
      <c r="AF127" s="88"/>
      <c r="AG127" s="88"/>
      <c r="AH127" s="88"/>
      <c r="AI127" s="88"/>
      <c r="AJ127" s="88"/>
      <c r="AK127" s="125"/>
      <c r="AL127" s="112"/>
      <c r="AM127" s="112"/>
      <c r="AN127" s="112"/>
      <c r="AO127" s="112"/>
      <c r="AP127" s="112"/>
      <c r="AQ127" s="113"/>
      <c r="AR127" s="113"/>
      <c r="AS127" s="114"/>
      <c r="AT127" s="88"/>
      <c r="AU127" s="115"/>
      <c r="AV127" s="116"/>
      <c r="AW127" s="115"/>
      <c r="AX127" s="116"/>
      <c r="AY127" s="115"/>
      <c r="AZ127" s="116"/>
      <c r="BA127" s="115"/>
      <c r="BB127" s="116"/>
      <c r="BC127" s="117"/>
      <c r="BD127" s="118"/>
      <c r="BE127" s="119"/>
      <c r="BF127" s="120"/>
      <c r="BG127" s="120"/>
      <c r="BH127" s="125"/>
    </row>
    <row r="128" spans="1:60" s="36" customFormat="1" ht="23.25" customHeight="1" x14ac:dyDescent="0.3">
      <c r="A128" s="61">
        <v>124</v>
      </c>
      <c r="B128" s="66" t="str">
        <f t="shared" si="2"/>
        <v/>
      </c>
      <c r="C128" s="140"/>
      <c r="D128" s="126"/>
      <c r="E128" s="127" t="str">
        <f t="shared" si="3"/>
        <v/>
      </c>
      <c r="F128" s="128"/>
      <c r="G128" s="128"/>
      <c r="H128" s="129"/>
      <c r="I128" s="130"/>
      <c r="J128" s="131"/>
      <c r="K128" s="126"/>
      <c r="L128" s="140"/>
      <c r="M128" s="132"/>
      <c r="N128" s="133"/>
      <c r="O128" s="134"/>
      <c r="P128" s="135"/>
      <c r="Q128" s="136"/>
      <c r="R128" s="137"/>
      <c r="S128" s="138"/>
      <c r="T128" s="60"/>
      <c r="U128" s="87"/>
      <c r="V128" s="88"/>
      <c r="W128" s="88"/>
      <c r="X128" s="88"/>
      <c r="Y128" s="88"/>
      <c r="Z128" s="88"/>
      <c r="AA128" s="88"/>
      <c r="AB128" s="88"/>
      <c r="AC128" s="88"/>
      <c r="AD128" s="88"/>
      <c r="AE128" s="88"/>
      <c r="AF128" s="88"/>
      <c r="AG128" s="88"/>
      <c r="AH128" s="88"/>
      <c r="AI128" s="88"/>
      <c r="AJ128" s="88"/>
      <c r="AK128" s="125"/>
      <c r="AL128" s="112"/>
      <c r="AM128" s="112"/>
      <c r="AN128" s="112"/>
      <c r="AO128" s="112"/>
      <c r="AP128" s="112"/>
      <c r="AQ128" s="113"/>
      <c r="AR128" s="113"/>
      <c r="AS128" s="114"/>
      <c r="AT128" s="88"/>
      <c r="AU128" s="115"/>
      <c r="AV128" s="116"/>
      <c r="AW128" s="115"/>
      <c r="AX128" s="116"/>
      <c r="AY128" s="115"/>
      <c r="AZ128" s="116"/>
      <c r="BA128" s="115"/>
      <c r="BB128" s="116"/>
      <c r="BC128" s="117"/>
      <c r="BD128" s="118"/>
      <c r="BE128" s="119"/>
      <c r="BF128" s="120"/>
      <c r="BG128" s="120"/>
      <c r="BH128" s="125"/>
    </row>
    <row r="129" spans="1:60" s="36" customFormat="1" ht="23.25" customHeight="1" x14ac:dyDescent="0.3">
      <c r="A129" s="61">
        <v>125</v>
      </c>
      <c r="B129" s="66" t="str">
        <f t="shared" si="2"/>
        <v/>
      </c>
      <c r="C129" s="140"/>
      <c r="D129" s="126"/>
      <c r="E129" s="127" t="str">
        <f t="shared" si="3"/>
        <v/>
      </c>
      <c r="F129" s="128"/>
      <c r="G129" s="128"/>
      <c r="H129" s="129"/>
      <c r="I129" s="130"/>
      <c r="J129" s="131"/>
      <c r="K129" s="126"/>
      <c r="L129" s="140"/>
      <c r="M129" s="132"/>
      <c r="N129" s="133"/>
      <c r="O129" s="134"/>
      <c r="P129" s="135"/>
      <c r="Q129" s="136"/>
      <c r="R129" s="137"/>
      <c r="S129" s="138"/>
      <c r="T129" s="60"/>
      <c r="U129" s="87"/>
      <c r="V129" s="88"/>
      <c r="W129" s="88"/>
      <c r="X129" s="88"/>
      <c r="Y129" s="88"/>
      <c r="Z129" s="88"/>
      <c r="AA129" s="88"/>
      <c r="AB129" s="88"/>
      <c r="AC129" s="88"/>
      <c r="AD129" s="88"/>
      <c r="AE129" s="88"/>
      <c r="AF129" s="88"/>
      <c r="AG129" s="88"/>
      <c r="AH129" s="88"/>
      <c r="AI129" s="88"/>
      <c r="AJ129" s="88"/>
      <c r="AK129" s="125"/>
      <c r="AL129" s="112"/>
      <c r="AM129" s="112"/>
      <c r="AN129" s="112"/>
      <c r="AO129" s="112"/>
      <c r="AP129" s="112"/>
      <c r="AQ129" s="113"/>
      <c r="AR129" s="113"/>
      <c r="AS129" s="114"/>
      <c r="AT129" s="88"/>
      <c r="AU129" s="115"/>
      <c r="AV129" s="116"/>
      <c r="AW129" s="115"/>
      <c r="AX129" s="116"/>
      <c r="AY129" s="115"/>
      <c r="AZ129" s="116"/>
      <c r="BA129" s="115"/>
      <c r="BB129" s="116"/>
      <c r="BC129" s="117"/>
      <c r="BD129" s="118"/>
      <c r="BE129" s="119"/>
      <c r="BF129" s="120"/>
      <c r="BG129" s="120"/>
      <c r="BH129" s="125"/>
    </row>
    <row r="130" spans="1:60" s="36" customFormat="1" ht="23.25" customHeight="1" x14ac:dyDescent="0.3">
      <c r="A130" s="61">
        <v>126</v>
      </c>
      <c r="B130" s="66" t="str">
        <f t="shared" si="2"/>
        <v/>
      </c>
      <c r="C130" s="140"/>
      <c r="D130" s="126"/>
      <c r="E130" s="127" t="str">
        <f t="shared" si="3"/>
        <v/>
      </c>
      <c r="F130" s="128"/>
      <c r="G130" s="128"/>
      <c r="H130" s="129"/>
      <c r="I130" s="130"/>
      <c r="J130" s="131"/>
      <c r="K130" s="126"/>
      <c r="L130" s="140"/>
      <c r="M130" s="132"/>
      <c r="N130" s="133"/>
      <c r="O130" s="134"/>
      <c r="P130" s="135"/>
      <c r="Q130" s="136"/>
      <c r="R130" s="137"/>
      <c r="S130" s="138"/>
      <c r="T130" s="60"/>
      <c r="U130" s="87"/>
      <c r="V130" s="88"/>
      <c r="W130" s="88"/>
      <c r="X130" s="88"/>
      <c r="Y130" s="88"/>
      <c r="Z130" s="88"/>
      <c r="AA130" s="88"/>
      <c r="AB130" s="88"/>
      <c r="AC130" s="88"/>
      <c r="AD130" s="88"/>
      <c r="AE130" s="88"/>
      <c r="AF130" s="88"/>
      <c r="AG130" s="88"/>
      <c r="AH130" s="88"/>
      <c r="AI130" s="88"/>
      <c r="AJ130" s="88"/>
      <c r="AK130" s="125"/>
      <c r="AL130" s="112"/>
      <c r="AM130" s="112"/>
      <c r="AN130" s="112"/>
      <c r="AO130" s="112"/>
      <c r="AP130" s="112"/>
      <c r="AQ130" s="113"/>
      <c r="AR130" s="113"/>
      <c r="AS130" s="114"/>
      <c r="AT130" s="88"/>
      <c r="AU130" s="115"/>
      <c r="AV130" s="116"/>
      <c r="AW130" s="115"/>
      <c r="AX130" s="116"/>
      <c r="AY130" s="115"/>
      <c r="AZ130" s="116"/>
      <c r="BA130" s="115"/>
      <c r="BB130" s="116"/>
      <c r="BC130" s="117"/>
      <c r="BD130" s="118"/>
      <c r="BE130" s="119"/>
      <c r="BF130" s="120"/>
      <c r="BG130" s="120"/>
      <c r="BH130" s="125"/>
    </row>
    <row r="131" spans="1:60" s="36" customFormat="1" ht="23.25" customHeight="1" x14ac:dyDescent="0.3">
      <c r="A131" s="61">
        <v>127</v>
      </c>
      <c r="B131" s="66" t="str">
        <f t="shared" si="2"/>
        <v/>
      </c>
      <c r="C131" s="140"/>
      <c r="D131" s="126"/>
      <c r="E131" s="127" t="str">
        <f t="shared" si="3"/>
        <v/>
      </c>
      <c r="F131" s="128"/>
      <c r="G131" s="128"/>
      <c r="H131" s="129"/>
      <c r="I131" s="130"/>
      <c r="J131" s="131"/>
      <c r="K131" s="126"/>
      <c r="L131" s="140"/>
      <c r="M131" s="132"/>
      <c r="N131" s="133"/>
      <c r="O131" s="134"/>
      <c r="P131" s="135"/>
      <c r="Q131" s="136"/>
      <c r="R131" s="137"/>
      <c r="S131" s="138"/>
      <c r="T131" s="60"/>
      <c r="U131" s="87"/>
      <c r="V131" s="88"/>
      <c r="W131" s="88"/>
      <c r="X131" s="88"/>
      <c r="Y131" s="88"/>
      <c r="Z131" s="88"/>
      <c r="AA131" s="88"/>
      <c r="AB131" s="88"/>
      <c r="AC131" s="88"/>
      <c r="AD131" s="88"/>
      <c r="AE131" s="88"/>
      <c r="AF131" s="88"/>
      <c r="AG131" s="88"/>
      <c r="AH131" s="88"/>
      <c r="AI131" s="88"/>
      <c r="AJ131" s="88"/>
      <c r="AK131" s="125"/>
      <c r="AL131" s="112"/>
      <c r="AM131" s="112"/>
      <c r="AN131" s="112"/>
      <c r="AO131" s="112"/>
      <c r="AP131" s="112"/>
      <c r="AQ131" s="113"/>
      <c r="AR131" s="113"/>
      <c r="AS131" s="114"/>
      <c r="AT131" s="88"/>
      <c r="AU131" s="115"/>
      <c r="AV131" s="116"/>
      <c r="AW131" s="115"/>
      <c r="AX131" s="116"/>
      <c r="AY131" s="115"/>
      <c r="AZ131" s="116"/>
      <c r="BA131" s="115"/>
      <c r="BB131" s="116"/>
      <c r="BC131" s="117"/>
      <c r="BD131" s="118"/>
      <c r="BE131" s="119"/>
      <c r="BF131" s="120"/>
      <c r="BG131" s="120"/>
      <c r="BH131" s="125"/>
    </row>
    <row r="132" spans="1:60" s="36" customFormat="1" ht="23.25" customHeight="1" x14ac:dyDescent="0.3">
      <c r="A132" s="61">
        <v>128</v>
      </c>
      <c r="B132" s="66" t="str">
        <f t="shared" si="2"/>
        <v/>
      </c>
      <c r="C132" s="140"/>
      <c r="D132" s="126"/>
      <c r="E132" s="127" t="str">
        <f t="shared" si="3"/>
        <v/>
      </c>
      <c r="F132" s="128"/>
      <c r="G132" s="128"/>
      <c r="H132" s="129"/>
      <c r="I132" s="130"/>
      <c r="J132" s="131"/>
      <c r="K132" s="126"/>
      <c r="L132" s="140"/>
      <c r="M132" s="132"/>
      <c r="N132" s="133"/>
      <c r="O132" s="134"/>
      <c r="P132" s="135"/>
      <c r="Q132" s="136"/>
      <c r="R132" s="137"/>
      <c r="S132" s="138"/>
      <c r="T132" s="60"/>
      <c r="U132" s="87"/>
      <c r="V132" s="88"/>
      <c r="W132" s="88"/>
      <c r="X132" s="88"/>
      <c r="Y132" s="88"/>
      <c r="Z132" s="88"/>
      <c r="AA132" s="88"/>
      <c r="AB132" s="88"/>
      <c r="AC132" s="88"/>
      <c r="AD132" s="88"/>
      <c r="AE132" s="88"/>
      <c r="AF132" s="88"/>
      <c r="AG132" s="88"/>
      <c r="AH132" s="88"/>
      <c r="AI132" s="88"/>
      <c r="AJ132" s="88"/>
      <c r="AK132" s="125"/>
      <c r="AL132" s="112"/>
      <c r="AM132" s="112"/>
      <c r="AN132" s="112"/>
      <c r="AO132" s="112"/>
      <c r="AP132" s="112"/>
      <c r="AQ132" s="113"/>
      <c r="AR132" s="113"/>
      <c r="AS132" s="114"/>
      <c r="AT132" s="88"/>
      <c r="AU132" s="115"/>
      <c r="AV132" s="116"/>
      <c r="AW132" s="115"/>
      <c r="AX132" s="116"/>
      <c r="AY132" s="115"/>
      <c r="AZ132" s="116"/>
      <c r="BA132" s="115"/>
      <c r="BB132" s="116"/>
      <c r="BC132" s="117"/>
      <c r="BD132" s="118"/>
      <c r="BE132" s="119"/>
      <c r="BF132" s="120"/>
      <c r="BG132" s="120"/>
      <c r="BH132" s="125"/>
    </row>
    <row r="133" spans="1:60" s="36" customFormat="1" ht="23.25" customHeight="1" x14ac:dyDescent="0.3">
      <c r="A133" s="61">
        <v>129</v>
      </c>
      <c r="B133" s="66" t="str">
        <f t="shared" si="2"/>
        <v/>
      </c>
      <c r="C133" s="140"/>
      <c r="D133" s="126"/>
      <c r="E133" s="127" t="str">
        <f t="shared" si="3"/>
        <v/>
      </c>
      <c r="F133" s="128"/>
      <c r="G133" s="128"/>
      <c r="H133" s="129"/>
      <c r="I133" s="130"/>
      <c r="J133" s="131"/>
      <c r="K133" s="126"/>
      <c r="L133" s="140"/>
      <c r="M133" s="132"/>
      <c r="N133" s="133"/>
      <c r="O133" s="134"/>
      <c r="P133" s="135"/>
      <c r="Q133" s="136"/>
      <c r="R133" s="137"/>
      <c r="S133" s="138"/>
      <c r="T133" s="60"/>
      <c r="U133" s="87"/>
      <c r="V133" s="88"/>
      <c r="W133" s="88"/>
      <c r="X133" s="88"/>
      <c r="Y133" s="88"/>
      <c r="Z133" s="88"/>
      <c r="AA133" s="88"/>
      <c r="AB133" s="88"/>
      <c r="AC133" s="88"/>
      <c r="AD133" s="88"/>
      <c r="AE133" s="88"/>
      <c r="AF133" s="88"/>
      <c r="AG133" s="88"/>
      <c r="AH133" s="88"/>
      <c r="AI133" s="88"/>
      <c r="AJ133" s="88"/>
      <c r="AK133" s="125"/>
      <c r="AL133" s="112"/>
      <c r="AM133" s="112"/>
      <c r="AN133" s="112"/>
      <c r="AO133" s="112"/>
      <c r="AP133" s="112"/>
      <c r="AQ133" s="113"/>
      <c r="AR133" s="113"/>
      <c r="AS133" s="114"/>
      <c r="AT133" s="88"/>
      <c r="AU133" s="115"/>
      <c r="AV133" s="116"/>
      <c r="AW133" s="115"/>
      <c r="AX133" s="116"/>
      <c r="AY133" s="115"/>
      <c r="AZ133" s="116"/>
      <c r="BA133" s="115"/>
      <c r="BB133" s="116"/>
      <c r="BC133" s="117"/>
      <c r="BD133" s="118"/>
      <c r="BE133" s="119"/>
      <c r="BF133" s="120"/>
      <c r="BG133" s="120"/>
      <c r="BH133" s="125"/>
    </row>
    <row r="134" spans="1:60" s="36" customFormat="1" ht="23.25" customHeight="1" x14ac:dyDescent="0.3">
      <c r="A134" s="61">
        <v>130</v>
      </c>
      <c r="B134" s="66" t="str">
        <f t="shared" ref="B134:B197" si="4">IF(E133="vul eerst tijd zetten in","check dan de datum",IF(OR(E133="",E133="check dan de datum"),"",IF(ISBLANK(D134),"vul eerst tijd zetten in",IF(D134&lt;D133,E133+1,E133))))</f>
        <v/>
      </c>
      <c r="C134" s="140"/>
      <c r="D134" s="126"/>
      <c r="E134" s="127" t="str">
        <f t="shared" si="3"/>
        <v/>
      </c>
      <c r="F134" s="128"/>
      <c r="G134" s="128"/>
      <c r="H134" s="129"/>
      <c r="I134" s="130"/>
      <c r="J134" s="131"/>
      <c r="K134" s="126"/>
      <c r="L134" s="140"/>
      <c r="M134" s="132"/>
      <c r="N134" s="133"/>
      <c r="O134" s="134"/>
      <c r="P134" s="135"/>
      <c r="Q134" s="136"/>
      <c r="R134" s="137"/>
      <c r="S134" s="138"/>
      <c r="T134" s="60"/>
      <c r="U134" s="87"/>
      <c r="V134" s="88"/>
      <c r="W134" s="88"/>
      <c r="X134" s="88"/>
      <c r="Y134" s="88"/>
      <c r="Z134" s="88"/>
      <c r="AA134" s="88"/>
      <c r="AB134" s="88"/>
      <c r="AC134" s="88"/>
      <c r="AD134" s="88"/>
      <c r="AE134" s="88"/>
      <c r="AF134" s="88"/>
      <c r="AG134" s="88"/>
      <c r="AH134" s="88"/>
      <c r="AI134" s="88"/>
      <c r="AJ134" s="88"/>
      <c r="AK134" s="125"/>
      <c r="AL134" s="112"/>
      <c r="AM134" s="112"/>
      <c r="AN134" s="112"/>
      <c r="AO134" s="112"/>
      <c r="AP134" s="112"/>
      <c r="AQ134" s="113"/>
      <c r="AR134" s="113"/>
      <c r="AS134" s="114"/>
      <c r="AT134" s="88"/>
      <c r="AU134" s="115"/>
      <c r="AV134" s="116"/>
      <c r="AW134" s="115"/>
      <c r="AX134" s="116"/>
      <c r="AY134" s="115"/>
      <c r="AZ134" s="116"/>
      <c r="BA134" s="115"/>
      <c r="BB134" s="116"/>
      <c r="BC134" s="117"/>
      <c r="BD134" s="118"/>
      <c r="BE134" s="119"/>
      <c r="BF134" s="120"/>
      <c r="BG134" s="120"/>
      <c r="BH134" s="125"/>
    </row>
    <row r="135" spans="1:60" s="36" customFormat="1" ht="23.25" customHeight="1" x14ac:dyDescent="0.3">
      <c r="A135" s="61">
        <v>131</v>
      </c>
      <c r="B135" s="66" t="str">
        <f t="shared" si="4"/>
        <v/>
      </c>
      <c r="C135" s="140"/>
      <c r="D135" s="126"/>
      <c r="E135" s="127" t="str">
        <f t="shared" ref="E135:E198" si="5">B135</f>
        <v/>
      </c>
      <c r="F135" s="128"/>
      <c r="G135" s="128"/>
      <c r="H135" s="129"/>
      <c r="I135" s="130"/>
      <c r="J135" s="131"/>
      <c r="K135" s="126"/>
      <c r="L135" s="140"/>
      <c r="M135" s="132"/>
      <c r="N135" s="133"/>
      <c r="O135" s="134"/>
      <c r="P135" s="135"/>
      <c r="Q135" s="136"/>
      <c r="R135" s="137"/>
      <c r="S135" s="138"/>
      <c r="T135" s="60"/>
      <c r="U135" s="87"/>
      <c r="V135" s="88"/>
      <c r="W135" s="88"/>
      <c r="X135" s="88"/>
      <c r="Y135" s="88"/>
      <c r="Z135" s="88"/>
      <c r="AA135" s="88"/>
      <c r="AB135" s="88"/>
      <c r="AC135" s="88"/>
      <c r="AD135" s="88"/>
      <c r="AE135" s="88"/>
      <c r="AF135" s="88"/>
      <c r="AG135" s="88"/>
      <c r="AH135" s="88"/>
      <c r="AI135" s="88"/>
      <c r="AJ135" s="88"/>
      <c r="AK135" s="125"/>
      <c r="AL135" s="112"/>
      <c r="AM135" s="112"/>
      <c r="AN135" s="112"/>
      <c r="AO135" s="112"/>
      <c r="AP135" s="112"/>
      <c r="AQ135" s="113"/>
      <c r="AR135" s="113"/>
      <c r="AS135" s="114"/>
      <c r="AT135" s="88"/>
      <c r="AU135" s="115"/>
      <c r="AV135" s="116"/>
      <c r="AW135" s="115"/>
      <c r="AX135" s="116"/>
      <c r="AY135" s="115"/>
      <c r="AZ135" s="116"/>
      <c r="BA135" s="115"/>
      <c r="BB135" s="116"/>
      <c r="BC135" s="117"/>
      <c r="BD135" s="118"/>
      <c r="BE135" s="119"/>
      <c r="BF135" s="120"/>
      <c r="BG135" s="120"/>
      <c r="BH135" s="125"/>
    </row>
    <row r="136" spans="1:60" s="36" customFormat="1" ht="23.25" customHeight="1" x14ac:dyDescent="0.3">
      <c r="A136" s="61">
        <v>132</v>
      </c>
      <c r="B136" s="66" t="str">
        <f t="shared" si="4"/>
        <v/>
      </c>
      <c r="C136" s="140"/>
      <c r="D136" s="126"/>
      <c r="E136" s="127" t="str">
        <f t="shared" si="5"/>
        <v/>
      </c>
      <c r="F136" s="128"/>
      <c r="G136" s="128"/>
      <c r="H136" s="129"/>
      <c r="I136" s="130"/>
      <c r="J136" s="131"/>
      <c r="K136" s="126"/>
      <c r="L136" s="140"/>
      <c r="M136" s="132"/>
      <c r="N136" s="133"/>
      <c r="O136" s="134"/>
      <c r="P136" s="135"/>
      <c r="Q136" s="136"/>
      <c r="R136" s="137"/>
      <c r="S136" s="138"/>
      <c r="T136" s="60"/>
      <c r="U136" s="87"/>
      <c r="V136" s="88"/>
      <c r="W136" s="88"/>
      <c r="X136" s="88"/>
      <c r="Y136" s="88"/>
      <c r="Z136" s="88"/>
      <c r="AA136" s="88"/>
      <c r="AB136" s="88"/>
      <c r="AC136" s="88"/>
      <c r="AD136" s="88"/>
      <c r="AE136" s="88"/>
      <c r="AF136" s="88"/>
      <c r="AG136" s="88"/>
      <c r="AH136" s="88"/>
      <c r="AI136" s="88"/>
      <c r="AJ136" s="88"/>
      <c r="AK136" s="125"/>
      <c r="AL136" s="112"/>
      <c r="AM136" s="112"/>
      <c r="AN136" s="112"/>
      <c r="AO136" s="112"/>
      <c r="AP136" s="112"/>
      <c r="AQ136" s="113"/>
      <c r="AR136" s="113"/>
      <c r="AS136" s="114"/>
      <c r="AT136" s="88"/>
      <c r="AU136" s="115"/>
      <c r="AV136" s="116"/>
      <c r="AW136" s="115"/>
      <c r="AX136" s="116"/>
      <c r="AY136" s="115"/>
      <c r="AZ136" s="116"/>
      <c r="BA136" s="115"/>
      <c r="BB136" s="116"/>
      <c r="BC136" s="117"/>
      <c r="BD136" s="118"/>
      <c r="BE136" s="119"/>
      <c r="BF136" s="120"/>
      <c r="BG136" s="120"/>
      <c r="BH136" s="125"/>
    </row>
    <row r="137" spans="1:60" s="36" customFormat="1" ht="23.25" customHeight="1" x14ac:dyDescent="0.3">
      <c r="A137" s="61">
        <v>133</v>
      </c>
      <c r="B137" s="66" t="str">
        <f t="shared" si="4"/>
        <v/>
      </c>
      <c r="C137" s="140"/>
      <c r="D137" s="126"/>
      <c r="E137" s="127" t="str">
        <f t="shared" si="5"/>
        <v/>
      </c>
      <c r="F137" s="128"/>
      <c r="G137" s="128"/>
      <c r="H137" s="129"/>
      <c r="I137" s="130"/>
      <c r="J137" s="131"/>
      <c r="K137" s="126"/>
      <c r="L137" s="140"/>
      <c r="M137" s="132"/>
      <c r="N137" s="133"/>
      <c r="O137" s="134"/>
      <c r="P137" s="135"/>
      <c r="Q137" s="136"/>
      <c r="R137" s="137"/>
      <c r="S137" s="138"/>
      <c r="T137" s="60"/>
      <c r="U137" s="87"/>
      <c r="V137" s="88"/>
      <c r="W137" s="88"/>
      <c r="X137" s="88"/>
      <c r="Y137" s="88"/>
      <c r="Z137" s="88"/>
      <c r="AA137" s="88"/>
      <c r="AB137" s="88"/>
      <c r="AC137" s="88"/>
      <c r="AD137" s="88"/>
      <c r="AE137" s="88"/>
      <c r="AF137" s="88"/>
      <c r="AG137" s="88"/>
      <c r="AH137" s="88"/>
      <c r="AI137" s="88"/>
      <c r="AJ137" s="88"/>
      <c r="AK137" s="125"/>
      <c r="AL137" s="112"/>
      <c r="AM137" s="112"/>
      <c r="AN137" s="112"/>
      <c r="AO137" s="112"/>
      <c r="AP137" s="112"/>
      <c r="AQ137" s="113"/>
      <c r="AR137" s="113"/>
      <c r="AS137" s="114"/>
      <c r="AT137" s="88"/>
      <c r="AU137" s="115"/>
      <c r="AV137" s="116"/>
      <c r="AW137" s="115"/>
      <c r="AX137" s="116"/>
      <c r="AY137" s="115"/>
      <c r="AZ137" s="116"/>
      <c r="BA137" s="115"/>
      <c r="BB137" s="116"/>
      <c r="BC137" s="117"/>
      <c r="BD137" s="118"/>
      <c r="BE137" s="119"/>
      <c r="BF137" s="120"/>
      <c r="BG137" s="120"/>
      <c r="BH137" s="125"/>
    </row>
    <row r="138" spans="1:60" s="36" customFormat="1" ht="23.25" customHeight="1" x14ac:dyDescent="0.3">
      <c r="A138" s="61">
        <v>134</v>
      </c>
      <c r="B138" s="66" t="str">
        <f t="shared" si="4"/>
        <v/>
      </c>
      <c r="C138" s="140"/>
      <c r="D138" s="126"/>
      <c r="E138" s="127" t="str">
        <f t="shared" si="5"/>
        <v/>
      </c>
      <c r="F138" s="128"/>
      <c r="G138" s="128"/>
      <c r="H138" s="129"/>
      <c r="I138" s="130"/>
      <c r="J138" s="131"/>
      <c r="K138" s="126"/>
      <c r="L138" s="140"/>
      <c r="M138" s="132"/>
      <c r="N138" s="133"/>
      <c r="O138" s="134"/>
      <c r="P138" s="135"/>
      <c r="Q138" s="136"/>
      <c r="R138" s="137"/>
      <c r="S138" s="138"/>
      <c r="T138" s="60"/>
      <c r="U138" s="87"/>
      <c r="V138" s="88"/>
      <c r="W138" s="88"/>
      <c r="X138" s="88"/>
      <c r="Y138" s="88"/>
      <c r="Z138" s="88"/>
      <c r="AA138" s="88"/>
      <c r="AB138" s="88"/>
      <c r="AC138" s="88"/>
      <c r="AD138" s="88"/>
      <c r="AE138" s="88"/>
      <c r="AF138" s="88"/>
      <c r="AG138" s="88"/>
      <c r="AH138" s="88"/>
      <c r="AI138" s="88"/>
      <c r="AJ138" s="88"/>
      <c r="AK138" s="125"/>
      <c r="AL138" s="112"/>
      <c r="AM138" s="112"/>
      <c r="AN138" s="112"/>
      <c r="AO138" s="112"/>
      <c r="AP138" s="112"/>
      <c r="AQ138" s="113"/>
      <c r="AR138" s="113"/>
      <c r="AS138" s="114"/>
      <c r="AT138" s="88"/>
      <c r="AU138" s="115"/>
      <c r="AV138" s="116"/>
      <c r="AW138" s="115"/>
      <c r="AX138" s="116"/>
      <c r="AY138" s="115"/>
      <c r="AZ138" s="116"/>
      <c r="BA138" s="115"/>
      <c r="BB138" s="116"/>
      <c r="BC138" s="117"/>
      <c r="BD138" s="118"/>
      <c r="BE138" s="119"/>
      <c r="BF138" s="120"/>
      <c r="BG138" s="120"/>
      <c r="BH138" s="125"/>
    </row>
    <row r="139" spans="1:60" s="36" customFormat="1" ht="23.25" customHeight="1" x14ac:dyDescent="0.3">
      <c r="A139" s="61">
        <v>135</v>
      </c>
      <c r="B139" s="66" t="str">
        <f t="shared" si="4"/>
        <v/>
      </c>
      <c r="C139" s="140"/>
      <c r="D139" s="126"/>
      <c r="E139" s="127" t="str">
        <f t="shared" si="5"/>
        <v/>
      </c>
      <c r="F139" s="128"/>
      <c r="G139" s="128"/>
      <c r="H139" s="129"/>
      <c r="I139" s="130"/>
      <c r="J139" s="131"/>
      <c r="K139" s="126"/>
      <c r="L139" s="140"/>
      <c r="M139" s="132"/>
      <c r="N139" s="133"/>
      <c r="O139" s="134"/>
      <c r="P139" s="135"/>
      <c r="Q139" s="136"/>
      <c r="R139" s="137"/>
      <c r="S139" s="138"/>
      <c r="T139" s="60"/>
      <c r="U139" s="87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125"/>
      <c r="AL139" s="112"/>
      <c r="AM139" s="112"/>
      <c r="AN139" s="112"/>
      <c r="AO139" s="112"/>
      <c r="AP139" s="112"/>
      <c r="AQ139" s="113"/>
      <c r="AR139" s="113"/>
      <c r="AS139" s="114"/>
      <c r="AT139" s="88"/>
      <c r="AU139" s="115"/>
      <c r="AV139" s="116"/>
      <c r="AW139" s="115"/>
      <c r="AX139" s="116"/>
      <c r="AY139" s="115"/>
      <c r="AZ139" s="116"/>
      <c r="BA139" s="115"/>
      <c r="BB139" s="116"/>
      <c r="BC139" s="117"/>
      <c r="BD139" s="118"/>
      <c r="BE139" s="119"/>
      <c r="BF139" s="120"/>
      <c r="BG139" s="120"/>
      <c r="BH139" s="125"/>
    </row>
    <row r="140" spans="1:60" s="36" customFormat="1" ht="23.25" customHeight="1" x14ac:dyDescent="0.3">
      <c r="A140" s="61">
        <v>136</v>
      </c>
      <c r="B140" s="66" t="str">
        <f t="shared" si="4"/>
        <v/>
      </c>
      <c r="C140" s="140"/>
      <c r="D140" s="126"/>
      <c r="E140" s="127" t="str">
        <f t="shared" si="5"/>
        <v/>
      </c>
      <c r="F140" s="128"/>
      <c r="G140" s="128"/>
      <c r="H140" s="129"/>
      <c r="I140" s="130"/>
      <c r="J140" s="131"/>
      <c r="K140" s="126"/>
      <c r="L140" s="140"/>
      <c r="M140" s="132"/>
      <c r="N140" s="133"/>
      <c r="O140" s="134"/>
      <c r="P140" s="135"/>
      <c r="Q140" s="136"/>
      <c r="R140" s="137"/>
      <c r="S140" s="138"/>
      <c r="T140" s="60"/>
      <c r="U140" s="87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125"/>
      <c r="AL140" s="112"/>
      <c r="AM140" s="112"/>
      <c r="AN140" s="112"/>
      <c r="AO140" s="112"/>
      <c r="AP140" s="112"/>
      <c r="AQ140" s="113"/>
      <c r="AR140" s="113"/>
      <c r="AS140" s="114"/>
      <c r="AT140" s="88"/>
      <c r="AU140" s="115"/>
      <c r="AV140" s="116"/>
      <c r="AW140" s="115"/>
      <c r="AX140" s="116"/>
      <c r="AY140" s="115"/>
      <c r="AZ140" s="116"/>
      <c r="BA140" s="115"/>
      <c r="BB140" s="116"/>
      <c r="BC140" s="117"/>
      <c r="BD140" s="118"/>
      <c r="BE140" s="119"/>
      <c r="BF140" s="120"/>
      <c r="BG140" s="120"/>
      <c r="BH140" s="125"/>
    </row>
    <row r="141" spans="1:60" s="36" customFormat="1" ht="23.25" customHeight="1" x14ac:dyDescent="0.3">
      <c r="A141" s="61">
        <v>137</v>
      </c>
      <c r="B141" s="66" t="str">
        <f t="shared" si="4"/>
        <v/>
      </c>
      <c r="C141" s="140"/>
      <c r="D141" s="126"/>
      <c r="E141" s="127" t="str">
        <f t="shared" si="5"/>
        <v/>
      </c>
      <c r="F141" s="128"/>
      <c r="G141" s="128"/>
      <c r="H141" s="129"/>
      <c r="I141" s="130"/>
      <c r="J141" s="131"/>
      <c r="K141" s="126"/>
      <c r="L141" s="140"/>
      <c r="M141" s="132"/>
      <c r="N141" s="133"/>
      <c r="O141" s="134"/>
      <c r="P141" s="135"/>
      <c r="Q141" s="136"/>
      <c r="R141" s="137"/>
      <c r="S141" s="138"/>
      <c r="T141" s="60"/>
      <c r="U141" s="87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125"/>
      <c r="AL141" s="112"/>
      <c r="AM141" s="112"/>
      <c r="AN141" s="112"/>
      <c r="AO141" s="112"/>
      <c r="AP141" s="112"/>
      <c r="AQ141" s="113"/>
      <c r="AR141" s="113"/>
      <c r="AS141" s="114"/>
      <c r="AT141" s="88"/>
      <c r="AU141" s="115"/>
      <c r="AV141" s="116"/>
      <c r="AW141" s="115"/>
      <c r="AX141" s="116"/>
      <c r="AY141" s="115"/>
      <c r="AZ141" s="116"/>
      <c r="BA141" s="115"/>
      <c r="BB141" s="116"/>
      <c r="BC141" s="117"/>
      <c r="BD141" s="118"/>
      <c r="BE141" s="119"/>
      <c r="BF141" s="120"/>
      <c r="BG141" s="120"/>
      <c r="BH141" s="125"/>
    </row>
    <row r="142" spans="1:60" s="36" customFormat="1" ht="23.25" customHeight="1" x14ac:dyDescent="0.3">
      <c r="A142" s="61">
        <v>138</v>
      </c>
      <c r="B142" s="66" t="str">
        <f t="shared" si="4"/>
        <v/>
      </c>
      <c r="C142" s="140"/>
      <c r="D142" s="126"/>
      <c r="E142" s="127" t="str">
        <f t="shared" si="5"/>
        <v/>
      </c>
      <c r="F142" s="128"/>
      <c r="G142" s="128"/>
      <c r="H142" s="129"/>
      <c r="I142" s="130"/>
      <c r="J142" s="131"/>
      <c r="K142" s="126"/>
      <c r="L142" s="140"/>
      <c r="M142" s="132"/>
      <c r="N142" s="133"/>
      <c r="O142" s="134"/>
      <c r="P142" s="135"/>
      <c r="Q142" s="136"/>
      <c r="R142" s="137"/>
      <c r="S142" s="138"/>
      <c r="T142" s="60"/>
      <c r="U142" s="87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125"/>
      <c r="AL142" s="112"/>
      <c r="AM142" s="112"/>
      <c r="AN142" s="112"/>
      <c r="AO142" s="112"/>
      <c r="AP142" s="112"/>
      <c r="AQ142" s="113"/>
      <c r="AR142" s="113"/>
      <c r="AS142" s="114"/>
      <c r="AT142" s="88"/>
      <c r="AU142" s="115"/>
      <c r="AV142" s="116"/>
      <c r="AW142" s="115"/>
      <c r="AX142" s="116"/>
      <c r="AY142" s="115"/>
      <c r="AZ142" s="116"/>
      <c r="BA142" s="115"/>
      <c r="BB142" s="116"/>
      <c r="BC142" s="117"/>
      <c r="BD142" s="118"/>
      <c r="BE142" s="119"/>
      <c r="BF142" s="120"/>
      <c r="BG142" s="120"/>
      <c r="BH142" s="125"/>
    </row>
    <row r="143" spans="1:60" s="36" customFormat="1" ht="23.25" customHeight="1" x14ac:dyDescent="0.3">
      <c r="A143" s="61">
        <v>139</v>
      </c>
      <c r="B143" s="66" t="str">
        <f t="shared" si="4"/>
        <v/>
      </c>
      <c r="C143" s="140"/>
      <c r="D143" s="126"/>
      <c r="E143" s="127" t="str">
        <f t="shared" si="5"/>
        <v/>
      </c>
      <c r="F143" s="128"/>
      <c r="G143" s="128"/>
      <c r="H143" s="129"/>
      <c r="I143" s="130"/>
      <c r="J143" s="131"/>
      <c r="K143" s="126"/>
      <c r="L143" s="140"/>
      <c r="M143" s="132"/>
      <c r="N143" s="133"/>
      <c r="O143" s="134"/>
      <c r="P143" s="135"/>
      <c r="Q143" s="136"/>
      <c r="R143" s="137"/>
      <c r="S143" s="138"/>
      <c r="T143" s="60"/>
      <c r="U143" s="87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125"/>
      <c r="AL143" s="112"/>
      <c r="AM143" s="112"/>
      <c r="AN143" s="112"/>
      <c r="AO143" s="112"/>
      <c r="AP143" s="112"/>
      <c r="AQ143" s="113"/>
      <c r="AR143" s="113"/>
      <c r="AS143" s="114"/>
      <c r="AT143" s="88"/>
      <c r="AU143" s="115"/>
      <c r="AV143" s="116"/>
      <c r="AW143" s="115"/>
      <c r="AX143" s="116"/>
      <c r="AY143" s="115"/>
      <c r="AZ143" s="116"/>
      <c r="BA143" s="115"/>
      <c r="BB143" s="116"/>
      <c r="BC143" s="117"/>
      <c r="BD143" s="118"/>
      <c r="BE143" s="119"/>
      <c r="BF143" s="120"/>
      <c r="BG143" s="120"/>
      <c r="BH143" s="125"/>
    </row>
    <row r="144" spans="1:60" s="36" customFormat="1" ht="23.25" customHeight="1" x14ac:dyDescent="0.3">
      <c r="A144" s="61">
        <v>140</v>
      </c>
      <c r="B144" s="66" t="str">
        <f t="shared" si="4"/>
        <v/>
      </c>
      <c r="C144" s="140"/>
      <c r="D144" s="126"/>
      <c r="E144" s="127" t="str">
        <f t="shared" si="5"/>
        <v/>
      </c>
      <c r="F144" s="128"/>
      <c r="G144" s="128"/>
      <c r="H144" s="129"/>
      <c r="I144" s="130"/>
      <c r="J144" s="131"/>
      <c r="K144" s="126"/>
      <c r="L144" s="140"/>
      <c r="M144" s="132"/>
      <c r="N144" s="133"/>
      <c r="O144" s="134"/>
      <c r="P144" s="135"/>
      <c r="Q144" s="136"/>
      <c r="R144" s="137"/>
      <c r="S144" s="138"/>
      <c r="T144" s="60"/>
      <c r="U144" s="87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125"/>
      <c r="AL144" s="112"/>
      <c r="AM144" s="112"/>
      <c r="AN144" s="112"/>
      <c r="AO144" s="112"/>
      <c r="AP144" s="112"/>
      <c r="AQ144" s="113"/>
      <c r="AR144" s="113"/>
      <c r="AS144" s="114"/>
      <c r="AT144" s="88"/>
      <c r="AU144" s="115"/>
      <c r="AV144" s="116"/>
      <c r="AW144" s="115"/>
      <c r="AX144" s="116"/>
      <c r="AY144" s="115"/>
      <c r="AZ144" s="116"/>
      <c r="BA144" s="115"/>
      <c r="BB144" s="116"/>
      <c r="BC144" s="117"/>
      <c r="BD144" s="118"/>
      <c r="BE144" s="119"/>
      <c r="BF144" s="120"/>
      <c r="BG144" s="120"/>
      <c r="BH144" s="125"/>
    </row>
    <row r="145" spans="1:60" s="36" customFormat="1" ht="23.25" customHeight="1" x14ac:dyDescent="0.3">
      <c r="A145" s="61">
        <v>141</v>
      </c>
      <c r="B145" s="66" t="str">
        <f t="shared" si="4"/>
        <v/>
      </c>
      <c r="C145" s="140"/>
      <c r="D145" s="126"/>
      <c r="E145" s="127" t="str">
        <f t="shared" si="5"/>
        <v/>
      </c>
      <c r="F145" s="128"/>
      <c r="G145" s="128"/>
      <c r="H145" s="129"/>
      <c r="I145" s="130"/>
      <c r="J145" s="131"/>
      <c r="K145" s="126"/>
      <c r="L145" s="140"/>
      <c r="M145" s="132"/>
      <c r="N145" s="133"/>
      <c r="O145" s="134"/>
      <c r="P145" s="135"/>
      <c r="Q145" s="136"/>
      <c r="R145" s="137"/>
      <c r="S145" s="138"/>
      <c r="T145" s="60"/>
      <c r="U145" s="87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125"/>
      <c r="AL145" s="112"/>
      <c r="AM145" s="112"/>
      <c r="AN145" s="112"/>
      <c r="AO145" s="112"/>
      <c r="AP145" s="112"/>
      <c r="AQ145" s="113"/>
      <c r="AR145" s="113"/>
      <c r="AS145" s="114"/>
      <c r="AT145" s="88"/>
      <c r="AU145" s="115"/>
      <c r="AV145" s="116"/>
      <c r="AW145" s="115"/>
      <c r="AX145" s="116"/>
      <c r="AY145" s="115"/>
      <c r="AZ145" s="116"/>
      <c r="BA145" s="115"/>
      <c r="BB145" s="116"/>
      <c r="BC145" s="117"/>
      <c r="BD145" s="118"/>
      <c r="BE145" s="119"/>
      <c r="BF145" s="120"/>
      <c r="BG145" s="120"/>
      <c r="BH145" s="125"/>
    </row>
    <row r="146" spans="1:60" s="36" customFormat="1" ht="23.25" customHeight="1" x14ac:dyDescent="0.3">
      <c r="A146" s="61">
        <v>142</v>
      </c>
      <c r="B146" s="66" t="str">
        <f t="shared" si="4"/>
        <v/>
      </c>
      <c r="C146" s="140"/>
      <c r="D146" s="126"/>
      <c r="E146" s="127" t="str">
        <f t="shared" si="5"/>
        <v/>
      </c>
      <c r="F146" s="128"/>
      <c r="G146" s="128"/>
      <c r="H146" s="129"/>
      <c r="I146" s="130"/>
      <c r="J146" s="131"/>
      <c r="K146" s="126"/>
      <c r="L146" s="140"/>
      <c r="M146" s="132"/>
      <c r="N146" s="133"/>
      <c r="O146" s="134"/>
      <c r="P146" s="135"/>
      <c r="Q146" s="136"/>
      <c r="R146" s="137"/>
      <c r="S146" s="138"/>
      <c r="T146" s="60"/>
      <c r="U146" s="87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125"/>
      <c r="AL146" s="112"/>
      <c r="AM146" s="112"/>
      <c r="AN146" s="112"/>
      <c r="AO146" s="112"/>
      <c r="AP146" s="112"/>
      <c r="AQ146" s="113"/>
      <c r="AR146" s="113"/>
      <c r="AS146" s="114"/>
      <c r="AT146" s="88"/>
      <c r="AU146" s="115"/>
      <c r="AV146" s="116"/>
      <c r="AW146" s="115"/>
      <c r="AX146" s="116"/>
      <c r="AY146" s="115"/>
      <c r="AZ146" s="116"/>
      <c r="BA146" s="115"/>
      <c r="BB146" s="116"/>
      <c r="BC146" s="117"/>
      <c r="BD146" s="118"/>
      <c r="BE146" s="119"/>
      <c r="BF146" s="120"/>
      <c r="BG146" s="120"/>
      <c r="BH146" s="125"/>
    </row>
    <row r="147" spans="1:60" s="36" customFormat="1" ht="23.25" customHeight="1" x14ac:dyDescent="0.3">
      <c r="A147" s="61">
        <v>143</v>
      </c>
      <c r="B147" s="66" t="str">
        <f t="shared" si="4"/>
        <v/>
      </c>
      <c r="C147" s="140"/>
      <c r="D147" s="126"/>
      <c r="E147" s="127" t="str">
        <f t="shared" si="5"/>
        <v/>
      </c>
      <c r="F147" s="128"/>
      <c r="G147" s="128"/>
      <c r="H147" s="129"/>
      <c r="I147" s="130"/>
      <c r="J147" s="131"/>
      <c r="K147" s="126"/>
      <c r="L147" s="140"/>
      <c r="M147" s="132"/>
      <c r="N147" s="133"/>
      <c r="O147" s="134"/>
      <c r="P147" s="135"/>
      <c r="Q147" s="136"/>
      <c r="R147" s="137"/>
      <c r="S147" s="138"/>
      <c r="T147" s="60"/>
      <c r="U147" s="87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125"/>
      <c r="AL147" s="112"/>
      <c r="AM147" s="112"/>
      <c r="AN147" s="112"/>
      <c r="AO147" s="112"/>
      <c r="AP147" s="112"/>
      <c r="AQ147" s="113"/>
      <c r="AR147" s="113"/>
      <c r="AS147" s="114"/>
      <c r="AT147" s="88"/>
      <c r="AU147" s="115"/>
      <c r="AV147" s="116"/>
      <c r="AW147" s="115"/>
      <c r="AX147" s="116"/>
      <c r="AY147" s="115"/>
      <c r="AZ147" s="116"/>
      <c r="BA147" s="115"/>
      <c r="BB147" s="116"/>
      <c r="BC147" s="117"/>
      <c r="BD147" s="118"/>
      <c r="BE147" s="119"/>
      <c r="BF147" s="120"/>
      <c r="BG147" s="120"/>
      <c r="BH147" s="125"/>
    </row>
    <row r="148" spans="1:60" s="36" customFormat="1" ht="23.25" customHeight="1" x14ac:dyDescent="0.3">
      <c r="A148" s="61">
        <v>144</v>
      </c>
      <c r="B148" s="66" t="str">
        <f t="shared" si="4"/>
        <v/>
      </c>
      <c r="C148" s="140"/>
      <c r="D148" s="126"/>
      <c r="E148" s="127" t="str">
        <f t="shared" si="5"/>
        <v/>
      </c>
      <c r="F148" s="128"/>
      <c r="G148" s="128"/>
      <c r="H148" s="129"/>
      <c r="I148" s="130"/>
      <c r="J148" s="131"/>
      <c r="K148" s="126"/>
      <c r="L148" s="140"/>
      <c r="M148" s="132"/>
      <c r="N148" s="133"/>
      <c r="O148" s="134"/>
      <c r="P148" s="135"/>
      <c r="Q148" s="136"/>
      <c r="R148" s="137"/>
      <c r="S148" s="138"/>
      <c r="T148" s="60"/>
      <c r="U148" s="87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125"/>
      <c r="AL148" s="112"/>
      <c r="AM148" s="112"/>
      <c r="AN148" s="112"/>
      <c r="AO148" s="112"/>
      <c r="AP148" s="112"/>
      <c r="AQ148" s="113"/>
      <c r="AR148" s="113"/>
      <c r="AS148" s="114"/>
      <c r="AT148" s="88"/>
      <c r="AU148" s="115"/>
      <c r="AV148" s="116"/>
      <c r="AW148" s="115"/>
      <c r="AX148" s="116"/>
      <c r="AY148" s="115"/>
      <c r="AZ148" s="116"/>
      <c r="BA148" s="115"/>
      <c r="BB148" s="116"/>
      <c r="BC148" s="117"/>
      <c r="BD148" s="118"/>
      <c r="BE148" s="119"/>
      <c r="BF148" s="120"/>
      <c r="BG148" s="120"/>
      <c r="BH148" s="125"/>
    </row>
    <row r="149" spans="1:60" s="36" customFormat="1" ht="23.25" customHeight="1" x14ac:dyDescent="0.3">
      <c r="A149" s="61">
        <v>145</v>
      </c>
      <c r="B149" s="66" t="str">
        <f t="shared" si="4"/>
        <v/>
      </c>
      <c r="C149" s="140"/>
      <c r="D149" s="126"/>
      <c r="E149" s="127" t="str">
        <f t="shared" si="5"/>
        <v/>
      </c>
      <c r="F149" s="128"/>
      <c r="G149" s="128"/>
      <c r="H149" s="129"/>
      <c r="I149" s="130"/>
      <c r="J149" s="131"/>
      <c r="K149" s="126"/>
      <c r="L149" s="140"/>
      <c r="M149" s="132"/>
      <c r="N149" s="133"/>
      <c r="O149" s="134"/>
      <c r="P149" s="135"/>
      <c r="Q149" s="136"/>
      <c r="R149" s="137"/>
      <c r="S149" s="138"/>
      <c r="T149" s="60"/>
      <c r="U149" s="87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125"/>
      <c r="AL149" s="112"/>
      <c r="AM149" s="112"/>
      <c r="AN149" s="112"/>
      <c r="AO149" s="112"/>
      <c r="AP149" s="112"/>
      <c r="AQ149" s="113"/>
      <c r="AR149" s="113"/>
      <c r="AS149" s="114"/>
      <c r="AT149" s="88"/>
      <c r="AU149" s="115"/>
      <c r="AV149" s="116"/>
      <c r="AW149" s="115"/>
      <c r="AX149" s="116"/>
      <c r="AY149" s="115"/>
      <c r="AZ149" s="116"/>
      <c r="BA149" s="115"/>
      <c r="BB149" s="116"/>
      <c r="BC149" s="117"/>
      <c r="BD149" s="118"/>
      <c r="BE149" s="119"/>
      <c r="BF149" s="120"/>
      <c r="BG149" s="120"/>
      <c r="BH149" s="125"/>
    </row>
    <row r="150" spans="1:60" s="36" customFormat="1" ht="23.25" customHeight="1" x14ac:dyDescent="0.3">
      <c r="A150" s="61">
        <v>146</v>
      </c>
      <c r="B150" s="66" t="str">
        <f t="shared" si="4"/>
        <v/>
      </c>
      <c r="C150" s="140"/>
      <c r="D150" s="126"/>
      <c r="E150" s="127" t="str">
        <f t="shared" si="5"/>
        <v/>
      </c>
      <c r="F150" s="128"/>
      <c r="G150" s="128"/>
      <c r="H150" s="129"/>
      <c r="I150" s="130"/>
      <c r="J150" s="131"/>
      <c r="K150" s="126"/>
      <c r="L150" s="140"/>
      <c r="M150" s="132"/>
      <c r="N150" s="133"/>
      <c r="O150" s="134"/>
      <c r="P150" s="135"/>
      <c r="Q150" s="136"/>
      <c r="R150" s="137"/>
      <c r="S150" s="138"/>
      <c r="T150" s="60"/>
      <c r="U150" s="87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125"/>
      <c r="AL150" s="112"/>
      <c r="AM150" s="112"/>
      <c r="AN150" s="112"/>
      <c r="AO150" s="112"/>
      <c r="AP150" s="112"/>
      <c r="AQ150" s="113"/>
      <c r="AR150" s="113"/>
      <c r="AS150" s="114"/>
      <c r="AT150" s="88"/>
      <c r="AU150" s="115"/>
      <c r="AV150" s="116"/>
      <c r="AW150" s="115"/>
      <c r="AX150" s="116"/>
      <c r="AY150" s="115"/>
      <c r="AZ150" s="116"/>
      <c r="BA150" s="115"/>
      <c r="BB150" s="116"/>
      <c r="BC150" s="117"/>
      <c r="BD150" s="118"/>
      <c r="BE150" s="119"/>
      <c r="BF150" s="120"/>
      <c r="BG150" s="120"/>
      <c r="BH150" s="125"/>
    </row>
    <row r="151" spans="1:60" s="36" customFormat="1" ht="23.25" customHeight="1" x14ac:dyDescent="0.3">
      <c r="A151" s="61">
        <v>147</v>
      </c>
      <c r="B151" s="66" t="str">
        <f t="shared" si="4"/>
        <v/>
      </c>
      <c r="C151" s="140"/>
      <c r="D151" s="126"/>
      <c r="E151" s="127" t="str">
        <f t="shared" si="5"/>
        <v/>
      </c>
      <c r="F151" s="128"/>
      <c r="G151" s="128"/>
      <c r="H151" s="129"/>
      <c r="I151" s="130"/>
      <c r="J151" s="131"/>
      <c r="K151" s="126"/>
      <c r="L151" s="140"/>
      <c r="M151" s="132"/>
      <c r="N151" s="133"/>
      <c r="O151" s="134"/>
      <c r="P151" s="135"/>
      <c r="Q151" s="136"/>
      <c r="R151" s="137"/>
      <c r="S151" s="138"/>
      <c r="T151" s="60"/>
      <c r="U151" s="87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125"/>
      <c r="AL151" s="112"/>
      <c r="AM151" s="112"/>
      <c r="AN151" s="112"/>
      <c r="AO151" s="112"/>
      <c r="AP151" s="112"/>
      <c r="AQ151" s="113"/>
      <c r="AR151" s="113"/>
      <c r="AS151" s="114"/>
      <c r="AT151" s="88"/>
      <c r="AU151" s="115"/>
      <c r="AV151" s="116"/>
      <c r="AW151" s="115"/>
      <c r="AX151" s="116"/>
      <c r="AY151" s="115"/>
      <c r="AZ151" s="116"/>
      <c r="BA151" s="115"/>
      <c r="BB151" s="116"/>
      <c r="BC151" s="117"/>
      <c r="BD151" s="118"/>
      <c r="BE151" s="119"/>
      <c r="BF151" s="120"/>
      <c r="BG151" s="120"/>
      <c r="BH151" s="125"/>
    </row>
    <row r="152" spans="1:60" s="36" customFormat="1" ht="23.25" customHeight="1" x14ac:dyDescent="0.3">
      <c r="A152" s="61">
        <v>148</v>
      </c>
      <c r="B152" s="66" t="str">
        <f t="shared" si="4"/>
        <v/>
      </c>
      <c r="C152" s="140"/>
      <c r="D152" s="126"/>
      <c r="E152" s="127" t="str">
        <f t="shared" si="5"/>
        <v/>
      </c>
      <c r="F152" s="128"/>
      <c r="G152" s="128"/>
      <c r="H152" s="129"/>
      <c r="I152" s="130"/>
      <c r="J152" s="131"/>
      <c r="K152" s="126"/>
      <c r="L152" s="140"/>
      <c r="M152" s="132"/>
      <c r="N152" s="133"/>
      <c r="O152" s="134"/>
      <c r="P152" s="135"/>
      <c r="Q152" s="136"/>
      <c r="R152" s="137"/>
      <c r="S152" s="138"/>
      <c r="T152" s="60"/>
      <c r="U152" s="87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125"/>
      <c r="AL152" s="112"/>
      <c r="AM152" s="112"/>
      <c r="AN152" s="112"/>
      <c r="AO152" s="112"/>
      <c r="AP152" s="112"/>
      <c r="AQ152" s="113"/>
      <c r="AR152" s="113"/>
      <c r="AS152" s="114"/>
      <c r="AT152" s="88"/>
      <c r="AU152" s="115"/>
      <c r="AV152" s="116"/>
      <c r="AW152" s="115"/>
      <c r="AX152" s="116"/>
      <c r="AY152" s="115"/>
      <c r="AZ152" s="116"/>
      <c r="BA152" s="115"/>
      <c r="BB152" s="116"/>
      <c r="BC152" s="117"/>
      <c r="BD152" s="118"/>
      <c r="BE152" s="119"/>
      <c r="BF152" s="120"/>
      <c r="BG152" s="120"/>
      <c r="BH152" s="125"/>
    </row>
    <row r="153" spans="1:60" s="36" customFormat="1" ht="23.25" customHeight="1" x14ac:dyDescent="0.3">
      <c r="A153" s="61">
        <v>149</v>
      </c>
      <c r="B153" s="66" t="str">
        <f t="shared" si="4"/>
        <v/>
      </c>
      <c r="C153" s="140"/>
      <c r="D153" s="126"/>
      <c r="E153" s="127" t="str">
        <f t="shared" si="5"/>
        <v/>
      </c>
      <c r="F153" s="128"/>
      <c r="G153" s="128"/>
      <c r="H153" s="129"/>
      <c r="I153" s="130"/>
      <c r="J153" s="131"/>
      <c r="K153" s="126"/>
      <c r="L153" s="140"/>
      <c r="M153" s="132"/>
      <c r="N153" s="133"/>
      <c r="O153" s="134"/>
      <c r="P153" s="135"/>
      <c r="Q153" s="136"/>
      <c r="R153" s="137"/>
      <c r="S153" s="138"/>
      <c r="T153" s="60"/>
      <c r="U153" s="87"/>
      <c r="V153" s="88"/>
      <c r="W153" s="88"/>
      <c r="X153" s="88"/>
      <c r="Y153" s="88"/>
      <c r="Z153" s="88"/>
      <c r="AA153" s="88"/>
      <c r="AB153" s="88"/>
      <c r="AC153" s="88"/>
      <c r="AD153" s="88"/>
      <c r="AE153" s="88"/>
      <c r="AF153" s="88"/>
      <c r="AG153" s="88"/>
      <c r="AH153" s="88"/>
      <c r="AI153" s="88"/>
      <c r="AJ153" s="88"/>
      <c r="AK153" s="125"/>
      <c r="AL153" s="112"/>
      <c r="AM153" s="112"/>
      <c r="AN153" s="112"/>
      <c r="AO153" s="112"/>
      <c r="AP153" s="112"/>
      <c r="AQ153" s="113"/>
      <c r="AR153" s="113"/>
      <c r="AS153" s="114"/>
      <c r="AT153" s="88"/>
      <c r="AU153" s="115"/>
      <c r="AV153" s="116"/>
      <c r="AW153" s="115"/>
      <c r="AX153" s="116"/>
      <c r="AY153" s="115"/>
      <c r="AZ153" s="116"/>
      <c r="BA153" s="115"/>
      <c r="BB153" s="116"/>
      <c r="BC153" s="117"/>
      <c r="BD153" s="118"/>
      <c r="BE153" s="119"/>
      <c r="BF153" s="120"/>
      <c r="BG153" s="120"/>
      <c r="BH153" s="125"/>
    </row>
    <row r="154" spans="1:60" s="36" customFormat="1" ht="23.25" customHeight="1" x14ac:dyDescent="0.3">
      <c r="A154" s="61">
        <v>150</v>
      </c>
      <c r="B154" s="66" t="str">
        <f t="shared" si="4"/>
        <v/>
      </c>
      <c r="C154" s="140"/>
      <c r="D154" s="126"/>
      <c r="E154" s="127" t="str">
        <f t="shared" si="5"/>
        <v/>
      </c>
      <c r="F154" s="128"/>
      <c r="G154" s="128"/>
      <c r="H154" s="129"/>
      <c r="I154" s="130"/>
      <c r="J154" s="131"/>
      <c r="K154" s="126"/>
      <c r="L154" s="140"/>
      <c r="M154" s="132"/>
      <c r="N154" s="133"/>
      <c r="O154" s="134"/>
      <c r="P154" s="135"/>
      <c r="Q154" s="136"/>
      <c r="R154" s="137"/>
      <c r="S154" s="138"/>
      <c r="T154" s="60"/>
      <c r="U154" s="87"/>
      <c r="V154" s="88"/>
      <c r="W154" s="88"/>
      <c r="X154" s="88"/>
      <c r="Y154" s="88"/>
      <c r="Z154" s="88"/>
      <c r="AA154" s="88"/>
      <c r="AB154" s="88"/>
      <c r="AC154" s="88"/>
      <c r="AD154" s="88"/>
      <c r="AE154" s="88"/>
      <c r="AF154" s="88"/>
      <c r="AG154" s="88"/>
      <c r="AH154" s="88"/>
      <c r="AI154" s="88"/>
      <c r="AJ154" s="88"/>
      <c r="AK154" s="125"/>
      <c r="AL154" s="112"/>
      <c r="AM154" s="112"/>
      <c r="AN154" s="112"/>
      <c r="AO154" s="112"/>
      <c r="AP154" s="112"/>
      <c r="AQ154" s="113"/>
      <c r="AR154" s="113"/>
      <c r="AS154" s="114"/>
      <c r="AT154" s="88"/>
      <c r="AU154" s="115"/>
      <c r="AV154" s="116"/>
      <c r="AW154" s="115"/>
      <c r="AX154" s="116"/>
      <c r="AY154" s="115"/>
      <c r="AZ154" s="116"/>
      <c r="BA154" s="115"/>
      <c r="BB154" s="116"/>
      <c r="BC154" s="117"/>
      <c r="BD154" s="118"/>
      <c r="BE154" s="119"/>
      <c r="BF154" s="120"/>
      <c r="BG154" s="120"/>
      <c r="BH154" s="125"/>
    </row>
    <row r="155" spans="1:60" s="36" customFormat="1" ht="23.25" customHeight="1" x14ac:dyDescent="0.3">
      <c r="A155" s="61">
        <v>151</v>
      </c>
      <c r="B155" s="66" t="str">
        <f t="shared" si="4"/>
        <v/>
      </c>
      <c r="C155" s="140"/>
      <c r="D155" s="126"/>
      <c r="E155" s="127" t="str">
        <f t="shared" si="5"/>
        <v/>
      </c>
      <c r="F155" s="128"/>
      <c r="G155" s="128"/>
      <c r="H155" s="129"/>
      <c r="I155" s="130"/>
      <c r="J155" s="131"/>
      <c r="K155" s="126"/>
      <c r="L155" s="140"/>
      <c r="M155" s="132"/>
      <c r="N155" s="133"/>
      <c r="O155" s="134"/>
      <c r="P155" s="135"/>
      <c r="Q155" s="136"/>
      <c r="R155" s="137"/>
      <c r="S155" s="138"/>
      <c r="T155" s="60"/>
      <c r="U155" s="87"/>
      <c r="V155" s="88"/>
      <c r="W155" s="88"/>
      <c r="X155" s="88"/>
      <c r="Y155" s="88"/>
      <c r="Z155" s="88"/>
      <c r="AA155" s="88"/>
      <c r="AB155" s="88"/>
      <c r="AC155" s="88"/>
      <c r="AD155" s="88"/>
      <c r="AE155" s="88"/>
      <c r="AF155" s="88"/>
      <c r="AG155" s="88"/>
      <c r="AH155" s="88"/>
      <c r="AI155" s="88"/>
      <c r="AJ155" s="88"/>
      <c r="AK155" s="125"/>
      <c r="AL155" s="112"/>
      <c r="AM155" s="112"/>
      <c r="AN155" s="112"/>
      <c r="AO155" s="112"/>
      <c r="AP155" s="112"/>
      <c r="AQ155" s="113"/>
      <c r="AR155" s="113"/>
      <c r="AS155" s="114"/>
      <c r="AT155" s="88"/>
      <c r="AU155" s="115"/>
      <c r="AV155" s="116"/>
      <c r="AW155" s="115"/>
      <c r="AX155" s="116"/>
      <c r="AY155" s="115"/>
      <c r="AZ155" s="116"/>
      <c r="BA155" s="115"/>
      <c r="BB155" s="116"/>
      <c r="BC155" s="117"/>
      <c r="BD155" s="118"/>
      <c r="BE155" s="119"/>
      <c r="BF155" s="120"/>
      <c r="BG155" s="120"/>
      <c r="BH155" s="125"/>
    </row>
    <row r="156" spans="1:60" s="36" customFormat="1" ht="23.25" customHeight="1" x14ac:dyDescent="0.3">
      <c r="A156" s="61">
        <v>152</v>
      </c>
      <c r="B156" s="66" t="str">
        <f t="shared" si="4"/>
        <v/>
      </c>
      <c r="C156" s="140"/>
      <c r="D156" s="126"/>
      <c r="E156" s="127" t="str">
        <f t="shared" si="5"/>
        <v/>
      </c>
      <c r="F156" s="128"/>
      <c r="G156" s="128"/>
      <c r="H156" s="129"/>
      <c r="I156" s="130"/>
      <c r="J156" s="131"/>
      <c r="K156" s="126"/>
      <c r="L156" s="140"/>
      <c r="M156" s="132"/>
      <c r="N156" s="133"/>
      <c r="O156" s="134"/>
      <c r="P156" s="135"/>
      <c r="Q156" s="136"/>
      <c r="R156" s="137"/>
      <c r="S156" s="138"/>
      <c r="T156" s="60"/>
      <c r="U156" s="87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125"/>
      <c r="AL156" s="112"/>
      <c r="AM156" s="112"/>
      <c r="AN156" s="112"/>
      <c r="AO156" s="112"/>
      <c r="AP156" s="112"/>
      <c r="AQ156" s="113"/>
      <c r="AR156" s="113"/>
      <c r="AS156" s="114"/>
      <c r="AT156" s="88"/>
      <c r="AU156" s="115"/>
      <c r="AV156" s="116"/>
      <c r="AW156" s="115"/>
      <c r="AX156" s="116"/>
      <c r="AY156" s="115"/>
      <c r="AZ156" s="116"/>
      <c r="BA156" s="115"/>
      <c r="BB156" s="116"/>
      <c r="BC156" s="117"/>
      <c r="BD156" s="118"/>
      <c r="BE156" s="119"/>
      <c r="BF156" s="120"/>
      <c r="BG156" s="120"/>
      <c r="BH156" s="125"/>
    </row>
    <row r="157" spans="1:60" s="36" customFormat="1" ht="23.25" customHeight="1" x14ac:dyDescent="0.3">
      <c r="A157" s="61">
        <v>153</v>
      </c>
      <c r="B157" s="66" t="str">
        <f t="shared" si="4"/>
        <v/>
      </c>
      <c r="C157" s="140"/>
      <c r="D157" s="126"/>
      <c r="E157" s="127" t="str">
        <f t="shared" si="5"/>
        <v/>
      </c>
      <c r="F157" s="128"/>
      <c r="G157" s="128"/>
      <c r="H157" s="129"/>
      <c r="I157" s="130"/>
      <c r="J157" s="131"/>
      <c r="K157" s="126"/>
      <c r="L157" s="140"/>
      <c r="M157" s="132"/>
      <c r="N157" s="133"/>
      <c r="O157" s="134"/>
      <c r="P157" s="135"/>
      <c r="Q157" s="136"/>
      <c r="R157" s="137"/>
      <c r="S157" s="138"/>
      <c r="T157" s="60"/>
      <c r="U157" s="87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  <c r="AF157" s="88"/>
      <c r="AG157" s="88"/>
      <c r="AH157" s="88"/>
      <c r="AI157" s="88"/>
      <c r="AJ157" s="88"/>
      <c r="AK157" s="125"/>
      <c r="AL157" s="112"/>
      <c r="AM157" s="112"/>
      <c r="AN157" s="112"/>
      <c r="AO157" s="112"/>
      <c r="AP157" s="112"/>
      <c r="AQ157" s="113"/>
      <c r="AR157" s="113"/>
      <c r="AS157" s="114"/>
      <c r="AT157" s="88"/>
      <c r="AU157" s="115"/>
      <c r="AV157" s="116"/>
      <c r="AW157" s="115"/>
      <c r="AX157" s="116"/>
      <c r="AY157" s="115"/>
      <c r="AZ157" s="116"/>
      <c r="BA157" s="115"/>
      <c r="BB157" s="116"/>
      <c r="BC157" s="117"/>
      <c r="BD157" s="118"/>
      <c r="BE157" s="119"/>
      <c r="BF157" s="120"/>
      <c r="BG157" s="120"/>
      <c r="BH157" s="125"/>
    </row>
    <row r="158" spans="1:60" s="36" customFormat="1" ht="23.25" customHeight="1" x14ac:dyDescent="0.3">
      <c r="A158" s="61">
        <v>154</v>
      </c>
      <c r="B158" s="66" t="str">
        <f t="shared" si="4"/>
        <v/>
      </c>
      <c r="C158" s="140"/>
      <c r="D158" s="126"/>
      <c r="E158" s="127" t="str">
        <f t="shared" si="5"/>
        <v/>
      </c>
      <c r="F158" s="128"/>
      <c r="G158" s="128"/>
      <c r="H158" s="129"/>
      <c r="I158" s="130"/>
      <c r="J158" s="131"/>
      <c r="K158" s="126"/>
      <c r="L158" s="140"/>
      <c r="M158" s="132"/>
      <c r="N158" s="133"/>
      <c r="O158" s="134"/>
      <c r="P158" s="135"/>
      <c r="Q158" s="136"/>
      <c r="R158" s="137"/>
      <c r="S158" s="138"/>
      <c r="T158" s="60"/>
      <c r="U158" s="87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8"/>
      <c r="AK158" s="125"/>
      <c r="AL158" s="112"/>
      <c r="AM158" s="112"/>
      <c r="AN158" s="112"/>
      <c r="AO158" s="112"/>
      <c r="AP158" s="112"/>
      <c r="AQ158" s="113"/>
      <c r="AR158" s="113"/>
      <c r="AS158" s="114"/>
      <c r="AT158" s="88"/>
      <c r="AU158" s="115"/>
      <c r="AV158" s="116"/>
      <c r="AW158" s="115"/>
      <c r="AX158" s="116"/>
      <c r="AY158" s="115"/>
      <c r="AZ158" s="116"/>
      <c r="BA158" s="115"/>
      <c r="BB158" s="116"/>
      <c r="BC158" s="117"/>
      <c r="BD158" s="118"/>
      <c r="BE158" s="119"/>
      <c r="BF158" s="120"/>
      <c r="BG158" s="120"/>
      <c r="BH158" s="125"/>
    </row>
    <row r="159" spans="1:60" s="36" customFormat="1" ht="23.25" customHeight="1" x14ac:dyDescent="0.3">
      <c r="A159" s="61">
        <v>155</v>
      </c>
      <c r="B159" s="66" t="str">
        <f t="shared" si="4"/>
        <v/>
      </c>
      <c r="C159" s="140"/>
      <c r="D159" s="126"/>
      <c r="E159" s="127" t="str">
        <f t="shared" si="5"/>
        <v/>
      </c>
      <c r="F159" s="128"/>
      <c r="G159" s="128"/>
      <c r="H159" s="129"/>
      <c r="I159" s="130"/>
      <c r="J159" s="131"/>
      <c r="K159" s="126"/>
      <c r="L159" s="140"/>
      <c r="M159" s="132"/>
      <c r="N159" s="133"/>
      <c r="O159" s="134"/>
      <c r="P159" s="135"/>
      <c r="Q159" s="136"/>
      <c r="R159" s="137"/>
      <c r="S159" s="138"/>
      <c r="T159" s="60"/>
      <c r="U159" s="87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  <c r="AF159" s="88"/>
      <c r="AG159" s="88"/>
      <c r="AH159" s="88"/>
      <c r="AI159" s="88"/>
      <c r="AJ159" s="88"/>
      <c r="AK159" s="125"/>
      <c r="AL159" s="112"/>
      <c r="AM159" s="112"/>
      <c r="AN159" s="112"/>
      <c r="AO159" s="112"/>
      <c r="AP159" s="112"/>
      <c r="AQ159" s="113"/>
      <c r="AR159" s="113"/>
      <c r="AS159" s="114"/>
      <c r="AT159" s="88"/>
      <c r="AU159" s="115"/>
      <c r="AV159" s="116"/>
      <c r="AW159" s="115"/>
      <c r="AX159" s="116"/>
      <c r="AY159" s="115"/>
      <c r="AZ159" s="116"/>
      <c r="BA159" s="115"/>
      <c r="BB159" s="116"/>
      <c r="BC159" s="117"/>
      <c r="BD159" s="118"/>
      <c r="BE159" s="119"/>
      <c r="BF159" s="120"/>
      <c r="BG159" s="120"/>
      <c r="BH159" s="125"/>
    </row>
    <row r="160" spans="1:60" s="36" customFormat="1" ht="23.25" customHeight="1" x14ac:dyDescent="0.3">
      <c r="A160" s="61">
        <v>156</v>
      </c>
      <c r="B160" s="66" t="str">
        <f t="shared" si="4"/>
        <v/>
      </c>
      <c r="C160" s="140"/>
      <c r="D160" s="126"/>
      <c r="E160" s="127" t="str">
        <f t="shared" si="5"/>
        <v/>
      </c>
      <c r="F160" s="128"/>
      <c r="G160" s="128"/>
      <c r="H160" s="129"/>
      <c r="I160" s="130"/>
      <c r="J160" s="131"/>
      <c r="K160" s="126"/>
      <c r="L160" s="140"/>
      <c r="M160" s="132"/>
      <c r="N160" s="133"/>
      <c r="O160" s="134"/>
      <c r="P160" s="135"/>
      <c r="Q160" s="136"/>
      <c r="R160" s="137"/>
      <c r="S160" s="138"/>
      <c r="T160" s="60"/>
      <c r="U160" s="87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  <c r="AF160" s="88"/>
      <c r="AG160" s="88"/>
      <c r="AH160" s="88"/>
      <c r="AI160" s="88"/>
      <c r="AJ160" s="88"/>
      <c r="AK160" s="125"/>
      <c r="AL160" s="112"/>
      <c r="AM160" s="112"/>
      <c r="AN160" s="112"/>
      <c r="AO160" s="112"/>
      <c r="AP160" s="112"/>
      <c r="AQ160" s="113"/>
      <c r="AR160" s="113"/>
      <c r="AS160" s="114"/>
      <c r="AT160" s="88"/>
      <c r="AU160" s="115"/>
      <c r="AV160" s="116"/>
      <c r="AW160" s="115"/>
      <c r="AX160" s="116"/>
      <c r="AY160" s="115"/>
      <c r="AZ160" s="116"/>
      <c r="BA160" s="115"/>
      <c r="BB160" s="116"/>
      <c r="BC160" s="117"/>
      <c r="BD160" s="118"/>
      <c r="BE160" s="119"/>
      <c r="BF160" s="120"/>
      <c r="BG160" s="120"/>
      <c r="BH160" s="125"/>
    </row>
    <row r="161" spans="1:60" s="36" customFormat="1" ht="23.25" customHeight="1" x14ac:dyDescent="0.3">
      <c r="A161" s="61">
        <v>157</v>
      </c>
      <c r="B161" s="66" t="str">
        <f t="shared" si="4"/>
        <v/>
      </c>
      <c r="C161" s="140"/>
      <c r="D161" s="126"/>
      <c r="E161" s="127" t="str">
        <f t="shared" si="5"/>
        <v/>
      </c>
      <c r="F161" s="128"/>
      <c r="G161" s="128"/>
      <c r="H161" s="129"/>
      <c r="I161" s="130"/>
      <c r="J161" s="131"/>
      <c r="K161" s="126"/>
      <c r="L161" s="140"/>
      <c r="M161" s="132"/>
      <c r="N161" s="133"/>
      <c r="O161" s="134"/>
      <c r="P161" s="135"/>
      <c r="Q161" s="136"/>
      <c r="R161" s="137"/>
      <c r="S161" s="138"/>
      <c r="T161" s="60"/>
      <c r="U161" s="87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88"/>
      <c r="AK161" s="125"/>
      <c r="AL161" s="112"/>
      <c r="AM161" s="112"/>
      <c r="AN161" s="112"/>
      <c r="AO161" s="112"/>
      <c r="AP161" s="112"/>
      <c r="AQ161" s="113"/>
      <c r="AR161" s="113"/>
      <c r="AS161" s="114"/>
      <c r="AT161" s="88"/>
      <c r="AU161" s="115"/>
      <c r="AV161" s="116"/>
      <c r="AW161" s="115"/>
      <c r="AX161" s="116"/>
      <c r="AY161" s="115"/>
      <c r="AZ161" s="116"/>
      <c r="BA161" s="115"/>
      <c r="BB161" s="116"/>
      <c r="BC161" s="117"/>
      <c r="BD161" s="118"/>
      <c r="BE161" s="119"/>
      <c r="BF161" s="120"/>
      <c r="BG161" s="120"/>
      <c r="BH161" s="125"/>
    </row>
    <row r="162" spans="1:60" s="36" customFormat="1" ht="23.25" customHeight="1" x14ac:dyDescent="0.3">
      <c r="A162" s="61">
        <v>158</v>
      </c>
      <c r="B162" s="66" t="str">
        <f t="shared" si="4"/>
        <v/>
      </c>
      <c r="C162" s="140"/>
      <c r="D162" s="126"/>
      <c r="E162" s="127" t="str">
        <f t="shared" si="5"/>
        <v/>
      </c>
      <c r="F162" s="128"/>
      <c r="G162" s="128"/>
      <c r="H162" s="129"/>
      <c r="I162" s="130"/>
      <c r="J162" s="131"/>
      <c r="K162" s="126"/>
      <c r="L162" s="140"/>
      <c r="M162" s="132"/>
      <c r="N162" s="133"/>
      <c r="O162" s="134"/>
      <c r="P162" s="135"/>
      <c r="Q162" s="136"/>
      <c r="R162" s="137"/>
      <c r="S162" s="138"/>
      <c r="T162" s="60"/>
      <c r="U162" s="87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  <c r="AF162" s="88"/>
      <c r="AG162" s="88"/>
      <c r="AH162" s="88"/>
      <c r="AI162" s="88"/>
      <c r="AJ162" s="88"/>
      <c r="AK162" s="125"/>
      <c r="AL162" s="112"/>
      <c r="AM162" s="112"/>
      <c r="AN162" s="112"/>
      <c r="AO162" s="112"/>
      <c r="AP162" s="112"/>
      <c r="AQ162" s="113"/>
      <c r="AR162" s="113"/>
      <c r="AS162" s="114"/>
      <c r="AT162" s="88"/>
      <c r="AU162" s="115"/>
      <c r="AV162" s="116"/>
      <c r="AW162" s="115"/>
      <c r="AX162" s="116"/>
      <c r="AY162" s="115"/>
      <c r="AZ162" s="116"/>
      <c r="BA162" s="115"/>
      <c r="BB162" s="116"/>
      <c r="BC162" s="117"/>
      <c r="BD162" s="118"/>
      <c r="BE162" s="119"/>
      <c r="BF162" s="120"/>
      <c r="BG162" s="120"/>
      <c r="BH162" s="125"/>
    </row>
    <row r="163" spans="1:60" s="36" customFormat="1" ht="23.25" customHeight="1" x14ac:dyDescent="0.3">
      <c r="A163" s="61">
        <v>159</v>
      </c>
      <c r="B163" s="66" t="str">
        <f t="shared" si="4"/>
        <v/>
      </c>
      <c r="C163" s="140"/>
      <c r="D163" s="126"/>
      <c r="E163" s="127" t="str">
        <f t="shared" si="5"/>
        <v/>
      </c>
      <c r="F163" s="128"/>
      <c r="G163" s="128"/>
      <c r="H163" s="129"/>
      <c r="I163" s="130"/>
      <c r="J163" s="131"/>
      <c r="K163" s="126"/>
      <c r="L163" s="140"/>
      <c r="M163" s="132"/>
      <c r="N163" s="133"/>
      <c r="O163" s="134"/>
      <c r="P163" s="135"/>
      <c r="Q163" s="136"/>
      <c r="R163" s="137"/>
      <c r="S163" s="138"/>
      <c r="T163" s="60"/>
      <c r="U163" s="87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125"/>
      <c r="AL163" s="112"/>
      <c r="AM163" s="112"/>
      <c r="AN163" s="112"/>
      <c r="AO163" s="112"/>
      <c r="AP163" s="112"/>
      <c r="AQ163" s="113"/>
      <c r="AR163" s="113"/>
      <c r="AS163" s="114"/>
      <c r="AT163" s="88"/>
      <c r="AU163" s="115"/>
      <c r="AV163" s="116"/>
      <c r="AW163" s="115"/>
      <c r="AX163" s="116"/>
      <c r="AY163" s="115"/>
      <c r="AZ163" s="116"/>
      <c r="BA163" s="115"/>
      <c r="BB163" s="116"/>
      <c r="BC163" s="117"/>
      <c r="BD163" s="118"/>
      <c r="BE163" s="119"/>
      <c r="BF163" s="120"/>
      <c r="BG163" s="120"/>
      <c r="BH163" s="125"/>
    </row>
    <row r="164" spans="1:60" s="36" customFormat="1" ht="23.25" customHeight="1" x14ac:dyDescent="0.3">
      <c r="A164" s="61">
        <v>160</v>
      </c>
      <c r="B164" s="66" t="str">
        <f t="shared" si="4"/>
        <v/>
      </c>
      <c r="C164" s="140"/>
      <c r="D164" s="126"/>
      <c r="E164" s="127" t="str">
        <f t="shared" si="5"/>
        <v/>
      </c>
      <c r="F164" s="128"/>
      <c r="G164" s="128"/>
      <c r="H164" s="129"/>
      <c r="I164" s="130"/>
      <c r="J164" s="131"/>
      <c r="K164" s="126"/>
      <c r="L164" s="140"/>
      <c r="M164" s="132"/>
      <c r="N164" s="133"/>
      <c r="O164" s="134"/>
      <c r="P164" s="135"/>
      <c r="Q164" s="136"/>
      <c r="R164" s="137"/>
      <c r="S164" s="138"/>
      <c r="T164" s="60"/>
      <c r="U164" s="87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88"/>
      <c r="AK164" s="125"/>
      <c r="AL164" s="112"/>
      <c r="AM164" s="112"/>
      <c r="AN164" s="112"/>
      <c r="AO164" s="112"/>
      <c r="AP164" s="112"/>
      <c r="AQ164" s="113"/>
      <c r="AR164" s="113"/>
      <c r="AS164" s="114"/>
      <c r="AT164" s="88"/>
      <c r="AU164" s="115"/>
      <c r="AV164" s="116"/>
      <c r="AW164" s="115"/>
      <c r="AX164" s="116"/>
      <c r="AY164" s="115"/>
      <c r="AZ164" s="116"/>
      <c r="BA164" s="115"/>
      <c r="BB164" s="116"/>
      <c r="BC164" s="117"/>
      <c r="BD164" s="118"/>
      <c r="BE164" s="119"/>
      <c r="BF164" s="120"/>
      <c r="BG164" s="120"/>
      <c r="BH164" s="125"/>
    </row>
    <row r="165" spans="1:60" s="36" customFormat="1" ht="23.25" customHeight="1" x14ac:dyDescent="0.3">
      <c r="A165" s="61">
        <v>161</v>
      </c>
      <c r="B165" s="66" t="str">
        <f t="shared" si="4"/>
        <v/>
      </c>
      <c r="C165" s="140"/>
      <c r="D165" s="126"/>
      <c r="E165" s="127" t="str">
        <f t="shared" si="5"/>
        <v/>
      </c>
      <c r="F165" s="128"/>
      <c r="G165" s="128"/>
      <c r="H165" s="129"/>
      <c r="I165" s="130"/>
      <c r="J165" s="131"/>
      <c r="K165" s="126"/>
      <c r="L165" s="140"/>
      <c r="M165" s="132"/>
      <c r="N165" s="133"/>
      <c r="O165" s="134"/>
      <c r="P165" s="135"/>
      <c r="Q165" s="136"/>
      <c r="R165" s="137"/>
      <c r="S165" s="138"/>
      <c r="T165" s="60"/>
      <c r="U165" s="87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125"/>
      <c r="AL165" s="112"/>
      <c r="AM165" s="112"/>
      <c r="AN165" s="112"/>
      <c r="AO165" s="112"/>
      <c r="AP165" s="112"/>
      <c r="AQ165" s="113"/>
      <c r="AR165" s="113"/>
      <c r="AS165" s="114"/>
      <c r="AT165" s="88"/>
      <c r="AU165" s="115"/>
      <c r="AV165" s="116"/>
      <c r="AW165" s="115"/>
      <c r="AX165" s="116"/>
      <c r="AY165" s="115"/>
      <c r="AZ165" s="116"/>
      <c r="BA165" s="115"/>
      <c r="BB165" s="116"/>
      <c r="BC165" s="117"/>
      <c r="BD165" s="118"/>
      <c r="BE165" s="119"/>
      <c r="BF165" s="120"/>
      <c r="BG165" s="120"/>
      <c r="BH165" s="125"/>
    </row>
    <row r="166" spans="1:60" s="36" customFormat="1" ht="23.25" customHeight="1" x14ac:dyDescent="0.3">
      <c r="A166" s="61">
        <v>162</v>
      </c>
      <c r="B166" s="66" t="str">
        <f t="shared" si="4"/>
        <v/>
      </c>
      <c r="C166" s="140"/>
      <c r="D166" s="126"/>
      <c r="E166" s="127" t="str">
        <f t="shared" si="5"/>
        <v/>
      </c>
      <c r="F166" s="128"/>
      <c r="G166" s="128"/>
      <c r="H166" s="129"/>
      <c r="I166" s="130"/>
      <c r="J166" s="131"/>
      <c r="K166" s="126"/>
      <c r="L166" s="140"/>
      <c r="M166" s="132"/>
      <c r="N166" s="133"/>
      <c r="O166" s="134"/>
      <c r="P166" s="135"/>
      <c r="Q166" s="136"/>
      <c r="R166" s="137"/>
      <c r="S166" s="138"/>
      <c r="T166" s="60"/>
      <c r="U166" s="87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125"/>
      <c r="AL166" s="112"/>
      <c r="AM166" s="112"/>
      <c r="AN166" s="112"/>
      <c r="AO166" s="112"/>
      <c r="AP166" s="112"/>
      <c r="AQ166" s="113"/>
      <c r="AR166" s="113"/>
      <c r="AS166" s="114"/>
      <c r="AT166" s="88"/>
      <c r="AU166" s="115"/>
      <c r="AV166" s="116"/>
      <c r="AW166" s="115"/>
      <c r="AX166" s="116"/>
      <c r="AY166" s="115"/>
      <c r="AZ166" s="116"/>
      <c r="BA166" s="115"/>
      <c r="BB166" s="116"/>
      <c r="BC166" s="117"/>
      <c r="BD166" s="118"/>
      <c r="BE166" s="119"/>
      <c r="BF166" s="120"/>
      <c r="BG166" s="120"/>
      <c r="BH166" s="125"/>
    </row>
    <row r="167" spans="1:60" s="36" customFormat="1" ht="23.25" customHeight="1" x14ac:dyDescent="0.3">
      <c r="A167" s="61">
        <v>163</v>
      </c>
      <c r="B167" s="66" t="str">
        <f t="shared" si="4"/>
        <v/>
      </c>
      <c r="C167" s="140"/>
      <c r="D167" s="126"/>
      <c r="E167" s="127" t="str">
        <f t="shared" si="5"/>
        <v/>
      </c>
      <c r="F167" s="128"/>
      <c r="G167" s="128"/>
      <c r="H167" s="129"/>
      <c r="I167" s="130"/>
      <c r="J167" s="131"/>
      <c r="K167" s="126"/>
      <c r="L167" s="140"/>
      <c r="M167" s="132"/>
      <c r="N167" s="133"/>
      <c r="O167" s="134"/>
      <c r="P167" s="135"/>
      <c r="Q167" s="136"/>
      <c r="R167" s="137"/>
      <c r="S167" s="138"/>
      <c r="T167" s="60"/>
      <c r="U167" s="87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88"/>
      <c r="AK167" s="125"/>
      <c r="AL167" s="112"/>
      <c r="AM167" s="112"/>
      <c r="AN167" s="112"/>
      <c r="AO167" s="112"/>
      <c r="AP167" s="112"/>
      <c r="AQ167" s="113"/>
      <c r="AR167" s="113"/>
      <c r="AS167" s="114"/>
      <c r="AT167" s="88"/>
      <c r="AU167" s="115"/>
      <c r="AV167" s="116"/>
      <c r="AW167" s="115"/>
      <c r="AX167" s="116"/>
      <c r="AY167" s="115"/>
      <c r="AZ167" s="116"/>
      <c r="BA167" s="115"/>
      <c r="BB167" s="116"/>
      <c r="BC167" s="117"/>
      <c r="BD167" s="118"/>
      <c r="BE167" s="119"/>
      <c r="BF167" s="120"/>
      <c r="BG167" s="120"/>
      <c r="BH167" s="125"/>
    </row>
    <row r="168" spans="1:60" s="36" customFormat="1" ht="23.25" customHeight="1" x14ac:dyDescent="0.3">
      <c r="A168" s="61">
        <v>164</v>
      </c>
      <c r="B168" s="66" t="str">
        <f t="shared" si="4"/>
        <v/>
      </c>
      <c r="C168" s="140"/>
      <c r="D168" s="126"/>
      <c r="E168" s="127" t="str">
        <f t="shared" si="5"/>
        <v/>
      </c>
      <c r="F168" s="128"/>
      <c r="G168" s="128"/>
      <c r="H168" s="129"/>
      <c r="I168" s="130"/>
      <c r="J168" s="131"/>
      <c r="K168" s="126"/>
      <c r="L168" s="140"/>
      <c r="M168" s="132"/>
      <c r="N168" s="133"/>
      <c r="O168" s="134"/>
      <c r="P168" s="135"/>
      <c r="Q168" s="136"/>
      <c r="R168" s="137"/>
      <c r="S168" s="138"/>
      <c r="T168" s="60"/>
      <c r="U168" s="87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125"/>
      <c r="AL168" s="112"/>
      <c r="AM168" s="112"/>
      <c r="AN168" s="112"/>
      <c r="AO168" s="112"/>
      <c r="AP168" s="112"/>
      <c r="AQ168" s="113"/>
      <c r="AR168" s="113"/>
      <c r="AS168" s="114"/>
      <c r="AT168" s="88"/>
      <c r="AU168" s="115"/>
      <c r="AV168" s="116"/>
      <c r="AW168" s="115"/>
      <c r="AX168" s="116"/>
      <c r="AY168" s="115"/>
      <c r="AZ168" s="116"/>
      <c r="BA168" s="115"/>
      <c r="BB168" s="116"/>
      <c r="BC168" s="117"/>
      <c r="BD168" s="118"/>
      <c r="BE168" s="119"/>
      <c r="BF168" s="120"/>
      <c r="BG168" s="120"/>
      <c r="BH168" s="125"/>
    </row>
    <row r="169" spans="1:60" s="36" customFormat="1" ht="23.25" customHeight="1" x14ac:dyDescent="0.3">
      <c r="A169" s="61">
        <v>165</v>
      </c>
      <c r="B169" s="66" t="str">
        <f t="shared" si="4"/>
        <v/>
      </c>
      <c r="C169" s="140"/>
      <c r="D169" s="126"/>
      <c r="E169" s="127" t="str">
        <f t="shared" si="5"/>
        <v/>
      </c>
      <c r="F169" s="128"/>
      <c r="G169" s="128"/>
      <c r="H169" s="129"/>
      <c r="I169" s="130"/>
      <c r="J169" s="131"/>
      <c r="K169" s="126"/>
      <c r="L169" s="140"/>
      <c r="M169" s="132"/>
      <c r="N169" s="133"/>
      <c r="O169" s="134"/>
      <c r="P169" s="135"/>
      <c r="Q169" s="136"/>
      <c r="R169" s="137"/>
      <c r="S169" s="138"/>
      <c r="T169" s="60"/>
      <c r="U169" s="87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88"/>
      <c r="AG169" s="88"/>
      <c r="AH169" s="88"/>
      <c r="AI169" s="88"/>
      <c r="AJ169" s="88"/>
      <c r="AK169" s="125"/>
      <c r="AL169" s="112"/>
      <c r="AM169" s="112"/>
      <c r="AN169" s="112"/>
      <c r="AO169" s="112"/>
      <c r="AP169" s="112"/>
      <c r="AQ169" s="113"/>
      <c r="AR169" s="113"/>
      <c r="AS169" s="114"/>
      <c r="AT169" s="88"/>
      <c r="AU169" s="115"/>
      <c r="AV169" s="116"/>
      <c r="AW169" s="115"/>
      <c r="AX169" s="116"/>
      <c r="AY169" s="115"/>
      <c r="AZ169" s="116"/>
      <c r="BA169" s="115"/>
      <c r="BB169" s="116"/>
      <c r="BC169" s="117"/>
      <c r="BD169" s="118"/>
      <c r="BE169" s="119"/>
      <c r="BF169" s="120"/>
      <c r="BG169" s="120"/>
      <c r="BH169" s="125"/>
    </row>
    <row r="170" spans="1:60" s="36" customFormat="1" ht="23.25" customHeight="1" x14ac:dyDescent="0.3">
      <c r="A170" s="61">
        <v>166</v>
      </c>
      <c r="B170" s="66" t="str">
        <f t="shared" si="4"/>
        <v/>
      </c>
      <c r="C170" s="140"/>
      <c r="D170" s="126"/>
      <c r="E170" s="127" t="str">
        <f t="shared" si="5"/>
        <v/>
      </c>
      <c r="F170" s="128"/>
      <c r="G170" s="128"/>
      <c r="H170" s="129"/>
      <c r="I170" s="130"/>
      <c r="J170" s="131"/>
      <c r="K170" s="126"/>
      <c r="L170" s="140"/>
      <c r="M170" s="132"/>
      <c r="N170" s="133"/>
      <c r="O170" s="134"/>
      <c r="P170" s="135"/>
      <c r="Q170" s="136"/>
      <c r="R170" s="137"/>
      <c r="S170" s="138"/>
      <c r="T170" s="60"/>
      <c r="U170" s="87"/>
      <c r="V170" s="88"/>
      <c r="W170" s="88"/>
      <c r="X170" s="88"/>
      <c r="Y170" s="88"/>
      <c r="Z170" s="88"/>
      <c r="AA170" s="88"/>
      <c r="AB170" s="88"/>
      <c r="AC170" s="88"/>
      <c r="AD170" s="88"/>
      <c r="AE170" s="88"/>
      <c r="AF170" s="88"/>
      <c r="AG170" s="88"/>
      <c r="AH170" s="88"/>
      <c r="AI170" s="88"/>
      <c r="AJ170" s="88"/>
      <c r="AK170" s="125"/>
      <c r="AL170" s="112"/>
      <c r="AM170" s="112"/>
      <c r="AN170" s="112"/>
      <c r="AO170" s="112"/>
      <c r="AP170" s="112"/>
      <c r="AQ170" s="113"/>
      <c r="AR170" s="113"/>
      <c r="AS170" s="114"/>
      <c r="AT170" s="88"/>
      <c r="AU170" s="115"/>
      <c r="AV170" s="116"/>
      <c r="AW170" s="115"/>
      <c r="AX170" s="116"/>
      <c r="AY170" s="115"/>
      <c r="AZ170" s="116"/>
      <c r="BA170" s="115"/>
      <c r="BB170" s="116"/>
      <c r="BC170" s="117"/>
      <c r="BD170" s="118"/>
      <c r="BE170" s="119"/>
      <c r="BF170" s="120"/>
      <c r="BG170" s="120"/>
      <c r="BH170" s="125"/>
    </row>
    <row r="171" spans="1:60" s="36" customFormat="1" ht="23.25" customHeight="1" x14ac:dyDescent="0.3">
      <c r="A171" s="61">
        <v>167</v>
      </c>
      <c r="B171" s="66" t="str">
        <f t="shared" si="4"/>
        <v/>
      </c>
      <c r="C171" s="140"/>
      <c r="D171" s="126"/>
      <c r="E171" s="127" t="str">
        <f t="shared" si="5"/>
        <v/>
      </c>
      <c r="F171" s="128"/>
      <c r="G171" s="128"/>
      <c r="H171" s="129"/>
      <c r="I171" s="130"/>
      <c r="J171" s="131"/>
      <c r="K171" s="126"/>
      <c r="L171" s="140"/>
      <c r="M171" s="132"/>
      <c r="N171" s="133"/>
      <c r="O171" s="134"/>
      <c r="P171" s="135"/>
      <c r="Q171" s="136"/>
      <c r="R171" s="137"/>
      <c r="S171" s="138"/>
      <c r="T171" s="60"/>
      <c r="U171" s="87"/>
      <c r="V171" s="88"/>
      <c r="W171" s="88"/>
      <c r="X171" s="88"/>
      <c r="Y171" s="88"/>
      <c r="Z171" s="88"/>
      <c r="AA171" s="88"/>
      <c r="AB171" s="88"/>
      <c r="AC171" s="88"/>
      <c r="AD171" s="88"/>
      <c r="AE171" s="88"/>
      <c r="AF171" s="88"/>
      <c r="AG171" s="88"/>
      <c r="AH171" s="88"/>
      <c r="AI171" s="88"/>
      <c r="AJ171" s="88"/>
      <c r="AK171" s="125"/>
      <c r="AL171" s="112"/>
      <c r="AM171" s="112"/>
      <c r="AN171" s="112"/>
      <c r="AO171" s="112"/>
      <c r="AP171" s="112"/>
      <c r="AQ171" s="113"/>
      <c r="AR171" s="113"/>
      <c r="AS171" s="114"/>
      <c r="AT171" s="88"/>
      <c r="AU171" s="115"/>
      <c r="AV171" s="116"/>
      <c r="AW171" s="115"/>
      <c r="AX171" s="116"/>
      <c r="AY171" s="115"/>
      <c r="AZ171" s="116"/>
      <c r="BA171" s="115"/>
      <c r="BB171" s="116"/>
      <c r="BC171" s="117"/>
      <c r="BD171" s="118"/>
      <c r="BE171" s="119"/>
      <c r="BF171" s="120"/>
      <c r="BG171" s="120"/>
      <c r="BH171" s="125"/>
    </row>
    <row r="172" spans="1:60" s="36" customFormat="1" ht="23.25" customHeight="1" x14ac:dyDescent="0.3">
      <c r="A172" s="61">
        <v>168</v>
      </c>
      <c r="B172" s="66" t="str">
        <f t="shared" si="4"/>
        <v/>
      </c>
      <c r="C172" s="140"/>
      <c r="D172" s="126"/>
      <c r="E172" s="127" t="str">
        <f t="shared" si="5"/>
        <v/>
      </c>
      <c r="F172" s="128"/>
      <c r="G172" s="128"/>
      <c r="H172" s="129"/>
      <c r="I172" s="130"/>
      <c r="J172" s="131"/>
      <c r="K172" s="126"/>
      <c r="L172" s="140"/>
      <c r="M172" s="132"/>
      <c r="N172" s="133"/>
      <c r="O172" s="134"/>
      <c r="P172" s="135"/>
      <c r="Q172" s="136"/>
      <c r="R172" s="137"/>
      <c r="S172" s="138"/>
      <c r="T172" s="60"/>
      <c r="U172" s="87"/>
      <c r="V172" s="88"/>
      <c r="W172" s="88"/>
      <c r="X172" s="88"/>
      <c r="Y172" s="88"/>
      <c r="Z172" s="88"/>
      <c r="AA172" s="88"/>
      <c r="AB172" s="88"/>
      <c r="AC172" s="88"/>
      <c r="AD172" s="88"/>
      <c r="AE172" s="88"/>
      <c r="AF172" s="88"/>
      <c r="AG172" s="88"/>
      <c r="AH172" s="88"/>
      <c r="AI172" s="88"/>
      <c r="AJ172" s="88"/>
      <c r="AK172" s="125"/>
      <c r="AL172" s="112"/>
      <c r="AM172" s="112"/>
      <c r="AN172" s="112"/>
      <c r="AO172" s="112"/>
      <c r="AP172" s="112"/>
      <c r="AQ172" s="113"/>
      <c r="AR172" s="113"/>
      <c r="AS172" s="114"/>
      <c r="AT172" s="88"/>
      <c r="AU172" s="115"/>
      <c r="AV172" s="116"/>
      <c r="AW172" s="115"/>
      <c r="AX172" s="116"/>
      <c r="AY172" s="115"/>
      <c r="AZ172" s="116"/>
      <c r="BA172" s="115"/>
      <c r="BB172" s="116"/>
      <c r="BC172" s="117"/>
      <c r="BD172" s="118"/>
      <c r="BE172" s="119"/>
      <c r="BF172" s="120"/>
      <c r="BG172" s="120"/>
      <c r="BH172" s="125"/>
    </row>
    <row r="173" spans="1:60" s="36" customFormat="1" ht="23.25" customHeight="1" x14ac:dyDescent="0.3">
      <c r="A173" s="61">
        <v>169</v>
      </c>
      <c r="B173" s="66" t="str">
        <f t="shared" si="4"/>
        <v/>
      </c>
      <c r="C173" s="140"/>
      <c r="D173" s="126"/>
      <c r="E173" s="127" t="str">
        <f t="shared" si="5"/>
        <v/>
      </c>
      <c r="F173" s="128"/>
      <c r="G173" s="128"/>
      <c r="H173" s="129"/>
      <c r="I173" s="130"/>
      <c r="J173" s="131"/>
      <c r="K173" s="126"/>
      <c r="L173" s="140"/>
      <c r="M173" s="132"/>
      <c r="N173" s="133"/>
      <c r="O173" s="134"/>
      <c r="P173" s="135"/>
      <c r="Q173" s="136"/>
      <c r="R173" s="137"/>
      <c r="S173" s="138"/>
      <c r="T173" s="60"/>
      <c r="U173" s="87"/>
      <c r="V173" s="88"/>
      <c r="W173" s="88"/>
      <c r="X173" s="88"/>
      <c r="Y173" s="88"/>
      <c r="Z173" s="88"/>
      <c r="AA173" s="88"/>
      <c r="AB173" s="88"/>
      <c r="AC173" s="88"/>
      <c r="AD173" s="88"/>
      <c r="AE173" s="88"/>
      <c r="AF173" s="88"/>
      <c r="AG173" s="88"/>
      <c r="AH173" s="88"/>
      <c r="AI173" s="88"/>
      <c r="AJ173" s="88"/>
      <c r="AK173" s="125"/>
      <c r="AL173" s="112"/>
      <c r="AM173" s="112"/>
      <c r="AN173" s="112"/>
      <c r="AO173" s="112"/>
      <c r="AP173" s="112"/>
      <c r="AQ173" s="113"/>
      <c r="AR173" s="113"/>
      <c r="AS173" s="114"/>
      <c r="AT173" s="88"/>
      <c r="AU173" s="115"/>
      <c r="AV173" s="116"/>
      <c r="AW173" s="115"/>
      <c r="AX173" s="116"/>
      <c r="AY173" s="115"/>
      <c r="AZ173" s="116"/>
      <c r="BA173" s="115"/>
      <c r="BB173" s="116"/>
      <c r="BC173" s="117"/>
      <c r="BD173" s="118"/>
      <c r="BE173" s="119"/>
      <c r="BF173" s="120"/>
      <c r="BG173" s="120"/>
      <c r="BH173" s="125"/>
    </row>
    <row r="174" spans="1:60" s="36" customFormat="1" ht="23.25" customHeight="1" x14ac:dyDescent="0.3">
      <c r="A174" s="61">
        <v>170</v>
      </c>
      <c r="B174" s="66" t="str">
        <f t="shared" si="4"/>
        <v/>
      </c>
      <c r="C174" s="140"/>
      <c r="D174" s="126"/>
      <c r="E174" s="127" t="str">
        <f t="shared" si="5"/>
        <v/>
      </c>
      <c r="F174" s="128"/>
      <c r="G174" s="128"/>
      <c r="H174" s="129"/>
      <c r="I174" s="130"/>
      <c r="J174" s="131"/>
      <c r="K174" s="126"/>
      <c r="L174" s="140"/>
      <c r="M174" s="132"/>
      <c r="N174" s="133"/>
      <c r="O174" s="134"/>
      <c r="P174" s="135"/>
      <c r="Q174" s="136"/>
      <c r="R174" s="137"/>
      <c r="S174" s="138"/>
      <c r="T174" s="60"/>
      <c r="U174" s="87"/>
      <c r="V174" s="88"/>
      <c r="W174" s="88"/>
      <c r="X174" s="88"/>
      <c r="Y174" s="88"/>
      <c r="Z174" s="88"/>
      <c r="AA174" s="88"/>
      <c r="AB174" s="88"/>
      <c r="AC174" s="88"/>
      <c r="AD174" s="88"/>
      <c r="AE174" s="88"/>
      <c r="AF174" s="88"/>
      <c r="AG174" s="88"/>
      <c r="AH174" s="88"/>
      <c r="AI174" s="88"/>
      <c r="AJ174" s="88"/>
      <c r="AK174" s="125"/>
      <c r="AL174" s="112"/>
      <c r="AM174" s="112"/>
      <c r="AN174" s="112"/>
      <c r="AO174" s="112"/>
      <c r="AP174" s="112"/>
      <c r="AQ174" s="113"/>
      <c r="AR174" s="113"/>
      <c r="AS174" s="114"/>
      <c r="AT174" s="88"/>
      <c r="AU174" s="115"/>
      <c r="AV174" s="116"/>
      <c r="AW174" s="115"/>
      <c r="AX174" s="116"/>
      <c r="AY174" s="115"/>
      <c r="AZ174" s="116"/>
      <c r="BA174" s="115"/>
      <c r="BB174" s="116"/>
      <c r="BC174" s="117"/>
      <c r="BD174" s="118"/>
      <c r="BE174" s="119"/>
      <c r="BF174" s="120"/>
      <c r="BG174" s="120"/>
      <c r="BH174" s="125"/>
    </row>
    <row r="175" spans="1:60" s="36" customFormat="1" ht="23.25" customHeight="1" x14ac:dyDescent="0.3">
      <c r="A175" s="61">
        <v>171</v>
      </c>
      <c r="B175" s="66" t="str">
        <f t="shared" si="4"/>
        <v/>
      </c>
      <c r="C175" s="140"/>
      <c r="D175" s="126"/>
      <c r="E175" s="127" t="str">
        <f t="shared" si="5"/>
        <v/>
      </c>
      <c r="F175" s="128"/>
      <c r="G175" s="128"/>
      <c r="H175" s="129"/>
      <c r="I175" s="130"/>
      <c r="J175" s="131"/>
      <c r="K175" s="126"/>
      <c r="L175" s="140"/>
      <c r="M175" s="132"/>
      <c r="N175" s="133"/>
      <c r="O175" s="134"/>
      <c r="P175" s="135"/>
      <c r="Q175" s="136"/>
      <c r="R175" s="137"/>
      <c r="S175" s="138"/>
      <c r="T175" s="60"/>
      <c r="U175" s="87"/>
      <c r="V175" s="88"/>
      <c r="W175" s="88"/>
      <c r="X175" s="88"/>
      <c r="Y175" s="88"/>
      <c r="Z175" s="88"/>
      <c r="AA175" s="88"/>
      <c r="AB175" s="88"/>
      <c r="AC175" s="88"/>
      <c r="AD175" s="88"/>
      <c r="AE175" s="88"/>
      <c r="AF175" s="88"/>
      <c r="AG175" s="88"/>
      <c r="AH175" s="88"/>
      <c r="AI175" s="88"/>
      <c r="AJ175" s="88"/>
      <c r="AK175" s="125"/>
      <c r="AL175" s="112"/>
      <c r="AM175" s="112"/>
      <c r="AN175" s="112"/>
      <c r="AO175" s="112"/>
      <c r="AP175" s="112"/>
      <c r="AQ175" s="113"/>
      <c r="AR175" s="113"/>
      <c r="AS175" s="114"/>
      <c r="AT175" s="88"/>
      <c r="AU175" s="115"/>
      <c r="AV175" s="116"/>
      <c r="AW175" s="115"/>
      <c r="AX175" s="116"/>
      <c r="AY175" s="115"/>
      <c r="AZ175" s="116"/>
      <c r="BA175" s="115"/>
      <c r="BB175" s="116"/>
      <c r="BC175" s="117"/>
      <c r="BD175" s="118"/>
      <c r="BE175" s="119"/>
      <c r="BF175" s="120"/>
      <c r="BG175" s="120"/>
      <c r="BH175" s="125"/>
    </row>
    <row r="176" spans="1:60" s="36" customFormat="1" ht="23.25" customHeight="1" x14ac:dyDescent="0.3">
      <c r="A176" s="61">
        <v>172</v>
      </c>
      <c r="B176" s="66" t="str">
        <f t="shared" si="4"/>
        <v/>
      </c>
      <c r="C176" s="140"/>
      <c r="D176" s="126"/>
      <c r="E176" s="127" t="str">
        <f t="shared" si="5"/>
        <v/>
      </c>
      <c r="F176" s="128"/>
      <c r="G176" s="128"/>
      <c r="H176" s="129"/>
      <c r="I176" s="130"/>
      <c r="J176" s="131"/>
      <c r="K176" s="126"/>
      <c r="L176" s="140"/>
      <c r="M176" s="132"/>
      <c r="N176" s="133"/>
      <c r="O176" s="134"/>
      <c r="P176" s="135"/>
      <c r="Q176" s="136"/>
      <c r="R176" s="137"/>
      <c r="S176" s="138"/>
      <c r="T176" s="60"/>
      <c r="U176" s="87"/>
      <c r="V176" s="88"/>
      <c r="W176" s="88"/>
      <c r="X176" s="88"/>
      <c r="Y176" s="88"/>
      <c r="Z176" s="88"/>
      <c r="AA176" s="88"/>
      <c r="AB176" s="88"/>
      <c r="AC176" s="88"/>
      <c r="AD176" s="88"/>
      <c r="AE176" s="88"/>
      <c r="AF176" s="88"/>
      <c r="AG176" s="88"/>
      <c r="AH176" s="88"/>
      <c r="AI176" s="88"/>
      <c r="AJ176" s="88"/>
      <c r="AK176" s="125"/>
      <c r="AL176" s="112"/>
      <c r="AM176" s="112"/>
      <c r="AN176" s="112"/>
      <c r="AO176" s="112"/>
      <c r="AP176" s="112"/>
      <c r="AQ176" s="113"/>
      <c r="AR176" s="113"/>
      <c r="AS176" s="114"/>
      <c r="AT176" s="88"/>
      <c r="AU176" s="115"/>
      <c r="AV176" s="116"/>
      <c r="AW176" s="115"/>
      <c r="AX176" s="116"/>
      <c r="AY176" s="115"/>
      <c r="AZ176" s="116"/>
      <c r="BA176" s="115"/>
      <c r="BB176" s="116"/>
      <c r="BC176" s="117"/>
      <c r="BD176" s="118"/>
      <c r="BE176" s="119"/>
      <c r="BF176" s="120"/>
      <c r="BG176" s="120"/>
      <c r="BH176" s="125"/>
    </row>
    <row r="177" spans="1:60" s="36" customFormat="1" ht="23.25" customHeight="1" x14ac:dyDescent="0.3">
      <c r="A177" s="61">
        <v>173</v>
      </c>
      <c r="B177" s="66" t="str">
        <f t="shared" si="4"/>
        <v/>
      </c>
      <c r="C177" s="140"/>
      <c r="D177" s="126"/>
      <c r="E177" s="127" t="str">
        <f t="shared" si="5"/>
        <v/>
      </c>
      <c r="F177" s="128"/>
      <c r="G177" s="128"/>
      <c r="H177" s="129"/>
      <c r="I177" s="130"/>
      <c r="J177" s="131"/>
      <c r="K177" s="126"/>
      <c r="L177" s="140"/>
      <c r="M177" s="132"/>
      <c r="N177" s="133"/>
      <c r="O177" s="134"/>
      <c r="P177" s="135"/>
      <c r="Q177" s="136"/>
      <c r="R177" s="137"/>
      <c r="S177" s="138"/>
      <c r="T177" s="60"/>
      <c r="U177" s="87"/>
      <c r="V177" s="88"/>
      <c r="W177" s="88"/>
      <c r="X177" s="88"/>
      <c r="Y177" s="88"/>
      <c r="Z177" s="88"/>
      <c r="AA177" s="88"/>
      <c r="AB177" s="88"/>
      <c r="AC177" s="88"/>
      <c r="AD177" s="88"/>
      <c r="AE177" s="88"/>
      <c r="AF177" s="88"/>
      <c r="AG177" s="88"/>
      <c r="AH177" s="88"/>
      <c r="AI177" s="88"/>
      <c r="AJ177" s="88"/>
      <c r="AK177" s="125"/>
      <c r="AL177" s="112"/>
      <c r="AM177" s="112"/>
      <c r="AN177" s="112"/>
      <c r="AO177" s="112"/>
      <c r="AP177" s="112"/>
      <c r="AQ177" s="113"/>
      <c r="AR177" s="113"/>
      <c r="AS177" s="114"/>
      <c r="AT177" s="88"/>
      <c r="AU177" s="115"/>
      <c r="AV177" s="116"/>
      <c r="AW177" s="115"/>
      <c r="AX177" s="116"/>
      <c r="AY177" s="115"/>
      <c r="AZ177" s="116"/>
      <c r="BA177" s="115"/>
      <c r="BB177" s="116"/>
      <c r="BC177" s="117"/>
      <c r="BD177" s="118"/>
      <c r="BE177" s="119"/>
      <c r="BF177" s="120"/>
      <c r="BG177" s="120"/>
      <c r="BH177" s="125"/>
    </row>
    <row r="178" spans="1:60" s="36" customFormat="1" ht="23.25" customHeight="1" x14ac:dyDescent="0.3">
      <c r="A178" s="61">
        <v>174</v>
      </c>
      <c r="B178" s="66" t="str">
        <f t="shared" si="4"/>
        <v/>
      </c>
      <c r="C178" s="140"/>
      <c r="D178" s="126"/>
      <c r="E178" s="127" t="str">
        <f t="shared" si="5"/>
        <v/>
      </c>
      <c r="F178" s="128"/>
      <c r="G178" s="128"/>
      <c r="H178" s="129"/>
      <c r="I178" s="130"/>
      <c r="J178" s="131"/>
      <c r="K178" s="126"/>
      <c r="L178" s="140"/>
      <c r="M178" s="132"/>
      <c r="N178" s="133"/>
      <c r="O178" s="134"/>
      <c r="P178" s="135"/>
      <c r="Q178" s="136"/>
      <c r="R178" s="137"/>
      <c r="S178" s="138"/>
      <c r="T178" s="60"/>
      <c r="U178" s="87"/>
      <c r="V178" s="88"/>
      <c r="W178" s="88"/>
      <c r="X178" s="88"/>
      <c r="Y178" s="88"/>
      <c r="Z178" s="88"/>
      <c r="AA178" s="88"/>
      <c r="AB178" s="88"/>
      <c r="AC178" s="88"/>
      <c r="AD178" s="88"/>
      <c r="AE178" s="88"/>
      <c r="AF178" s="88"/>
      <c r="AG178" s="88"/>
      <c r="AH178" s="88"/>
      <c r="AI178" s="88"/>
      <c r="AJ178" s="88"/>
      <c r="AK178" s="125"/>
      <c r="AL178" s="112"/>
      <c r="AM178" s="112"/>
      <c r="AN178" s="112"/>
      <c r="AO178" s="112"/>
      <c r="AP178" s="112"/>
      <c r="AQ178" s="113"/>
      <c r="AR178" s="113"/>
      <c r="AS178" s="114"/>
      <c r="AT178" s="88"/>
      <c r="AU178" s="115"/>
      <c r="AV178" s="116"/>
      <c r="AW178" s="115"/>
      <c r="AX178" s="116"/>
      <c r="AY178" s="115"/>
      <c r="AZ178" s="116"/>
      <c r="BA178" s="115"/>
      <c r="BB178" s="116"/>
      <c r="BC178" s="117"/>
      <c r="BD178" s="118"/>
      <c r="BE178" s="119"/>
      <c r="BF178" s="120"/>
      <c r="BG178" s="120"/>
      <c r="BH178" s="125"/>
    </row>
    <row r="179" spans="1:60" s="36" customFormat="1" ht="23.25" customHeight="1" x14ac:dyDescent="0.3">
      <c r="A179" s="61">
        <v>175</v>
      </c>
      <c r="B179" s="66" t="str">
        <f t="shared" si="4"/>
        <v/>
      </c>
      <c r="C179" s="140"/>
      <c r="D179" s="126"/>
      <c r="E179" s="127" t="str">
        <f t="shared" si="5"/>
        <v/>
      </c>
      <c r="F179" s="128"/>
      <c r="G179" s="128"/>
      <c r="H179" s="129"/>
      <c r="I179" s="130"/>
      <c r="J179" s="131"/>
      <c r="K179" s="126"/>
      <c r="L179" s="140"/>
      <c r="M179" s="132"/>
      <c r="N179" s="133"/>
      <c r="O179" s="134"/>
      <c r="P179" s="135"/>
      <c r="Q179" s="136"/>
      <c r="R179" s="137"/>
      <c r="S179" s="138"/>
      <c r="T179" s="60"/>
      <c r="U179" s="87"/>
      <c r="V179" s="88"/>
      <c r="W179" s="88"/>
      <c r="X179" s="88"/>
      <c r="Y179" s="88"/>
      <c r="Z179" s="88"/>
      <c r="AA179" s="88"/>
      <c r="AB179" s="88"/>
      <c r="AC179" s="88"/>
      <c r="AD179" s="88"/>
      <c r="AE179" s="88"/>
      <c r="AF179" s="88"/>
      <c r="AG179" s="88"/>
      <c r="AH179" s="88"/>
      <c r="AI179" s="88"/>
      <c r="AJ179" s="88"/>
      <c r="AK179" s="125"/>
      <c r="AL179" s="112"/>
      <c r="AM179" s="112"/>
      <c r="AN179" s="112"/>
      <c r="AO179" s="112"/>
      <c r="AP179" s="112"/>
      <c r="AQ179" s="113"/>
      <c r="AR179" s="113"/>
      <c r="AS179" s="114"/>
      <c r="AT179" s="88"/>
      <c r="AU179" s="115"/>
      <c r="AV179" s="116"/>
      <c r="AW179" s="115"/>
      <c r="AX179" s="116"/>
      <c r="AY179" s="115"/>
      <c r="AZ179" s="116"/>
      <c r="BA179" s="115"/>
      <c r="BB179" s="116"/>
      <c r="BC179" s="117"/>
      <c r="BD179" s="118"/>
      <c r="BE179" s="119"/>
      <c r="BF179" s="120"/>
      <c r="BG179" s="120"/>
      <c r="BH179" s="125"/>
    </row>
    <row r="180" spans="1:60" s="36" customFormat="1" ht="23.25" customHeight="1" x14ac:dyDescent="0.3">
      <c r="A180" s="61">
        <v>176</v>
      </c>
      <c r="B180" s="66" t="str">
        <f t="shared" si="4"/>
        <v/>
      </c>
      <c r="C180" s="140"/>
      <c r="D180" s="126"/>
      <c r="E180" s="127" t="str">
        <f t="shared" si="5"/>
        <v/>
      </c>
      <c r="F180" s="128"/>
      <c r="G180" s="128"/>
      <c r="H180" s="129"/>
      <c r="I180" s="130"/>
      <c r="J180" s="131"/>
      <c r="K180" s="126"/>
      <c r="L180" s="140"/>
      <c r="M180" s="132"/>
      <c r="N180" s="133"/>
      <c r="O180" s="134"/>
      <c r="P180" s="135"/>
      <c r="Q180" s="136"/>
      <c r="R180" s="137"/>
      <c r="S180" s="138"/>
      <c r="T180" s="60"/>
      <c r="U180" s="87"/>
      <c r="V180" s="88"/>
      <c r="W180" s="88"/>
      <c r="X180" s="88"/>
      <c r="Y180" s="88"/>
      <c r="Z180" s="88"/>
      <c r="AA180" s="88"/>
      <c r="AB180" s="88"/>
      <c r="AC180" s="88"/>
      <c r="AD180" s="88"/>
      <c r="AE180" s="88"/>
      <c r="AF180" s="88"/>
      <c r="AG180" s="88"/>
      <c r="AH180" s="88"/>
      <c r="AI180" s="88"/>
      <c r="AJ180" s="88"/>
      <c r="AK180" s="125"/>
      <c r="AL180" s="112"/>
      <c r="AM180" s="112"/>
      <c r="AN180" s="112"/>
      <c r="AO180" s="112"/>
      <c r="AP180" s="112"/>
      <c r="AQ180" s="113"/>
      <c r="AR180" s="113"/>
      <c r="AS180" s="114"/>
      <c r="AT180" s="88"/>
      <c r="AU180" s="115"/>
      <c r="AV180" s="116"/>
      <c r="AW180" s="115"/>
      <c r="AX180" s="116"/>
      <c r="AY180" s="115"/>
      <c r="AZ180" s="116"/>
      <c r="BA180" s="115"/>
      <c r="BB180" s="116"/>
      <c r="BC180" s="117"/>
      <c r="BD180" s="118"/>
      <c r="BE180" s="119"/>
      <c r="BF180" s="120"/>
      <c r="BG180" s="120"/>
      <c r="BH180" s="125"/>
    </row>
    <row r="181" spans="1:60" s="36" customFormat="1" ht="23.25" customHeight="1" x14ac:dyDescent="0.3">
      <c r="A181" s="61">
        <v>177</v>
      </c>
      <c r="B181" s="66" t="str">
        <f t="shared" si="4"/>
        <v/>
      </c>
      <c r="C181" s="140"/>
      <c r="D181" s="126"/>
      <c r="E181" s="127" t="str">
        <f t="shared" si="5"/>
        <v/>
      </c>
      <c r="F181" s="128"/>
      <c r="G181" s="128"/>
      <c r="H181" s="129"/>
      <c r="I181" s="130"/>
      <c r="J181" s="131"/>
      <c r="K181" s="126"/>
      <c r="L181" s="140"/>
      <c r="M181" s="132"/>
      <c r="N181" s="133"/>
      <c r="O181" s="134"/>
      <c r="P181" s="135"/>
      <c r="Q181" s="136"/>
      <c r="R181" s="137"/>
      <c r="S181" s="138"/>
      <c r="T181" s="60"/>
      <c r="U181" s="87"/>
      <c r="V181" s="88"/>
      <c r="W181" s="88"/>
      <c r="X181" s="88"/>
      <c r="Y181" s="88"/>
      <c r="Z181" s="88"/>
      <c r="AA181" s="88"/>
      <c r="AB181" s="88"/>
      <c r="AC181" s="88"/>
      <c r="AD181" s="88"/>
      <c r="AE181" s="88"/>
      <c r="AF181" s="88"/>
      <c r="AG181" s="88"/>
      <c r="AH181" s="88"/>
      <c r="AI181" s="88"/>
      <c r="AJ181" s="88"/>
      <c r="AK181" s="125"/>
      <c r="AL181" s="112"/>
      <c r="AM181" s="112"/>
      <c r="AN181" s="112"/>
      <c r="AO181" s="112"/>
      <c r="AP181" s="112"/>
      <c r="AQ181" s="113"/>
      <c r="AR181" s="113"/>
      <c r="AS181" s="114"/>
      <c r="AT181" s="88"/>
      <c r="AU181" s="115"/>
      <c r="AV181" s="116"/>
      <c r="AW181" s="115"/>
      <c r="AX181" s="116"/>
      <c r="AY181" s="115"/>
      <c r="AZ181" s="116"/>
      <c r="BA181" s="115"/>
      <c r="BB181" s="116"/>
      <c r="BC181" s="117"/>
      <c r="BD181" s="118"/>
      <c r="BE181" s="119"/>
      <c r="BF181" s="120"/>
      <c r="BG181" s="120"/>
      <c r="BH181" s="125"/>
    </row>
    <row r="182" spans="1:60" s="36" customFormat="1" ht="23.25" customHeight="1" x14ac:dyDescent="0.3">
      <c r="A182" s="61">
        <v>178</v>
      </c>
      <c r="B182" s="66" t="str">
        <f t="shared" si="4"/>
        <v/>
      </c>
      <c r="C182" s="140"/>
      <c r="D182" s="126"/>
      <c r="E182" s="127" t="str">
        <f t="shared" si="5"/>
        <v/>
      </c>
      <c r="F182" s="128"/>
      <c r="G182" s="128"/>
      <c r="H182" s="129"/>
      <c r="I182" s="130"/>
      <c r="J182" s="131"/>
      <c r="K182" s="126"/>
      <c r="L182" s="140"/>
      <c r="M182" s="132"/>
      <c r="N182" s="133"/>
      <c r="O182" s="134"/>
      <c r="P182" s="135"/>
      <c r="Q182" s="136"/>
      <c r="R182" s="137"/>
      <c r="S182" s="138"/>
      <c r="T182" s="60"/>
      <c r="U182" s="87"/>
      <c r="V182" s="88"/>
      <c r="W182" s="88"/>
      <c r="X182" s="88"/>
      <c r="Y182" s="88"/>
      <c r="Z182" s="88"/>
      <c r="AA182" s="88"/>
      <c r="AB182" s="88"/>
      <c r="AC182" s="88"/>
      <c r="AD182" s="88"/>
      <c r="AE182" s="88"/>
      <c r="AF182" s="88"/>
      <c r="AG182" s="88"/>
      <c r="AH182" s="88"/>
      <c r="AI182" s="88"/>
      <c r="AJ182" s="88"/>
      <c r="AK182" s="125"/>
      <c r="AL182" s="112"/>
      <c r="AM182" s="112"/>
      <c r="AN182" s="112"/>
      <c r="AO182" s="112"/>
      <c r="AP182" s="112"/>
      <c r="AQ182" s="113"/>
      <c r="AR182" s="113"/>
      <c r="AS182" s="114"/>
      <c r="AT182" s="88"/>
      <c r="AU182" s="115"/>
      <c r="AV182" s="116"/>
      <c r="AW182" s="115"/>
      <c r="AX182" s="116"/>
      <c r="AY182" s="115"/>
      <c r="AZ182" s="116"/>
      <c r="BA182" s="115"/>
      <c r="BB182" s="116"/>
      <c r="BC182" s="117"/>
      <c r="BD182" s="118"/>
      <c r="BE182" s="119"/>
      <c r="BF182" s="120"/>
      <c r="BG182" s="120"/>
      <c r="BH182" s="125"/>
    </row>
    <row r="183" spans="1:60" s="36" customFormat="1" ht="23.25" customHeight="1" x14ac:dyDescent="0.3">
      <c r="A183" s="61">
        <v>179</v>
      </c>
      <c r="B183" s="66" t="str">
        <f t="shared" si="4"/>
        <v/>
      </c>
      <c r="C183" s="140"/>
      <c r="D183" s="126"/>
      <c r="E183" s="127" t="str">
        <f t="shared" si="5"/>
        <v/>
      </c>
      <c r="F183" s="128"/>
      <c r="G183" s="128"/>
      <c r="H183" s="129"/>
      <c r="I183" s="130"/>
      <c r="J183" s="131"/>
      <c r="K183" s="126"/>
      <c r="L183" s="140"/>
      <c r="M183" s="132"/>
      <c r="N183" s="133"/>
      <c r="O183" s="134"/>
      <c r="P183" s="135"/>
      <c r="Q183" s="136"/>
      <c r="R183" s="137"/>
      <c r="S183" s="138"/>
      <c r="T183" s="60"/>
      <c r="U183" s="87"/>
      <c r="V183" s="88"/>
      <c r="W183" s="88"/>
      <c r="X183" s="88"/>
      <c r="Y183" s="88"/>
      <c r="Z183" s="88"/>
      <c r="AA183" s="88"/>
      <c r="AB183" s="88"/>
      <c r="AC183" s="88"/>
      <c r="AD183" s="88"/>
      <c r="AE183" s="88"/>
      <c r="AF183" s="88"/>
      <c r="AG183" s="88"/>
      <c r="AH183" s="88"/>
      <c r="AI183" s="88"/>
      <c r="AJ183" s="88"/>
      <c r="AK183" s="125"/>
      <c r="AL183" s="112"/>
      <c r="AM183" s="112"/>
      <c r="AN183" s="112"/>
      <c r="AO183" s="112"/>
      <c r="AP183" s="112"/>
      <c r="AQ183" s="113"/>
      <c r="AR183" s="113"/>
      <c r="AS183" s="114"/>
      <c r="AT183" s="88"/>
      <c r="AU183" s="115"/>
      <c r="AV183" s="116"/>
      <c r="AW183" s="115"/>
      <c r="AX183" s="116"/>
      <c r="AY183" s="115"/>
      <c r="AZ183" s="116"/>
      <c r="BA183" s="115"/>
      <c r="BB183" s="116"/>
      <c r="BC183" s="117"/>
      <c r="BD183" s="118"/>
      <c r="BE183" s="119"/>
      <c r="BF183" s="120"/>
      <c r="BG183" s="120"/>
      <c r="BH183" s="125"/>
    </row>
    <row r="184" spans="1:60" s="36" customFormat="1" ht="23.25" customHeight="1" x14ac:dyDescent="0.3">
      <c r="A184" s="61">
        <v>180</v>
      </c>
      <c r="B184" s="66" t="str">
        <f t="shared" si="4"/>
        <v/>
      </c>
      <c r="C184" s="140"/>
      <c r="D184" s="126"/>
      <c r="E184" s="127" t="str">
        <f t="shared" si="5"/>
        <v/>
      </c>
      <c r="F184" s="128"/>
      <c r="G184" s="128"/>
      <c r="H184" s="129"/>
      <c r="I184" s="130"/>
      <c r="J184" s="131"/>
      <c r="K184" s="126"/>
      <c r="L184" s="140"/>
      <c r="M184" s="132"/>
      <c r="N184" s="133"/>
      <c r="O184" s="134"/>
      <c r="P184" s="135"/>
      <c r="Q184" s="136"/>
      <c r="R184" s="137"/>
      <c r="S184" s="138"/>
      <c r="T184" s="60"/>
      <c r="U184" s="87"/>
      <c r="V184" s="88"/>
      <c r="W184" s="88"/>
      <c r="X184" s="88"/>
      <c r="Y184" s="88"/>
      <c r="Z184" s="88"/>
      <c r="AA184" s="88"/>
      <c r="AB184" s="88"/>
      <c r="AC184" s="88"/>
      <c r="AD184" s="88"/>
      <c r="AE184" s="88"/>
      <c r="AF184" s="88"/>
      <c r="AG184" s="88"/>
      <c r="AH184" s="88"/>
      <c r="AI184" s="88"/>
      <c r="AJ184" s="88"/>
      <c r="AK184" s="125"/>
      <c r="AL184" s="112"/>
      <c r="AM184" s="112"/>
      <c r="AN184" s="112"/>
      <c r="AO184" s="112"/>
      <c r="AP184" s="112"/>
      <c r="AQ184" s="113"/>
      <c r="AR184" s="113"/>
      <c r="AS184" s="114"/>
      <c r="AT184" s="88"/>
      <c r="AU184" s="115"/>
      <c r="AV184" s="116"/>
      <c r="AW184" s="115"/>
      <c r="AX184" s="116"/>
      <c r="AY184" s="115"/>
      <c r="AZ184" s="116"/>
      <c r="BA184" s="115"/>
      <c r="BB184" s="116"/>
      <c r="BC184" s="117"/>
      <c r="BD184" s="118"/>
      <c r="BE184" s="119"/>
      <c r="BF184" s="120"/>
      <c r="BG184" s="120"/>
      <c r="BH184" s="125"/>
    </row>
    <row r="185" spans="1:60" s="36" customFormat="1" ht="23.25" customHeight="1" x14ac:dyDescent="0.3">
      <c r="A185" s="61">
        <v>181</v>
      </c>
      <c r="B185" s="66" t="str">
        <f t="shared" si="4"/>
        <v/>
      </c>
      <c r="C185" s="140"/>
      <c r="D185" s="126"/>
      <c r="E185" s="127" t="str">
        <f t="shared" si="5"/>
        <v/>
      </c>
      <c r="F185" s="128"/>
      <c r="G185" s="128"/>
      <c r="H185" s="129"/>
      <c r="I185" s="130"/>
      <c r="J185" s="131"/>
      <c r="K185" s="126"/>
      <c r="L185" s="140"/>
      <c r="M185" s="132"/>
      <c r="N185" s="133"/>
      <c r="O185" s="134"/>
      <c r="P185" s="135"/>
      <c r="Q185" s="136"/>
      <c r="R185" s="137"/>
      <c r="S185" s="138"/>
      <c r="T185" s="60"/>
      <c r="U185" s="87"/>
      <c r="V185" s="88"/>
      <c r="W185" s="88"/>
      <c r="X185" s="88"/>
      <c r="Y185" s="88"/>
      <c r="Z185" s="88"/>
      <c r="AA185" s="88"/>
      <c r="AB185" s="88"/>
      <c r="AC185" s="88"/>
      <c r="AD185" s="88"/>
      <c r="AE185" s="88"/>
      <c r="AF185" s="88"/>
      <c r="AG185" s="88"/>
      <c r="AH185" s="88"/>
      <c r="AI185" s="88"/>
      <c r="AJ185" s="88"/>
      <c r="AK185" s="125"/>
      <c r="AL185" s="112"/>
      <c r="AM185" s="112"/>
      <c r="AN185" s="112"/>
      <c r="AO185" s="112"/>
      <c r="AP185" s="112"/>
      <c r="AQ185" s="113"/>
      <c r="AR185" s="113"/>
      <c r="AS185" s="114"/>
      <c r="AT185" s="88"/>
      <c r="AU185" s="115"/>
      <c r="AV185" s="116"/>
      <c r="AW185" s="115"/>
      <c r="AX185" s="116"/>
      <c r="AY185" s="115"/>
      <c r="AZ185" s="116"/>
      <c r="BA185" s="115"/>
      <c r="BB185" s="116"/>
      <c r="BC185" s="117"/>
      <c r="BD185" s="118"/>
      <c r="BE185" s="119"/>
      <c r="BF185" s="120"/>
      <c r="BG185" s="120"/>
      <c r="BH185" s="125"/>
    </row>
    <row r="186" spans="1:60" s="36" customFormat="1" ht="23.25" customHeight="1" x14ac:dyDescent="0.3">
      <c r="A186" s="61">
        <v>182</v>
      </c>
      <c r="B186" s="66" t="str">
        <f t="shared" si="4"/>
        <v/>
      </c>
      <c r="C186" s="140"/>
      <c r="D186" s="126"/>
      <c r="E186" s="127" t="str">
        <f t="shared" si="5"/>
        <v/>
      </c>
      <c r="F186" s="128"/>
      <c r="G186" s="128"/>
      <c r="H186" s="129"/>
      <c r="I186" s="130"/>
      <c r="J186" s="131"/>
      <c r="K186" s="126"/>
      <c r="L186" s="140"/>
      <c r="M186" s="132"/>
      <c r="N186" s="133"/>
      <c r="O186" s="134"/>
      <c r="P186" s="135"/>
      <c r="Q186" s="136"/>
      <c r="R186" s="137"/>
      <c r="S186" s="138"/>
      <c r="T186" s="60"/>
      <c r="U186" s="87"/>
      <c r="V186" s="88"/>
      <c r="W186" s="88"/>
      <c r="X186" s="88"/>
      <c r="Y186" s="88"/>
      <c r="Z186" s="88"/>
      <c r="AA186" s="88"/>
      <c r="AB186" s="88"/>
      <c r="AC186" s="88"/>
      <c r="AD186" s="88"/>
      <c r="AE186" s="88"/>
      <c r="AF186" s="88"/>
      <c r="AG186" s="88"/>
      <c r="AH186" s="88"/>
      <c r="AI186" s="88"/>
      <c r="AJ186" s="88"/>
      <c r="AK186" s="125"/>
      <c r="AL186" s="112"/>
      <c r="AM186" s="112"/>
      <c r="AN186" s="112"/>
      <c r="AO186" s="112"/>
      <c r="AP186" s="112"/>
      <c r="AQ186" s="113"/>
      <c r="AR186" s="113"/>
      <c r="AS186" s="114"/>
      <c r="AT186" s="88"/>
      <c r="AU186" s="115"/>
      <c r="AV186" s="116"/>
      <c r="AW186" s="115"/>
      <c r="AX186" s="116"/>
      <c r="AY186" s="115"/>
      <c r="AZ186" s="116"/>
      <c r="BA186" s="115"/>
      <c r="BB186" s="116"/>
      <c r="BC186" s="117"/>
      <c r="BD186" s="118"/>
      <c r="BE186" s="119"/>
      <c r="BF186" s="120"/>
      <c r="BG186" s="120"/>
      <c r="BH186" s="125"/>
    </row>
    <row r="187" spans="1:60" s="36" customFormat="1" ht="23.25" customHeight="1" x14ac:dyDescent="0.3">
      <c r="A187" s="61">
        <v>183</v>
      </c>
      <c r="B187" s="66" t="str">
        <f t="shared" si="4"/>
        <v/>
      </c>
      <c r="C187" s="140"/>
      <c r="D187" s="126"/>
      <c r="E187" s="127" t="str">
        <f t="shared" si="5"/>
        <v/>
      </c>
      <c r="F187" s="128"/>
      <c r="G187" s="128"/>
      <c r="H187" s="129"/>
      <c r="I187" s="130"/>
      <c r="J187" s="131"/>
      <c r="K187" s="126"/>
      <c r="L187" s="140"/>
      <c r="M187" s="132"/>
      <c r="N187" s="133"/>
      <c r="O187" s="134"/>
      <c r="P187" s="135"/>
      <c r="Q187" s="136"/>
      <c r="R187" s="137"/>
      <c r="S187" s="138"/>
      <c r="T187" s="60"/>
      <c r="U187" s="87"/>
      <c r="V187" s="88"/>
      <c r="W187" s="88"/>
      <c r="X187" s="88"/>
      <c r="Y187" s="88"/>
      <c r="Z187" s="88"/>
      <c r="AA187" s="88"/>
      <c r="AB187" s="88"/>
      <c r="AC187" s="88"/>
      <c r="AD187" s="88"/>
      <c r="AE187" s="88"/>
      <c r="AF187" s="88"/>
      <c r="AG187" s="88"/>
      <c r="AH187" s="88"/>
      <c r="AI187" s="88"/>
      <c r="AJ187" s="88"/>
      <c r="AK187" s="125"/>
      <c r="AL187" s="112"/>
      <c r="AM187" s="112"/>
      <c r="AN187" s="112"/>
      <c r="AO187" s="112"/>
      <c r="AP187" s="112"/>
      <c r="AQ187" s="113"/>
      <c r="AR187" s="113"/>
      <c r="AS187" s="114"/>
      <c r="AT187" s="88"/>
      <c r="AU187" s="115"/>
      <c r="AV187" s="116"/>
      <c r="AW187" s="115"/>
      <c r="AX187" s="116"/>
      <c r="AY187" s="115"/>
      <c r="AZ187" s="116"/>
      <c r="BA187" s="115"/>
      <c r="BB187" s="116"/>
      <c r="BC187" s="117"/>
      <c r="BD187" s="118"/>
      <c r="BE187" s="119"/>
      <c r="BF187" s="120"/>
      <c r="BG187" s="120"/>
      <c r="BH187" s="125"/>
    </row>
    <row r="188" spans="1:60" s="36" customFormat="1" ht="23.25" customHeight="1" x14ac:dyDescent="0.3">
      <c r="A188" s="61">
        <v>184</v>
      </c>
      <c r="B188" s="66" t="str">
        <f t="shared" si="4"/>
        <v/>
      </c>
      <c r="C188" s="140"/>
      <c r="D188" s="126"/>
      <c r="E188" s="127" t="str">
        <f t="shared" si="5"/>
        <v/>
      </c>
      <c r="F188" s="128"/>
      <c r="G188" s="128"/>
      <c r="H188" s="129"/>
      <c r="I188" s="130"/>
      <c r="J188" s="131"/>
      <c r="K188" s="126"/>
      <c r="L188" s="140"/>
      <c r="M188" s="132"/>
      <c r="N188" s="133"/>
      <c r="O188" s="134"/>
      <c r="P188" s="135"/>
      <c r="Q188" s="136"/>
      <c r="R188" s="137"/>
      <c r="S188" s="138"/>
      <c r="T188" s="60"/>
      <c r="U188" s="87"/>
      <c r="V188" s="88"/>
      <c r="W188" s="88"/>
      <c r="X188" s="88"/>
      <c r="Y188" s="88"/>
      <c r="Z188" s="88"/>
      <c r="AA188" s="88"/>
      <c r="AB188" s="88"/>
      <c r="AC188" s="88"/>
      <c r="AD188" s="88"/>
      <c r="AE188" s="88"/>
      <c r="AF188" s="88"/>
      <c r="AG188" s="88"/>
      <c r="AH188" s="88"/>
      <c r="AI188" s="88"/>
      <c r="AJ188" s="88"/>
      <c r="AK188" s="125"/>
      <c r="AL188" s="112"/>
      <c r="AM188" s="112"/>
      <c r="AN188" s="112"/>
      <c r="AO188" s="112"/>
      <c r="AP188" s="112"/>
      <c r="AQ188" s="113"/>
      <c r="AR188" s="113"/>
      <c r="AS188" s="114"/>
      <c r="AT188" s="88"/>
      <c r="AU188" s="115"/>
      <c r="AV188" s="116"/>
      <c r="AW188" s="115"/>
      <c r="AX188" s="116"/>
      <c r="AY188" s="115"/>
      <c r="AZ188" s="116"/>
      <c r="BA188" s="115"/>
      <c r="BB188" s="116"/>
      <c r="BC188" s="117"/>
      <c r="BD188" s="118"/>
      <c r="BE188" s="119"/>
      <c r="BF188" s="120"/>
      <c r="BG188" s="120"/>
      <c r="BH188" s="125"/>
    </row>
    <row r="189" spans="1:60" s="36" customFormat="1" ht="23.25" customHeight="1" x14ac:dyDescent="0.3">
      <c r="A189" s="61">
        <v>185</v>
      </c>
      <c r="B189" s="66" t="str">
        <f t="shared" si="4"/>
        <v/>
      </c>
      <c r="C189" s="140"/>
      <c r="D189" s="126"/>
      <c r="E189" s="127" t="str">
        <f t="shared" si="5"/>
        <v/>
      </c>
      <c r="F189" s="128"/>
      <c r="G189" s="128"/>
      <c r="H189" s="129"/>
      <c r="I189" s="130"/>
      <c r="J189" s="131"/>
      <c r="K189" s="126"/>
      <c r="L189" s="140"/>
      <c r="M189" s="132"/>
      <c r="N189" s="133"/>
      <c r="O189" s="134"/>
      <c r="P189" s="135"/>
      <c r="Q189" s="136"/>
      <c r="R189" s="137"/>
      <c r="S189" s="138"/>
      <c r="T189" s="60"/>
      <c r="U189" s="87"/>
      <c r="V189" s="88"/>
      <c r="W189" s="88"/>
      <c r="X189" s="88"/>
      <c r="Y189" s="88"/>
      <c r="Z189" s="88"/>
      <c r="AA189" s="88"/>
      <c r="AB189" s="88"/>
      <c r="AC189" s="88"/>
      <c r="AD189" s="88"/>
      <c r="AE189" s="88"/>
      <c r="AF189" s="88"/>
      <c r="AG189" s="88"/>
      <c r="AH189" s="88"/>
      <c r="AI189" s="88"/>
      <c r="AJ189" s="88"/>
      <c r="AK189" s="125"/>
      <c r="AL189" s="112"/>
      <c r="AM189" s="112"/>
      <c r="AN189" s="112"/>
      <c r="AO189" s="112"/>
      <c r="AP189" s="112"/>
      <c r="AQ189" s="113"/>
      <c r="AR189" s="113"/>
      <c r="AS189" s="114"/>
      <c r="AT189" s="88"/>
      <c r="AU189" s="115"/>
      <c r="AV189" s="116"/>
      <c r="AW189" s="115"/>
      <c r="AX189" s="116"/>
      <c r="AY189" s="115"/>
      <c r="AZ189" s="116"/>
      <c r="BA189" s="115"/>
      <c r="BB189" s="116"/>
      <c r="BC189" s="117"/>
      <c r="BD189" s="118"/>
      <c r="BE189" s="119"/>
      <c r="BF189" s="120"/>
      <c r="BG189" s="120"/>
      <c r="BH189" s="125"/>
    </row>
    <row r="190" spans="1:60" s="36" customFormat="1" ht="23.25" customHeight="1" x14ac:dyDescent="0.3">
      <c r="A190" s="61">
        <v>186</v>
      </c>
      <c r="B190" s="66" t="str">
        <f t="shared" si="4"/>
        <v/>
      </c>
      <c r="C190" s="140"/>
      <c r="D190" s="126"/>
      <c r="E190" s="127" t="str">
        <f t="shared" si="5"/>
        <v/>
      </c>
      <c r="F190" s="128"/>
      <c r="G190" s="128"/>
      <c r="H190" s="129"/>
      <c r="I190" s="130"/>
      <c r="J190" s="131"/>
      <c r="K190" s="126"/>
      <c r="L190" s="140"/>
      <c r="M190" s="132"/>
      <c r="N190" s="133"/>
      <c r="O190" s="134"/>
      <c r="P190" s="135"/>
      <c r="Q190" s="136"/>
      <c r="R190" s="137"/>
      <c r="S190" s="138"/>
      <c r="T190" s="60"/>
      <c r="U190" s="87"/>
      <c r="V190" s="88"/>
      <c r="W190" s="88"/>
      <c r="X190" s="88"/>
      <c r="Y190" s="88"/>
      <c r="Z190" s="88"/>
      <c r="AA190" s="88"/>
      <c r="AB190" s="88"/>
      <c r="AC190" s="88"/>
      <c r="AD190" s="88"/>
      <c r="AE190" s="88"/>
      <c r="AF190" s="88"/>
      <c r="AG190" s="88"/>
      <c r="AH190" s="88"/>
      <c r="AI190" s="88"/>
      <c r="AJ190" s="88"/>
      <c r="AK190" s="125"/>
      <c r="AL190" s="112"/>
      <c r="AM190" s="112"/>
      <c r="AN190" s="112"/>
      <c r="AO190" s="112"/>
      <c r="AP190" s="112"/>
      <c r="AQ190" s="113"/>
      <c r="AR190" s="113"/>
      <c r="AS190" s="114"/>
      <c r="AT190" s="88"/>
      <c r="AU190" s="115"/>
      <c r="AV190" s="116"/>
      <c r="AW190" s="115"/>
      <c r="AX190" s="116"/>
      <c r="AY190" s="115"/>
      <c r="AZ190" s="116"/>
      <c r="BA190" s="115"/>
      <c r="BB190" s="116"/>
      <c r="BC190" s="117"/>
      <c r="BD190" s="118"/>
      <c r="BE190" s="119"/>
      <c r="BF190" s="120"/>
      <c r="BG190" s="120"/>
      <c r="BH190" s="125"/>
    </row>
    <row r="191" spans="1:60" s="36" customFormat="1" ht="23.25" customHeight="1" x14ac:dyDescent="0.3">
      <c r="A191" s="61">
        <v>187</v>
      </c>
      <c r="B191" s="66" t="str">
        <f t="shared" si="4"/>
        <v/>
      </c>
      <c r="C191" s="140"/>
      <c r="D191" s="126"/>
      <c r="E191" s="127" t="str">
        <f t="shared" si="5"/>
        <v/>
      </c>
      <c r="F191" s="128"/>
      <c r="G191" s="128"/>
      <c r="H191" s="129"/>
      <c r="I191" s="130"/>
      <c r="J191" s="131"/>
      <c r="K191" s="126"/>
      <c r="L191" s="140"/>
      <c r="M191" s="132"/>
      <c r="N191" s="133"/>
      <c r="O191" s="134"/>
      <c r="P191" s="135"/>
      <c r="Q191" s="136"/>
      <c r="R191" s="137"/>
      <c r="S191" s="138"/>
      <c r="T191" s="60"/>
      <c r="U191" s="87"/>
      <c r="V191" s="88"/>
      <c r="W191" s="88"/>
      <c r="X191" s="88"/>
      <c r="Y191" s="88"/>
      <c r="Z191" s="88"/>
      <c r="AA191" s="88"/>
      <c r="AB191" s="88"/>
      <c r="AC191" s="88"/>
      <c r="AD191" s="88"/>
      <c r="AE191" s="88"/>
      <c r="AF191" s="88"/>
      <c r="AG191" s="88"/>
      <c r="AH191" s="88"/>
      <c r="AI191" s="88"/>
      <c r="AJ191" s="88"/>
      <c r="AK191" s="125"/>
      <c r="AL191" s="112"/>
      <c r="AM191" s="112"/>
      <c r="AN191" s="112"/>
      <c r="AO191" s="112"/>
      <c r="AP191" s="112"/>
      <c r="AQ191" s="113"/>
      <c r="AR191" s="113"/>
      <c r="AS191" s="114"/>
      <c r="AT191" s="88"/>
      <c r="AU191" s="115"/>
      <c r="AV191" s="116"/>
      <c r="AW191" s="115"/>
      <c r="AX191" s="116"/>
      <c r="AY191" s="115"/>
      <c r="AZ191" s="116"/>
      <c r="BA191" s="115"/>
      <c r="BB191" s="116"/>
      <c r="BC191" s="117"/>
      <c r="BD191" s="118"/>
      <c r="BE191" s="119"/>
      <c r="BF191" s="120"/>
      <c r="BG191" s="120"/>
      <c r="BH191" s="125"/>
    </row>
    <row r="192" spans="1:60" s="36" customFormat="1" ht="23.25" customHeight="1" x14ac:dyDescent="0.3">
      <c r="A192" s="61">
        <v>188</v>
      </c>
      <c r="B192" s="66" t="str">
        <f t="shared" si="4"/>
        <v/>
      </c>
      <c r="C192" s="140"/>
      <c r="D192" s="126"/>
      <c r="E192" s="127" t="str">
        <f t="shared" si="5"/>
        <v/>
      </c>
      <c r="F192" s="128"/>
      <c r="G192" s="128"/>
      <c r="H192" s="129"/>
      <c r="I192" s="130"/>
      <c r="J192" s="131"/>
      <c r="K192" s="126"/>
      <c r="L192" s="140"/>
      <c r="M192" s="132"/>
      <c r="N192" s="133"/>
      <c r="O192" s="134"/>
      <c r="P192" s="135"/>
      <c r="Q192" s="136"/>
      <c r="R192" s="137"/>
      <c r="S192" s="138"/>
      <c r="T192" s="60"/>
      <c r="U192" s="87"/>
      <c r="V192" s="88"/>
      <c r="W192" s="88"/>
      <c r="X192" s="88"/>
      <c r="Y192" s="88"/>
      <c r="Z192" s="88"/>
      <c r="AA192" s="88"/>
      <c r="AB192" s="88"/>
      <c r="AC192" s="88"/>
      <c r="AD192" s="88"/>
      <c r="AE192" s="88"/>
      <c r="AF192" s="88"/>
      <c r="AG192" s="88"/>
      <c r="AH192" s="88"/>
      <c r="AI192" s="88"/>
      <c r="AJ192" s="88"/>
      <c r="AK192" s="125"/>
      <c r="AL192" s="112"/>
      <c r="AM192" s="112"/>
      <c r="AN192" s="112"/>
      <c r="AO192" s="112"/>
      <c r="AP192" s="112"/>
      <c r="AQ192" s="113"/>
      <c r="AR192" s="113"/>
      <c r="AS192" s="114"/>
      <c r="AT192" s="88"/>
      <c r="AU192" s="115"/>
      <c r="AV192" s="116"/>
      <c r="AW192" s="115"/>
      <c r="AX192" s="116"/>
      <c r="AY192" s="115"/>
      <c r="AZ192" s="116"/>
      <c r="BA192" s="115"/>
      <c r="BB192" s="116"/>
      <c r="BC192" s="117"/>
      <c r="BD192" s="118"/>
      <c r="BE192" s="119"/>
      <c r="BF192" s="120"/>
      <c r="BG192" s="120"/>
      <c r="BH192" s="125"/>
    </row>
    <row r="193" spans="1:60" s="36" customFormat="1" ht="23.25" customHeight="1" x14ac:dyDescent="0.3">
      <c r="A193" s="61">
        <v>189</v>
      </c>
      <c r="B193" s="66" t="str">
        <f t="shared" si="4"/>
        <v/>
      </c>
      <c r="C193" s="140"/>
      <c r="D193" s="126"/>
      <c r="E193" s="127" t="str">
        <f t="shared" si="5"/>
        <v/>
      </c>
      <c r="F193" s="128"/>
      <c r="G193" s="128"/>
      <c r="H193" s="129"/>
      <c r="I193" s="130"/>
      <c r="J193" s="131"/>
      <c r="K193" s="126"/>
      <c r="L193" s="140"/>
      <c r="M193" s="132"/>
      <c r="N193" s="133"/>
      <c r="O193" s="134"/>
      <c r="P193" s="135"/>
      <c r="Q193" s="136"/>
      <c r="R193" s="137"/>
      <c r="S193" s="138"/>
      <c r="T193" s="60"/>
      <c r="U193" s="87"/>
      <c r="V193" s="88"/>
      <c r="W193" s="88"/>
      <c r="X193" s="88"/>
      <c r="Y193" s="88"/>
      <c r="Z193" s="88"/>
      <c r="AA193" s="88"/>
      <c r="AB193" s="88"/>
      <c r="AC193" s="88"/>
      <c r="AD193" s="88"/>
      <c r="AE193" s="88"/>
      <c r="AF193" s="88"/>
      <c r="AG193" s="88"/>
      <c r="AH193" s="88"/>
      <c r="AI193" s="88"/>
      <c r="AJ193" s="88"/>
      <c r="AK193" s="125"/>
      <c r="AL193" s="112"/>
      <c r="AM193" s="112"/>
      <c r="AN193" s="112"/>
      <c r="AO193" s="112"/>
      <c r="AP193" s="112"/>
      <c r="AQ193" s="113"/>
      <c r="AR193" s="113"/>
      <c r="AS193" s="114"/>
      <c r="AT193" s="88"/>
      <c r="AU193" s="115"/>
      <c r="AV193" s="116"/>
      <c r="AW193" s="115"/>
      <c r="AX193" s="116"/>
      <c r="AY193" s="115"/>
      <c r="AZ193" s="116"/>
      <c r="BA193" s="115"/>
      <c r="BB193" s="116"/>
      <c r="BC193" s="117"/>
      <c r="BD193" s="118"/>
      <c r="BE193" s="119"/>
      <c r="BF193" s="120"/>
      <c r="BG193" s="120"/>
      <c r="BH193" s="125"/>
    </row>
    <row r="194" spans="1:60" s="36" customFormat="1" ht="23.25" customHeight="1" x14ac:dyDescent="0.3">
      <c r="A194" s="61">
        <v>190</v>
      </c>
      <c r="B194" s="66" t="str">
        <f t="shared" si="4"/>
        <v/>
      </c>
      <c r="C194" s="140"/>
      <c r="D194" s="126"/>
      <c r="E194" s="127" t="str">
        <f t="shared" si="5"/>
        <v/>
      </c>
      <c r="F194" s="128"/>
      <c r="G194" s="128"/>
      <c r="H194" s="129"/>
      <c r="I194" s="130"/>
      <c r="J194" s="131"/>
      <c r="K194" s="126"/>
      <c r="L194" s="140"/>
      <c r="M194" s="132"/>
      <c r="N194" s="133"/>
      <c r="O194" s="134"/>
      <c r="P194" s="135"/>
      <c r="Q194" s="136"/>
      <c r="R194" s="137"/>
      <c r="S194" s="138"/>
      <c r="T194" s="60"/>
      <c r="U194" s="87"/>
      <c r="V194" s="88"/>
      <c r="W194" s="88"/>
      <c r="X194" s="88"/>
      <c r="Y194" s="88"/>
      <c r="Z194" s="88"/>
      <c r="AA194" s="88"/>
      <c r="AB194" s="88"/>
      <c r="AC194" s="88"/>
      <c r="AD194" s="88"/>
      <c r="AE194" s="88"/>
      <c r="AF194" s="88"/>
      <c r="AG194" s="88"/>
      <c r="AH194" s="88"/>
      <c r="AI194" s="88"/>
      <c r="AJ194" s="88"/>
      <c r="AK194" s="125"/>
      <c r="AL194" s="112"/>
      <c r="AM194" s="112"/>
      <c r="AN194" s="112"/>
      <c r="AO194" s="112"/>
      <c r="AP194" s="112"/>
      <c r="AQ194" s="113"/>
      <c r="AR194" s="113"/>
      <c r="AS194" s="114"/>
      <c r="AT194" s="88"/>
      <c r="AU194" s="115"/>
      <c r="AV194" s="116"/>
      <c r="AW194" s="115"/>
      <c r="AX194" s="116"/>
      <c r="AY194" s="115"/>
      <c r="AZ194" s="116"/>
      <c r="BA194" s="115"/>
      <c r="BB194" s="116"/>
      <c r="BC194" s="117"/>
      <c r="BD194" s="118"/>
      <c r="BE194" s="119"/>
      <c r="BF194" s="120"/>
      <c r="BG194" s="120"/>
      <c r="BH194" s="125"/>
    </row>
    <row r="195" spans="1:60" s="36" customFormat="1" ht="23.25" customHeight="1" x14ac:dyDescent="0.3">
      <c r="A195" s="61">
        <v>191</v>
      </c>
      <c r="B195" s="66" t="str">
        <f t="shared" si="4"/>
        <v/>
      </c>
      <c r="C195" s="140"/>
      <c r="D195" s="126"/>
      <c r="E195" s="127" t="str">
        <f t="shared" si="5"/>
        <v/>
      </c>
      <c r="F195" s="128"/>
      <c r="G195" s="128"/>
      <c r="H195" s="129"/>
      <c r="I195" s="130"/>
      <c r="J195" s="131"/>
      <c r="K195" s="126"/>
      <c r="L195" s="140"/>
      <c r="M195" s="132"/>
      <c r="N195" s="133"/>
      <c r="O195" s="134"/>
      <c r="P195" s="135"/>
      <c r="Q195" s="136"/>
      <c r="R195" s="137"/>
      <c r="S195" s="138"/>
      <c r="T195" s="60"/>
      <c r="U195" s="87"/>
      <c r="V195" s="88"/>
      <c r="W195" s="88"/>
      <c r="X195" s="88"/>
      <c r="Y195" s="88"/>
      <c r="Z195" s="88"/>
      <c r="AA195" s="88"/>
      <c r="AB195" s="88"/>
      <c r="AC195" s="88"/>
      <c r="AD195" s="88"/>
      <c r="AE195" s="88"/>
      <c r="AF195" s="88"/>
      <c r="AG195" s="88"/>
      <c r="AH195" s="88"/>
      <c r="AI195" s="88"/>
      <c r="AJ195" s="88"/>
      <c r="AK195" s="125"/>
      <c r="AL195" s="112"/>
      <c r="AM195" s="112"/>
      <c r="AN195" s="112"/>
      <c r="AO195" s="112"/>
      <c r="AP195" s="112"/>
      <c r="AQ195" s="113"/>
      <c r="AR195" s="113"/>
      <c r="AS195" s="114"/>
      <c r="AT195" s="88"/>
      <c r="AU195" s="115"/>
      <c r="AV195" s="116"/>
      <c r="AW195" s="115"/>
      <c r="AX195" s="116"/>
      <c r="AY195" s="115"/>
      <c r="AZ195" s="116"/>
      <c r="BA195" s="115"/>
      <c r="BB195" s="116"/>
      <c r="BC195" s="117"/>
      <c r="BD195" s="118"/>
      <c r="BE195" s="119"/>
      <c r="BF195" s="120"/>
      <c r="BG195" s="120"/>
      <c r="BH195" s="125"/>
    </row>
    <row r="196" spans="1:60" s="36" customFormat="1" ht="23.25" customHeight="1" x14ac:dyDescent="0.3">
      <c r="A196" s="61">
        <v>192</v>
      </c>
      <c r="B196" s="66" t="str">
        <f t="shared" si="4"/>
        <v/>
      </c>
      <c r="C196" s="140"/>
      <c r="D196" s="126"/>
      <c r="E196" s="127" t="str">
        <f t="shared" si="5"/>
        <v/>
      </c>
      <c r="F196" s="128"/>
      <c r="G196" s="128"/>
      <c r="H196" s="129"/>
      <c r="I196" s="130"/>
      <c r="J196" s="131"/>
      <c r="K196" s="126"/>
      <c r="L196" s="140"/>
      <c r="M196" s="132"/>
      <c r="N196" s="133"/>
      <c r="O196" s="134"/>
      <c r="P196" s="135"/>
      <c r="Q196" s="136"/>
      <c r="R196" s="137"/>
      <c r="S196" s="138"/>
      <c r="T196" s="60"/>
      <c r="U196" s="87"/>
      <c r="V196" s="88"/>
      <c r="W196" s="88"/>
      <c r="X196" s="88"/>
      <c r="Y196" s="88"/>
      <c r="Z196" s="88"/>
      <c r="AA196" s="88"/>
      <c r="AB196" s="88"/>
      <c r="AC196" s="88"/>
      <c r="AD196" s="88"/>
      <c r="AE196" s="88"/>
      <c r="AF196" s="88"/>
      <c r="AG196" s="88"/>
      <c r="AH196" s="88"/>
      <c r="AI196" s="88"/>
      <c r="AJ196" s="88"/>
      <c r="AK196" s="125"/>
      <c r="AL196" s="112"/>
      <c r="AM196" s="112"/>
      <c r="AN196" s="112"/>
      <c r="AO196" s="112"/>
      <c r="AP196" s="112"/>
      <c r="AQ196" s="113"/>
      <c r="AR196" s="113"/>
      <c r="AS196" s="114"/>
      <c r="AT196" s="88"/>
      <c r="AU196" s="115"/>
      <c r="AV196" s="116"/>
      <c r="AW196" s="115"/>
      <c r="AX196" s="116"/>
      <c r="AY196" s="115"/>
      <c r="AZ196" s="116"/>
      <c r="BA196" s="115"/>
      <c r="BB196" s="116"/>
      <c r="BC196" s="117"/>
      <c r="BD196" s="118"/>
      <c r="BE196" s="119"/>
      <c r="BF196" s="120"/>
      <c r="BG196" s="120"/>
      <c r="BH196" s="125"/>
    </row>
    <row r="197" spans="1:60" s="36" customFormat="1" ht="23.25" customHeight="1" x14ac:dyDescent="0.3">
      <c r="A197" s="61">
        <v>193</v>
      </c>
      <c r="B197" s="66" t="str">
        <f t="shared" si="4"/>
        <v/>
      </c>
      <c r="C197" s="140"/>
      <c r="D197" s="126"/>
      <c r="E197" s="127" t="str">
        <f t="shared" si="5"/>
        <v/>
      </c>
      <c r="F197" s="128"/>
      <c r="G197" s="128"/>
      <c r="H197" s="129"/>
      <c r="I197" s="130"/>
      <c r="J197" s="131"/>
      <c r="K197" s="126"/>
      <c r="L197" s="140"/>
      <c r="M197" s="132"/>
      <c r="N197" s="133"/>
      <c r="O197" s="134"/>
      <c r="P197" s="135"/>
      <c r="Q197" s="136"/>
      <c r="R197" s="137"/>
      <c r="S197" s="138"/>
      <c r="T197" s="60"/>
      <c r="U197" s="87"/>
      <c r="V197" s="88"/>
      <c r="W197" s="88"/>
      <c r="X197" s="88"/>
      <c r="Y197" s="88"/>
      <c r="Z197" s="88"/>
      <c r="AA197" s="88"/>
      <c r="AB197" s="88"/>
      <c r="AC197" s="88"/>
      <c r="AD197" s="88"/>
      <c r="AE197" s="88"/>
      <c r="AF197" s="88"/>
      <c r="AG197" s="88"/>
      <c r="AH197" s="88"/>
      <c r="AI197" s="88"/>
      <c r="AJ197" s="88"/>
      <c r="AK197" s="125"/>
      <c r="AL197" s="112"/>
      <c r="AM197" s="112"/>
      <c r="AN197" s="112"/>
      <c r="AO197" s="112"/>
      <c r="AP197" s="112"/>
      <c r="AQ197" s="113"/>
      <c r="AR197" s="113"/>
      <c r="AS197" s="114"/>
      <c r="AT197" s="88"/>
      <c r="AU197" s="115"/>
      <c r="AV197" s="116"/>
      <c r="AW197" s="115"/>
      <c r="AX197" s="116"/>
      <c r="AY197" s="115"/>
      <c r="AZ197" s="116"/>
      <c r="BA197" s="115"/>
      <c r="BB197" s="116"/>
      <c r="BC197" s="117"/>
      <c r="BD197" s="118"/>
      <c r="BE197" s="119"/>
      <c r="BF197" s="120"/>
      <c r="BG197" s="120"/>
      <c r="BH197" s="125"/>
    </row>
    <row r="198" spans="1:60" s="36" customFormat="1" ht="23.25" customHeight="1" x14ac:dyDescent="0.3">
      <c r="A198" s="61">
        <v>194</v>
      </c>
      <c r="B198" s="66" t="str">
        <f t="shared" ref="B198:B254" si="6">IF(E197="vul eerst tijd zetten in","check dan de datum",IF(OR(E197="",E197="check dan de datum"),"",IF(ISBLANK(D198),"vul eerst tijd zetten in",IF(D198&lt;D197,E197+1,E197))))</f>
        <v/>
      </c>
      <c r="C198" s="140"/>
      <c r="D198" s="126"/>
      <c r="E198" s="127" t="str">
        <f t="shared" si="5"/>
        <v/>
      </c>
      <c r="F198" s="128"/>
      <c r="G198" s="128"/>
      <c r="H198" s="129"/>
      <c r="I198" s="130"/>
      <c r="J198" s="131"/>
      <c r="K198" s="126"/>
      <c r="L198" s="140"/>
      <c r="M198" s="132"/>
      <c r="N198" s="133"/>
      <c r="O198" s="134"/>
      <c r="P198" s="135"/>
      <c r="Q198" s="136"/>
      <c r="R198" s="137"/>
      <c r="S198" s="138"/>
      <c r="T198" s="60"/>
      <c r="U198" s="87"/>
      <c r="V198" s="88"/>
      <c r="W198" s="88"/>
      <c r="X198" s="88"/>
      <c r="Y198" s="88"/>
      <c r="Z198" s="88"/>
      <c r="AA198" s="88"/>
      <c r="AB198" s="88"/>
      <c r="AC198" s="88"/>
      <c r="AD198" s="88"/>
      <c r="AE198" s="88"/>
      <c r="AF198" s="88"/>
      <c r="AG198" s="88"/>
      <c r="AH198" s="88"/>
      <c r="AI198" s="88"/>
      <c r="AJ198" s="88"/>
      <c r="AK198" s="125"/>
      <c r="AL198" s="112"/>
      <c r="AM198" s="112"/>
      <c r="AN198" s="112"/>
      <c r="AO198" s="112"/>
      <c r="AP198" s="112"/>
      <c r="AQ198" s="113"/>
      <c r="AR198" s="113"/>
      <c r="AS198" s="114"/>
      <c r="AT198" s="88"/>
      <c r="AU198" s="115"/>
      <c r="AV198" s="116"/>
      <c r="AW198" s="115"/>
      <c r="AX198" s="116"/>
      <c r="AY198" s="115"/>
      <c r="AZ198" s="116"/>
      <c r="BA198" s="115"/>
      <c r="BB198" s="116"/>
      <c r="BC198" s="117"/>
      <c r="BD198" s="118"/>
      <c r="BE198" s="119"/>
      <c r="BF198" s="120"/>
      <c r="BG198" s="120"/>
      <c r="BH198" s="125"/>
    </row>
    <row r="199" spans="1:60" s="36" customFormat="1" ht="23.25" customHeight="1" x14ac:dyDescent="0.3">
      <c r="A199" s="61">
        <v>195</v>
      </c>
      <c r="B199" s="66" t="str">
        <f t="shared" si="6"/>
        <v/>
      </c>
      <c r="C199" s="140"/>
      <c r="D199" s="126"/>
      <c r="E199" s="127" t="str">
        <f t="shared" ref="E199:E254" si="7">B199</f>
        <v/>
      </c>
      <c r="F199" s="128"/>
      <c r="G199" s="128"/>
      <c r="H199" s="129"/>
      <c r="I199" s="130"/>
      <c r="J199" s="131"/>
      <c r="K199" s="126"/>
      <c r="L199" s="140"/>
      <c r="M199" s="132"/>
      <c r="N199" s="133"/>
      <c r="O199" s="134"/>
      <c r="P199" s="135"/>
      <c r="Q199" s="136"/>
      <c r="R199" s="137"/>
      <c r="S199" s="138"/>
      <c r="T199" s="60"/>
      <c r="U199" s="87"/>
      <c r="V199" s="88"/>
      <c r="W199" s="88"/>
      <c r="X199" s="88"/>
      <c r="Y199" s="88"/>
      <c r="Z199" s="88"/>
      <c r="AA199" s="88"/>
      <c r="AB199" s="88"/>
      <c r="AC199" s="88"/>
      <c r="AD199" s="88"/>
      <c r="AE199" s="88"/>
      <c r="AF199" s="88"/>
      <c r="AG199" s="88"/>
      <c r="AH199" s="88"/>
      <c r="AI199" s="88"/>
      <c r="AJ199" s="88"/>
      <c r="AK199" s="125"/>
      <c r="AL199" s="112"/>
      <c r="AM199" s="112"/>
      <c r="AN199" s="112"/>
      <c r="AO199" s="112"/>
      <c r="AP199" s="112"/>
      <c r="AQ199" s="113"/>
      <c r="AR199" s="113"/>
      <c r="AS199" s="114"/>
      <c r="AT199" s="88"/>
      <c r="AU199" s="115"/>
      <c r="AV199" s="116"/>
      <c r="AW199" s="115"/>
      <c r="AX199" s="116"/>
      <c r="AY199" s="115"/>
      <c r="AZ199" s="116"/>
      <c r="BA199" s="115"/>
      <c r="BB199" s="116"/>
      <c r="BC199" s="117"/>
      <c r="BD199" s="118"/>
      <c r="BE199" s="119"/>
      <c r="BF199" s="120"/>
      <c r="BG199" s="120"/>
      <c r="BH199" s="125"/>
    </row>
    <row r="200" spans="1:60" s="36" customFormat="1" ht="23.25" customHeight="1" x14ac:dyDescent="0.3">
      <c r="A200" s="61">
        <v>196</v>
      </c>
      <c r="B200" s="66" t="str">
        <f t="shared" si="6"/>
        <v/>
      </c>
      <c r="C200" s="140"/>
      <c r="D200" s="126"/>
      <c r="E200" s="127" t="str">
        <f t="shared" si="7"/>
        <v/>
      </c>
      <c r="F200" s="128"/>
      <c r="G200" s="128"/>
      <c r="H200" s="129"/>
      <c r="I200" s="130"/>
      <c r="J200" s="131"/>
      <c r="K200" s="126"/>
      <c r="L200" s="140"/>
      <c r="M200" s="132"/>
      <c r="N200" s="133"/>
      <c r="O200" s="134"/>
      <c r="P200" s="135"/>
      <c r="Q200" s="136"/>
      <c r="R200" s="137"/>
      <c r="S200" s="138"/>
      <c r="T200" s="60"/>
      <c r="U200" s="87"/>
      <c r="V200" s="88"/>
      <c r="W200" s="88"/>
      <c r="X200" s="88"/>
      <c r="Y200" s="88"/>
      <c r="Z200" s="88"/>
      <c r="AA200" s="88"/>
      <c r="AB200" s="88"/>
      <c r="AC200" s="88"/>
      <c r="AD200" s="88"/>
      <c r="AE200" s="88"/>
      <c r="AF200" s="88"/>
      <c r="AG200" s="88"/>
      <c r="AH200" s="88"/>
      <c r="AI200" s="88"/>
      <c r="AJ200" s="88"/>
      <c r="AK200" s="125"/>
      <c r="AL200" s="112"/>
      <c r="AM200" s="112"/>
      <c r="AN200" s="112"/>
      <c r="AO200" s="112"/>
      <c r="AP200" s="112"/>
      <c r="AQ200" s="113"/>
      <c r="AR200" s="113"/>
      <c r="AS200" s="114"/>
      <c r="AT200" s="88"/>
      <c r="AU200" s="115"/>
      <c r="AV200" s="116"/>
      <c r="AW200" s="115"/>
      <c r="AX200" s="116"/>
      <c r="AY200" s="115"/>
      <c r="AZ200" s="116"/>
      <c r="BA200" s="115"/>
      <c r="BB200" s="116"/>
      <c r="BC200" s="117"/>
      <c r="BD200" s="118"/>
      <c r="BE200" s="119"/>
      <c r="BF200" s="120"/>
      <c r="BG200" s="120"/>
      <c r="BH200" s="125"/>
    </row>
    <row r="201" spans="1:60" s="36" customFormat="1" ht="23.25" customHeight="1" x14ac:dyDescent="0.3">
      <c r="A201" s="61">
        <v>197</v>
      </c>
      <c r="B201" s="66" t="str">
        <f t="shared" si="6"/>
        <v/>
      </c>
      <c r="C201" s="140"/>
      <c r="D201" s="126"/>
      <c r="E201" s="127" t="str">
        <f t="shared" si="7"/>
        <v/>
      </c>
      <c r="F201" s="128"/>
      <c r="G201" s="128"/>
      <c r="H201" s="129"/>
      <c r="I201" s="130"/>
      <c r="J201" s="131"/>
      <c r="K201" s="126"/>
      <c r="L201" s="140"/>
      <c r="M201" s="132"/>
      <c r="N201" s="133"/>
      <c r="O201" s="134"/>
      <c r="P201" s="135"/>
      <c r="Q201" s="136"/>
      <c r="R201" s="137"/>
      <c r="S201" s="138"/>
      <c r="T201" s="60"/>
      <c r="U201" s="87"/>
      <c r="V201" s="88"/>
      <c r="W201" s="88"/>
      <c r="X201" s="88"/>
      <c r="Y201" s="88"/>
      <c r="Z201" s="88"/>
      <c r="AA201" s="88"/>
      <c r="AB201" s="88"/>
      <c r="AC201" s="88"/>
      <c r="AD201" s="88"/>
      <c r="AE201" s="88"/>
      <c r="AF201" s="88"/>
      <c r="AG201" s="88"/>
      <c r="AH201" s="88"/>
      <c r="AI201" s="88"/>
      <c r="AJ201" s="88"/>
      <c r="AK201" s="125"/>
      <c r="AL201" s="112"/>
      <c r="AM201" s="112"/>
      <c r="AN201" s="112"/>
      <c r="AO201" s="112"/>
      <c r="AP201" s="112"/>
      <c r="AQ201" s="113"/>
      <c r="AR201" s="113"/>
      <c r="AS201" s="114"/>
      <c r="AT201" s="88"/>
      <c r="AU201" s="115"/>
      <c r="AV201" s="116"/>
      <c r="AW201" s="115"/>
      <c r="AX201" s="116"/>
      <c r="AY201" s="115"/>
      <c r="AZ201" s="116"/>
      <c r="BA201" s="115"/>
      <c r="BB201" s="116"/>
      <c r="BC201" s="117"/>
      <c r="BD201" s="118"/>
      <c r="BE201" s="119"/>
      <c r="BF201" s="120"/>
      <c r="BG201" s="120"/>
      <c r="BH201" s="125"/>
    </row>
    <row r="202" spans="1:60" s="36" customFormat="1" ht="23.25" customHeight="1" x14ac:dyDescent="0.3">
      <c r="A202" s="61">
        <v>198</v>
      </c>
      <c r="B202" s="66" t="str">
        <f t="shared" si="6"/>
        <v/>
      </c>
      <c r="C202" s="140"/>
      <c r="D202" s="126"/>
      <c r="E202" s="127" t="str">
        <f t="shared" si="7"/>
        <v/>
      </c>
      <c r="F202" s="128"/>
      <c r="G202" s="128"/>
      <c r="H202" s="129"/>
      <c r="I202" s="130"/>
      <c r="J202" s="131"/>
      <c r="K202" s="126"/>
      <c r="L202" s="140"/>
      <c r="M202" s="132"/>
      <c r="N202" s="133"/>
      <c r="O202" s="134"/>
      <c r="P202" s="135"/>
      <c r="Q202" s="136"/>
      <c r="R202" s="137"/>
      <c r="S202" s="138"/>
      <c r="T202" s="60"/>
      <c r="U202" s="87"/>
      <c r="V202" s="88"/>
      <c r="W202" s="88"/>
      <c r="X202" s="88"/>
      <c r="Y202" s="88"/>
      <c r="Z202" s="88"/>
      <c r="AA202" s="88"/>
      <c r="AB202" s="88"/>
      <c r="AC202" s="88"/>
      <c r="AD202" s="88"/>
      <c r="AE202" s="88"/>
      <c r="AF202" s="88"/>
      <c r="AG202" s="88"/>
      <c r="AH202" s="88"/>
      <c r="AI202" s="88"/>
      <c r="AJ202" s="88"/>
      <c r="AK202" s="125"/>
      <c r="AL202" s="112"/>
      <c r="AM202" s="112"/>
      <c r="AN202" s="112"/>
      <c r="AO202" s="112"/>
      <c r="AP202" s="112"/>
      <c r="AQ202" s="113"/>
      <c r="AR202" s="113"/>
      <c r="AS202" s="114"/>
      <c r="AT202" s="88"/>
      <c r="AU202" s="115"/>
      <c r="AV202" s="116"/>
      <c r="AW202" s="115"/>
      <c r="AX202" s="116"/>
      <c r="AY202" s="115"/>
      <c r="AZ202" s="116"/>
      <c r="BA202" s="115"/>
      <c r="BB202" s="116"/>
      <c r="BC202" s="117"/>
      <c r="BD202" s="118"/>
      <c r="BE202" s="119"/>
      <c r="BF202" s="120"/>
      <c r="BG202" s="120"/>
      <c r="BH202" s="125"/>
    </row>
    <row r="203" spans="1:60" s="36" customFormat="1" ht="23.25" customHeight="1" x14ac:dyDescent="0.3">
      <c r="A203" s="61">
        <v>199</v>
      </c>
      <c r="B203" s="66" t="str">
        <f t="shared" si="6"/>
        <v/>
      </c>
      <c r="C203" s="140"/>
      <c r="D203" s="126"/>
      <c r="E203" s="127" t="str">
        <f t="shared" si="7"/>
        <v/>
      </c>
      <c r="F203" s="128"/>
      <c r="G203" s="128"/>
      <c r="H203" s="129"/>
      <c r="I203" s="130"/>
      <c r="J203" s="131"/>
      <c r="K203" s="126"/>
      <c r="L203" s="140"/>
      <c r="M203" s="132"/>
      <c r="N203" s="133"/>
      <c r="O203" s="134"/>
      <c r="P203" s="135"/>
      <c r="Q203" s="136"/>
      <c r="R203" s="137"/>
      <c r="S203" s="138"/>
      <c r="T203" s="60"/>
      <c r="U203" s="87"/>
      <c r="V203" s="88"/>
      <c r="W203" s="88"/>
      <c r="X203" s="88"/>
      <c r="Y203" s="88"/>
      <c r="Z203" s="88"/>
      <c r="AA203" s="88"/>
      <c r="AB203" s="88"/>
      <c r="AC203" s="88"/>
      <c r="AD203" s="88"/>
      <c r="AE203" s="88"/>
      <c r="AF203" s="88"/>
      <c r="AG203" s="88"/>
      <c r="AH203" s="88"/>
      <c r="AI203" s="88"/>
      <c r="AJ203" s="88"/>
      <c r="AK203" s="125"/>
      <c r="AL203" s="112"/>
      <c r="AM203" s="112"/>
      <c r="AN203" s="112"/>
      <c r="AO203" s="112"/>
      <c r="AP203" s="112"/>
      <c r="AQ203" s="113"/>
      <c r="AR203" s="113"/>
      <c r="AS203" s="114"/>
      <c r="AT203" s="88"/>
      <c r="AU203" s="115"/>
      <c r="AV203" s="116"/>
      <c r="AW203" s="115"/>
      <c r="AX203" s="116"/>
      <c r="AY203" s="115"/>
      <c r="AZ203" s="116"/>
      <c r="BA203" s="115"/>
      <c r="BB203" s="116"/>
      <c r="BC203" s="117"/>
      <c r="BD203" s="118"/>
      <c r="BE203" s="119"/>
      <c r="BF203" s="120"/>
      <c r="BG203" s="120"/>
      <c r="BH203" s="125"/>
    </row>
    <row r="204" spans="1:60" s="36" customFormat="1" ht="23.25" customHeight="1" x14ac:dyDescent="0.3">
      <c r="A204" s="61">
        <v>200</v>
      </c>
      <c r="B204" s="66" t="str">
        <f t="shared" si="6"/>
        <v/>
      </c>
      <c r="C204" s="140"/>
      <c r="D204" s="126"/>
      <c r="E204" s="127" t="str">
        <f t="shared" si="7"/>
        <v/>
      </c>
      <c r="F204" s="128"/>
      <c r="G204" s="128"/>
      <c r="H204" s="129"/>
      <c r="I204" s="130"/>
      <c r="J204" s="131"/>
      <c r="K204" s="126"/>
      <c r="L204" s="140"/>
      <c r="M204" s="132"/>
      <c r="N204" s="133"/>
      <c r="O204" s="134"/>
      <c r="P204" s="135"/>
      <c r="Q204" s="136"/>
      <c r="R204" s="137"/>
      <c r="S204" s="138"/>
      <c r="T204" s="60"/>
      <c r="U204" s="87"/>
      <c r="V204" s="88"/>
      <c r="W204" s="88"/>
      <c r="X204" s="88"/>
      <c r="Y204" s="88"/>
      <c r="Z204" s="88"/>
      <c r="AA204" s="88"/>
      <c r="AB204" s="88"/>
      <c r="AC204" s="88"/>
      <c r="AD204" s="88"/>
      <c r="AE204" s="88"/>
      <c r="AF204" s="88"/>
      <c r="AG204" s="88"/>
      <c r="AH204" s="88"/>
      <c r="AI204" s="88"/>
      <c r="AJ204" s="88"/>
      <c r="AK204" s="125"/>
      <c r="AL204" s="112"/>
      <c r="AM204" s="112"/>
      <c r="AN204" s="112"/>
      <c r="AO204" s="112"/>
      <c r="AP204" s="112"/>
      <c r="AQ204" s="113"/>
      <c r="AR204" s="113"/>
      <c r="AS204" s="114"/>
      <c r="AT204" s="88"/>
      <c r="AU204" s="115"/>
      <c r="AV204" s="116"/>
      <c r="AW204" s="115"/>
      <c r="AX204" s="116"/>
      <c r="AY204" s="115"/>
      <c r="AZ204" s="116"/>
      <c r="BA204" s="115"/>
      <c r="BB204" s="116"/>
      <c r="BC204" s="117"/>
      <c r="BD204" s="118"/>
      <c r="BE204" s="119"/>
      <c r="BF204" s="120"/>
      <c r="BG204" s="120"/>
      <c r="BH204" s="125"/>
    </row>
    <row r="205" spans="1:60" s="36" customFormat="1" ht="23.25" customHeight="1" x14ac:dyDescent="0.3">
      <c r="A205" s="61">
        <v>201</v>
      </c>
      <c r="B205" s="66" t="str">
        <f t="shared" si="6"/>
        <v/>
      </c>
      <c r="C205" s="140"/>
      <c r="D205" s="126"/>
      <c r="E205" s="127" t="str">
        <f t="shared" si="7"/>
        <v/>
      </c>
      <c r="F205" s="128"/>
      <c r="G205" s="128"/>
      <c r="H205" s="129"/>
      <c r="I205" s="130"/>
      <c r="J205" s="131"/>
      <c r="K205" s="126"/>
      <c r="L205" s="140"/>
      <c r="M205" s="132"/>
      <c r="N205" s="133"/>
      <c r="O205" s="134"/>
      <c r="P205" s="135"/>
      <c r="Q205" s="136"/>
      <c r="R205" s="137"/>
      <c r="S205" s="138"/>
      <c r="T205" s="60"/>
      <c r="U205" s="87"/>
      <c r="V205" s="88"/>
      <c r="W205" s="88"/>
      <c r="X205" s="88"/>
      <c r="Y205" s="88"/>
      <c r="Z205" s="88"/>
      <c r="AA205" s="88"/>
      <c r="AB205" s="88"/>
      <c r="AC205" s="88"/>
      <c r="AD205" s="88"/>
      <c r="AE205" s="88"/>
      <c r="AF205" s="88"/>
      <c r="AG205" s="88"/>
      <c r="AH205" s="88"/>
      <c r="AI205" s="88"/>
      <c r="AJ205" s="88"/>
      <c r="AK205" s="125"/>
      <c r="AL205" s="112"/>
      <c r="AM205" s="112"/>
      <c r="AN205" s="112"/>
      <c r="AO205" s="112"/>
      <c r="AP205" s="112"/>
      <c r="AQ205" s="113"/>
      <c r="AR205" s="113"/>
      <c r="AS205" s="114"/>
      <c r="AT205" s="88"/>
      <c r="AU205" s="115"/>
      <c r="AV205" s="116"/>
      <c r="AW205" s="115"/>
      <c r="AX205" s="116"/>
      <c r="AY205" s="115"/>
      <c r="AZ205" s="116"/>
      <c r="BA205" s="115"/>
      <c r="BB205" s="116"/>
      <c r="BC205" s="117"/>
      <c r="BD205" s="118"/>
      <c r="BE205" s="119"/>
      <c r="BF205" s="120"/>
      <c r="BG205" s="120"/>
      <c r="BH205" s="125"/>
    </row>
    <row r="206" spans="1:60" s="36" customFormat="1" ht="23.25" customHeight="1" x14ac:dyDescent="0.3">
      <c r="A206" s="61">
        <v>202</v>
      </c>
      <c r="B206" s="66" t="str">
        <f t="shared" si="6"/>
        <v/>
      </c>
      <c r="C206" s="140"/>
      <c r="D206" s="126"/>
      <c r="E206" s="127" t="str">
        <f t="shared" si="7"/>
        <v/>
      </c>
      <c r="F206" s="128"/>
      <c r="G206" s="128"/>
      <c r="H206" s="129"/>
      <c r="I206" s="130"/>
      <c r="J206" s="131"/>
      <c r="K206" s="126"/>
      <c r="L206" s="140"/>
      <c r="M206" s="132"/>
      <c r="N206" s="133"/>
      <c r="O206" s="134"/>
      <c r="P206" s="135"/>
      <c r="Q206" s="136"/>
      <c r="R206" s="137"/>
      <c r="S206" s="138"/>
      <c r="T206" s="60"/>
      <c r="U206" s="87"/>
      <c r="V206" s="88"/>
      <c r="W206" s="88"/>
      <c r="X206" s="88"/>
      <c r="Y206" s="88"/>
      <c r="Z206" s="88"/>
      <c r="AA206" s="88"/>
      <c r="AB206" s="88"/>
      <c r="AC206" s="88"/>
      <c r="AD206" s="88"/>
      <c r="AE206" s="88"/>
      <c r="AF206" s="88"/>
      <c r="AG206" s="88"/>
      <c r="AH206" s="88"/>
      <c r="AI206" s="88"/>
      <c r="AJ206" s="88"/>
      <c r="AK206" s="125"/>
      <c r="AL206" s="112"/>
      <c r="AM206" s="112"/>
      <c r="AN206" s="112"/>
      <c r="AO206" s="112"/>
      <c r="AP206" s="112"/>
      <c r="AQ206" s="113"/>
      <c r="AR206" s="113"/>
      <c r="AS206" s="114"/>
      <c r="AT206" s="88"/>
      <c r="AU206" s="115"/>
      <c r="AV206" s="116"/>
      <c r="AW206" s="115"/>
      <c r="AX206" s="116"/>
      <c r="AY206" s="115"/>
      <c r="AZ206" s="116"/>
      <c r="BA206" s="115"/>
      <c r="BB206" s="116"/>
      <c r="BC206" s="117"/>
      <c r="BD206" s="118"/>
      <c r="BE206" s="119"/>
      <c r="BF206" s="120"/>
      <c r="BG206" s="120"/>
      <c r="BH206" s="125"/>
    </row>
    <row r="207" spans="1:60" s="36" customFormat="1" ht="23.25" customHeight="1" x14ac:dyDescent="0.3">
      <c r="A207" s="61">
        <v>203</v>
      </c>
      <c r="B207" s="66" t="str">
        <f t="shared" si="6"/>
        <v/>
      </c>
      <c r="C207" s="140"/>
      <c r="D207" s="126"/>
      <c r="E207" s="127" t="str">
        <f t="shared" si="7"/>
        <v/>
      </c>
      <c r="F207" s="128"/>
      <c r="G207" s="128"/>
      <c r="H207" s="129"/>
      <c r="I207" s="130"/>
      <c r="J207" s="131"/>
      <c r="K207" s="126"/>
      <c r="L207" s="140"/>
      <c r="M207" s="132"/>
      <c r="N207" s="133"/>
      <c r="O207" s="134"/>
      <c r="P207" s="135"/>
      <c r="Q207" s="136"/>
      <c r="R207" s="137"/>
      <c r="S207" s="138"/>
      <c r="T207" s="60"/>
      <c r="U207" s="87"/>
      <c r="V207" s="88"/>
      <c r="W207" s="88"/>
      <c r="X207" s="88"/>
      <c r="Y207" s="88"/>
      <c r="Z207" s="88"/>
      <c r="AA207" s="88"/>
      <c r="AB207" s="88"/>
      <c r="AC207" s="88"/>
      <c r="AD207" s="88"/>
      <c r="AE207" s="88"/>
      <c r="AF207" s="88"/>
      <c r="AG207" s="88"/>
      <c r="AH207" s="88"/>
      <c r="AI207" s="88"/>
      <c r="AJ207" s="88"/>
      <c r="AK207" s="125"/>
      <c r="AL207" s="112"/>
      <c r="AM207" s="112"/>
      <c r="AN207" s="112"/>
      <c r="AO207" s="112"/>
      <c r="AP207" s="112"/>
      <c r="AQ207" s="113"/>
      <c r="AR207" s="113"/>
      <c r="AS207" s="114"/>
      <c r="AT207" s="88"/>
      <c r="AU207" s="115"/>
      <c r="AV207" s="116"/>
      <c r="AW207" s="115"/>
      <c r="AX207" s="116"/>
      <c r="AY207" s="115"/>
      <c r="AZ207" s="116"/>
      <c r="BA207" s="115"/>
      <c r="BB207" s="116"/>
      <c r="BC207" s="117"/>
      <c r="BD207" s="118"/>
      <c r="BE207" s="119"/>
      <c r="BF207" s="120"/>
      <c r="BG207" s="120"/>
      <c r="BH207" s="125"/>
    </row>
    <row r="208" spans="1:60" s="36" customFormat="1" ht="23.25" customHeight="1" x14ac:dyDescent="0.3">
      <c r="A208" s="61">
        <v>204</v>
      </c>
      <c r="B208" s="66" t="str">
        <f t="shared" si="6"/>
        <v/>
      </c>
      <c r="C208" s="140"/>
      <c r="D208" s="126"/>
      <c r="E208" s="127" t="str">
        <f t="shared" si="7"/>
        <v/>
      </c>
      <c r="F208" s="128"/>
      <c r="G208" s="128"/>
      <c r="H208" s="129"/>
      <c r="I208" s="130"/>
      <c r="J208" s="131"/>
      <c r="K208" s="126"/>
      <c r="L208" s="140"/>
      <c r="M208" s="132"/>
      <c r="N208" s="133"/>
      <c r="O208" s="134"/>
      <c r="P208" s="135"/>
      <c r="Q208" s="136"/>
      <c r="R208" s="137"/>
      <c r="S208" s="138"/>
      <c r="T208" s="60"/>
      <c r="U208" s="87"/>
      <c r="V208" s="88"/>
      <c r="W208" s="88"/>
      <c r="X208" s="88"/>
      <c r="Y208" s="88"/>
      <c r="Z208" s="88"/>
      <c r="AA208" s="88"/>
      <c r="AB208" s="88"/>
      <c r="AC208" s="88"/>
      <c r="AD208" s="88"/>
      <c r="AE208" s="88"/>
      <c r="AF208" s="88"/>
      <c r="AG208" s="88"/>
      <c r="AH208" s="88"/>
      <c r="AI208" s="88"/>
      <c r="AJ208" s="88"/>
      <c r="AK208" s="125"/>
      <c r="AL208" s="112"/>
      <c r="AM208" s="112"/>
      <c r="AN208" s="112"/>
      <c r="AO208" s="112"/>
      <c r="AP208" s="112"/>
      <c r="AQ208" s="113"/>
      <c r="AR208" s="113"/>
      <c r="AS208" s="114"/>
      <c r="AT208" s="88"/>
      <c r="AU208" s="115"/>
      <c r="AV208" s="116"/>
      <c r="AW208" s="115"/>
      <c r="AX208" s="116"/>
      <c r="AY208" s="115"/>
      <c r="AZ208" s="116"/>
      <c r="BA208" s="115"/>
      <c r="BB208" s="116"/>
      <c r="BC208" s="117"/>
      <c r="BD208" s="118"/>
      <c r="BE208" s="119"/>
      <c r="BF208" s="120"/>
      <c r="BG208" s="120"/>
      <c r="BH208" s="125"/>
    </row>
    <row r="209" spans="1:60" s="36" customFormat="1" ht="23.25" customHeight="1" x14ac:dyDescent="0.3">
      <c r="A209" s="61">
        <v>205</v>
      </c>
      <c r="B209" s="66" t="str">
        <f t="shared" si="6"/>
        <v/>
      </c>
      <c r="C209" s="140"/>
      <c r="D209" s="126"/>
      <c r="E209" s="127" t="str">
        <f t="shared" si="7"/>
        <v/>
      </c>
      <c r="F209" s="128"/>
      <c r="G209" s="128"/>
      <c r="H209" s="129"/>
      <c r="I209" s="130"/>
      <c r="J209" s="131"/>
      <c r="K209" s="126"/>
      <c r="L209" s="140"/>
      <c r="M209" s="132"/>
      <c r="N209" s="133"/>
      <c r="O209" s="134"/>
      <c r="P209" s="135"/>
      <c r="Q209" s="136"/>
      <c r="R209" s="137"/>
      <c r="S209" s="138"/>
      <c r="T209" s="60"/>
      <c r="U209" s="87"/>
      <c r="V209" s="88"/>
      <c r="W209" s="88"/>
      <c r="X209" s="88"/>
      <c r="Y209" s="88"/>
      <c r="Z209" s="88"/>
      <c r="AA209" s="88"/>
      <c r="AB209" s="88"/>
      <c r="AC209" s="88"/>
      <c r="AD209" s="88"/>
      <c r="AE209" s="88"/>
      <c r="AF209" s="88"/>
      <c r="AG209" s="88"/>
      <c r="AH209" s="88"/>
      <c r="AI209" s="88"/>
      <c r="AJ209" s="88"/>
      <c r="AK209" s="125"/>
      <c r="AL209" s="112"/>
      <c r="AM209" s="112"/>
      <c r="AN209" s="112"/>
      <c r="AO209" s="112"/>
      <c r="AP209" s="112"/>
      <c r="AQ209" s="113"/>
      <c r="AR209" s="113"/>
      <c r="AS209" s="114"/>
      <c r="AT209" s="88"/>
      <c r="AU209" s="115"/>
      <c r="AV209" s="116"/>
      <c r="AW209" s="115"/>
      <c r="AX209" s="116"/>
      <c r="AY209" s="115"/>
      <c r="AZ209" s="116"/>
      <c r="BA209" s="115"/>
      <c r="BB209" s="116"/>
      <c r="BC209" s="117"/>
      <c r="BD209" s="118"/>
      <c r="BE209" s="119"/>
      <c r="BF209" s="120"/>
      <c r="BG209" s="120"/>
      <c r="BH209" s="125"/>
    </row>
    <row r="210" spans="1:60" s="36" customFormat="1" ht="23.25" customHeight="1" x14ac:dyDescent="0.3">
      <c r="A210" s="61">
        <v>206</v>
      </c>
      <c r="B210" s="66" t="str">
        <f t="shared" si="6"/>
        <v/>
      </c>
      <c r="C210" s="140"/>
      <c r="D210" s="126"/>
      <c r="E210" s="127" t="str">
        <f t="shared" si="7"/>
        <v/>
      </c>
      <c r="F210" s="128"/>
      <c r="G210" s="128"/>
      <c r="H210" s="129"/>
      <c r="I210" s="130"/>
      <c r="J210" s="131"/>
      <c r="K210" s="126"/>
      <c r="L210" s="140"/>
      <c r="M210" s="132"/>
      <c r="N210" s="133"/>
      <c r="O210" s="134"/>
      <c r="P210" s="135"/>
      <c r="Q210" s="136"/>
      <c r="R210" s="137"/>
      <c r="S210" s="138"/>
      <c r="T210" s="60"/>
      <c r="U210" s="87"/>
      <c r="V210" s="88"/>
      <c r="W210" s="88"/>
      <c r="X210" s="88"/>
      <c r="Y210" s="88"/>
      <c r="Z210" s="88"/>
      <c r="AA210" s="88"/>
      <c r="AB210" s="88"/>
      <c r="AC210" s="88"/>
      <c r="AD210" s="88"/>
      <c r="AE210" s="88"/>
      <c r="AF210" s="88"/>
      <c r="AG210" s="88"/>
      <c r="AH210" s="88"/>
      <c r="AI210" s="88"/>
      <c r="AJ210" s="88"/>
      <c r="AK210" s="125"/>
      <c r="AL210" s="112"/>
      <c r="AM210" s="112"/>
      <c r="AN210" s="112"/>
      <c r="AO210" s="112"/>
      <c r="AP210" s="112"/>
      <c r="AQ210" s="113"/>
      <c r="AR210" s="113"/>
      <c r="AS210" s="114"/>
      <c r="AT210" s="88"/>
      <c r="AU210" s="115"/>
      <c r="AV210" s="116"/>
      <c r="AW210" s="115"/>
      <c r="AX210" s="116"/>
      <c r="AY210" s="115"/>
      <c r="AZ210" s="116"/>
      <c r="BA210" s="115"/>
      <c r="BB210" s="116"/>
      <c r="BC210" s="117"/>
      <c r="BD210" s="118"/>
      <c r="BE210" s="119"/>
      <c r="BF210" s="120"/>
      <c r="BG210" s="120"/>
      <c r="BH210" s="125"/>
    </row>
    <row r="211" spans="1:60" s="36" customFormat="1" ht="23.25" customHeight="1" x14ac:dyDescent="0.3">
      <c r="A211" s="61">
        <v>207</v>
      </c>
      <c r="B211" s="66" t="str">
        <f t="shared" si="6"/>
        <v/>
      </c>
      <c r="C211" s="140"/>
      <c r="D211" s="126"/>
      <c r="E211" s="127" t="str">
        <f t="shared" si="7"/>
        <v/>
      </c>
      <c r="F211" s="128"/>
      <c r="G211" s="128"/>
      <c r="H211" s="129"/>
      <c r="I211" s="130"/>
      <c r="J211" s="131"/>
      <c r="K211" s="126"/>
      <c r="L211" s="140"/>
      <c r="M211" s="132"/>
      <c r="N211" s="133"/>
      <c r="O211" s="134"/>
      <c r="P211" s="135"/>
      <c r="Q211" s="136"/>
      <c r="R211" s="137"/>
      <c r="S211" s="138"/>
      <c r="T211" s="60"/>
      <c r="U211" s="87"/>
      <c r="V211" s="88"/>
      <c r="W211" s="88"/>
      <c r="X211" s="88"/>
      <c r="Y211" s="88"/>
      <c r="Z211" s="88"/>
      <c r="AA211" s="88"/>
      <c r="AB211" s="88"/>
      <c r="AC211" s="88"/>
      <c r="AD211" s="88"/>
      <c r="AE211" s="88"/>
      <c r="AF211" s="88"/>
      <c r="AG211" s="88"/>
      <c r="AH211" s="88"/>
      <c r="AI211" s="88"/>
      <c r="AJ211" s="88"/>
      <c r="AK211" s="125"/>
      <c r="AL211" s="112"/>
      <c r="AM211" s="112"/>
      <c r="AN211" s="112"/>
      <c r="AO211" s="112"/>
      <c r="AP211" s="112"/>
      <c r="AQ211" s="113"/>
      <c r="AR211" s="113"/>
      <c r="AS211" s="114"/>
      <c r="AT211" s="88"/>
      <c r="AU211" s="115"/>
      <c r="AV211" s="116"/>
      <c r="AW211" s="115"/>
      <c r="AX211" s="116"/>
      <c r="AY211" s="115"/>
      <c r="AZ211" s="116"/>
      <c r="BA211" s="115"/>
      <c r="BB211" s="116"/>
      <c r="BC211" s="117"/>
      <c r="BD211" s="118"/>
      <c r="BE211" s="119"/>
      <c r="BF211" s="120"/>
      <c r="BG211" s="120"/>
      <c r="BH211" s="125"/>
    </row>
    <row r="212" spans="1:60" s="36" customFormat="1" ht="23.25" customHeight="1" x14ac:dyDescent="0.3">
      <c r="A212" s="61">
        <v>208</v>
      </c>
      <c r="B212" s="66" t="str">
        <f t="shared" si="6"/>
        <v/>
      </c>
      <c r="C212" s="140"/>
      <c r="D212" s="126"/>
      <c r="E212" s="127" t="str">
        <f t="shared" si="7"/>
        <v/>
      </c>
      <c r="F212" s="128"/>
      <c r="G212" s="128"/>
      <c r="H212" s="129"/>
      <c r="I212" s="130"/>
      <c r="J212" s="131"/>
      <c r="K212" s="126"/>
      <c r="L212" s="140"/>
      <c r="M212" s="132"/>
      <c r="N212" s="133"/>
      <c r="O212" s="134"/>
      <c r="P212" s="135"/>
      <c r="Q212" s="136"/>
      <c r="R212" s="137"/>
      <c r="S212" s="138"/>
      <c r="T212" s="60"/>
      <c r="U212" s="87"/>
      <c r="V212" s="88"/>
      <c r="W212" s="88"/>
      <c r="X212" s="88"/>
      <c r="Y212" s="88"/>
      <c r="Z212" s="88"/>
      <c r="AA212" s="88"/>
      <c r="AB212" s="88"/>
      <c r="AC212" s="88"/>
      <c r="AD212" s="88"/>
      <c r="AE212" s="88"/>
      <c r="AF212" s="88"/>
      <c r="AG212" s="88"/>
      <c r="AH212" s="88"/>
      <c r="AI212" s="88"/>
      <c r="AJ212" s="88"/>
      <c r="AK212" s="125"/>
      <c r="AL212" s="112"/>
      <c r="AM212" s="112"/>
      <c r="AN212" s="112"/>
      <c r="AO212" s="112"/>
      <c r="AP212" s="112"/>
      <c r="AQ212" s="113"/>
      <c r="AR212" s="113"/>
      <c r="AS212" s="114"/>
      <c r="AT212" s="88"/>
      <c r="AU212" s="115"/>
      <c r="AV212" s="116"/>
      <c r="AW212" s="115"/>
      <c r="AX212" s="116"/>
      <c r="AY212" s="115"/>
      <c r="AZ212" s="116"/>
      <c r="BA212" s="115"/>
      <c r="BB212" s="116"/>
      <c r="BC212" s="117"/>
      <c r="BD212" s="118"/>
      <c r="BE212" s="119"/>
      <c r="BF212" s="120"/>
      <c r="BG212" s="120"/>
      <c r="BH212" s="125"/>
    </row>
    <row r="213" spans="1:60" s="36" customFormat="1" ht="23.25" customHeight="1" x14ac:dyDescent="0.3">
      <c r="A213" s="61">
        <v>209</v>
      </c>
      <c r="B213" s="66" t="str">
        <f t="shared" si="6"/>
        <v/>
      </c>
      <c r="C213" s="140"/>
      <c r="D213" s="126"/>
      <c r="E213" s="127" t="str">
        <f t="shared" si="7"/>
        <v/>
      </c>
      <c r="F213" s="128"/>
      <c r="G213" s="128"/>
      <c r="H213" s="129"/>
      <c r="I213" s="130"/>
      <c r="J213" s="131"/>
      <c r="K213" s="126"/>
      <c r="L213" s="140"/>
      <c r="M213" s="132"/>
      <c r="N213" s="133"/>
      <c r="O213" s="134"/>
      <c r="P213" s="135"/>
      <c r="Q213" s="136"/>
      <c r="R213" s="137"/>
      <c r="S213" s="138"/>
      <c r="T213" s="60"/>
      <c r="U213" s="87"/>
      <c r="V213" s="88"/>
      <c r="W213" s="88"/>
      <c r="X213" s="88"/>
      <c r="Y213" s="88"/>
      <c r="Z213" s="88"/>
      <c r="AA213" s="88"/>
      <c r="AB213" s="88"/>
      <c r="AC213" s="88"/>
      <c r="AD213" s="88"/>
      <c r="AE213" s="88"/>
      <c r="AF213" s="88"/>
      <c r="AG213" s="88"/>
      <c r="AH213" s="88"/>
      <c r="AI213" s="88"/>
      <c r="AJ213" s="88"/>
      <c r="AK213" s="125"/>
      <c r="AL213" s="112"/>
      <c r="AM213" s="112"/>
      <c r="AN213" s="112"/>
      <c r="AO213" s="112"/>
      <c r="AP213" s="112"/>
      <c r="AQ213" s="113"/>
      <c r="AR213" s="113"/>
      <c r="AS213" s="114"/>
      <c r="AT213" s="88"/>
      <c r="AU213" s="115"/>
      <c r="AV213" s="116"/>
      <c r="AW213" s="115"/>
      <c r="AX213" s="116"/>
      <c r="AY213" s="115"/>
      <c r="AZ213" s="116"/>
      <c r="BA213" s="115"/>
      <c r="BB213" s="116"/>
      <c r="BC213" s="117"/>
      <c r="BD213" s="118"/>
      <c r="BE213" s="119"/>
      <c r="BF213" s="120"/>
      <c r="BG213" s="120"/>
      <c r="BH213" s="125"/>
    </row>
    <row r="214" spans="1:60" s="36" customFormat="1" ht="23.25" customHeight="1" x14ac:dyDescent="0.3">
      <c r="A214" s="61">
        <v>210</v>
      </c>
      <c r="B214" s="66" t="str">
        <f t="shared" si="6"/>
        <v/>
      </c>
      <c r="C214" s="140"/>
      <c r="D214" s="126"/>
      <c r="E214" s="127" t="str">
        <f t="shared" si="7"/>
        <v/>
      </c>
      <c r="F214" s="128"/>
      <c r="G214" s="128"/>
      <c r="H214" s="129"/>
      <c r="I214" s="130"/>
      <c r="J214" s="131"/>
      <c r="K214" s="126"/>
      <c r="L214" s="140"/>
      <c r="M214" s="132"/>
      <c r="N214" s="133"/>
      <c r="O214" s="134"/>
      <c r="P214" s="135"/>
      <c r="Q214" s="136"/>
      <c r="R214" s="137"/>
      <c r="S214" s="138"/>
      <c r="T214" s="60"/>
      <c r="U214" s="87"/>
      <c r="V214" s="88"/>
      <c r="W214" s="88"/>
      <c r="X214" s="88"/>
      <c r="Y214" s="88"/>
      <c r="Z214" s="88"/>
      <c r="AA214" s="88"/>
      <c r="AB214" s="88"/>
      <c r="AC214" s="88"/>
      <c r="AD214" s="88"/>
      <c r="AE214" s="88"/>
      <c r="AF214" s="88"/>
      <c r="AG214" s="88"/>
      <c r="AH214" s="88"/>
      <c r="AI214" s="88"/>
      <c r="AJ214" s="88"/>
      <c r="AK214" s="125"/>
      <c r="AL214" s="112"/>
      <c r="AM214" s="112"/>
      <c r="AN214" s="112"/>
      <c r="AO214" s="112"/>
      <c r="AP214" s="112"/>
      <c r="AQ214" s="113"/>
      <c r="AR214" s="113"/>
      <c r="AS214" s="114"/>
      <c r="AT214" s="88"/>
      <c r="AU214" s="115"/>
      <c r="AV214" s="116"/>
      <c r="AW214" s="115"/>
      <c r="AX214" s="116"/>
      <c r="AY214" s="115"/>
      <c r="AZ214" s="116"/>
      <c r="BA214" s="115"/>
      <c r="BB214" s="116"/>
      <c r="BC214" s="117"/>
      <c r="BD214" s="118"/>
      <c r="BE214" s="119"/>
      <c r="BF214" s="120"/>
      <c r="BG214" s="120"/>
      <c r="BH214" s="125"/>
    </row>
    <row r="215" spans="1:60" s="36" customFormat="1" ht="23.25" customHeight="1" x14ac:dyDescent="0.3">
      <c r="A215" s="61">
        <v>211</v>
      </c>
      <c r="B215" s="66" t="str">
        <f t="shared" si="6"/>
        <v/>
      </c>
      <c r="C215" s="140"/>
      <c r="D215" s="126"/>
      <c r="E215" s="127" t="str">
        <f t="shared" si="7"/>
        <v/>
      </c>
      <c r="F215" s="128"/>
      <c r="G215" s="128"/>
      <c r="H215" s="129"/>
      <c r="I215" s="130"/>
      <c r="J215" s="131"/>
      <c r="K215" s="126"/>
      <c r="L215" s="140"/>
      <c r="M215" s="132"/>
      <c r="N215" s="133"/>
      <c r="O215" s="134"/>
      <c r="P215" s="135"/>
      <c r="Q215" s="136"/>
      <c r="R215" s="137"/>
      <c r="S215" s="138"/>
      <c r="T215" s="60"/>
      <c r="U215" s="87"/>
      <c r="V215" s="88"/>
      <c r="W215" s="88"/>
      <c r="X215" s="88"/>
      <c r="Y215" s="88"/>
      <c r="Z215" s="88"/>
      <c r="AA215" s="88"/>
      <c r="AB215" s="88"/>
      <c r="AC215" s="88"/>
      <c r="AD215" s="88"/>
      <c r="AE215" s="88"/>
      <c r="AF215" s="88"/>
      <c r="AG215" s="88"/>
      <c r="AH215" s="88"/>
      <c r="AI215" s="88"/>
      <c r="AJ215" s="88"/>
      <c r="AK215" s="125"/>
      <c r="AL215" s="112"/>
      <c r="AM215" s="112"/>
      <c r="AN215" s="112"/>
      <c r="AO215" s="112"/>
      <c r="AP215" s="112"/>
      <c r="AQ215" s="113"/>
      <c r="AR215" s="113"/>
      <c r="AS215" s="114"/>
      <c r="AT215" s="88"/>
      <c r="AU215" s="115"/>
      <c r="AV215" s="116"/>
      <c r="AW215" s="115"/>
      <c r="AX215" s="116"/>
      <c r="AY215" s="115"/>
      <c r="AZ215" s="116"/>
      <c r="BA215" s="115"/>
      <c r="BB215" s="116"/>
      <c r="BC215" s="117"/>
      <c r="BD215" s="118"/>
      <c r="BE215" s="119"/>
      <c r="BF215" s="120"/>
      <c r="BG215" s="120"/>
      <c r="BH215" s="125"/>
    </row>
    <row r="216" spans="1:60" s="36" customFormat="1" ht="23.25" customHeight="1" x14ac:dyDescent="0.3">
      <c r="A216" s="61">
        <v>212</v>
      </c>
      <c r="B216" s="66" t="str">
        <f t="shared" si="6"/>
        <v/>
      </c>
      <c r="C216" s="140"/>
      <c r="D216" s="126"/>
      <c r="E216" s="127" t="str">
        <f t="shared" si="7"/>
        <v/>
      </c>
      <c r="F216" s="128"/>
      <c r="G216" s="128"/>
      <c r="H216" s="129"/>
      <c r="I216" s="130"/>
      <c r="J216" s="131"/>
      <c r="K216" s="126"/>
      <c r="L216" s="140"/>
      <c r="M216" s="132"/>
      <c r="N216" s="133"/>
      <c r="O216" s="134"/>
      <c r="P216" s="135"/>
      <c r="Q216" s="136"/>
      <c r="R216" s="137"/>
      <c r="S216" s="138"/>
      <c r="T216" s="60"/>
      <c r="U216" s="87"/>
      <c r="V216" s="88"/>
      <c r="W216" s="88"/>
      <c r="X216" s="88"/>
      <c r="Y216" s="88"/>
      <c r="Z216" s="88"/>
      <c r="AA216" s="88"/>
      <c r="AB216" s="88"/>
      <c r="AC216" s="88"/>
      <c r="AD216" s="88"/>
      <c r="AE216" s="88"/>
      <c r="AF216" s="88"/>
      <c r="AG216" s="88"/>
      <c r="AH216" s="88"/>
      <c r="AI216" s="88"/>
      <c r="AJ216" s="88"/>
      <c r="AK216" s="125"/>
      <c r="AL216" s="112"/>
      <c r="AM216" s="112"/>
      <c r="AN216" s="112"/>
      <c r="AO216" s="112"/>
      <c r="AP216" s="112"/>
      <c r="AQ216" s="113"/>
      <c r="AR216" s="113"/>
      <c r="AS216" s="114"/>
      <c r="AT216" s="88"/>
      <c r="AU216" s="115"/>
      <c r="AV216" s="116"/>
      <c r="AW216" s="115"/>
      <c r="AX216" s="116"/>
      <c r="AY216" s="115"/>
      <c r="AZ216" s="116"/>
      <c r="BA216" s="115"/>
      <c r="BB216" s="116"/>
      <c r="BC216" s="117"/>
      <c r="BD216" s="118"/>
      <c r="BE216" s="119"/>
      <c r="BF216" s="120"/>
      <c r="BG216" s="120"/>
      <c r="BH216" s="125"/>
    </row>
    <row r="217" spans="1:60" s="36" customFormat="1" ht="23.25" customHeight="1" x14ac:dyDescent="0.3">
      <c r="A217" s="61">
        <v>213</v>
      </c>
      <c r="B217" s="66" t="str">
        <f t="shared" si="6"/>
        <v/>
      </c>
      <c r="C217" s="140"/>
      <c r="D217" s="126"/>
      <c r="E217" s="127" t="str">
        <f t="shared" si="7"/>
        <v/>
      </c>
      <c r="F217" s="128"/>
      <c r="G217" s="128"/>
      <c r="H217" s="129"/>
      <c r="I217" s="130"/>
      <c r="J217" s="131"/>
      <c r="K217" s="126"/>
      <c r="L217" s="140"/>
      <c r="M217" s="132"/>
      <c r="N217" s="133"/>
      <c r="O217" s="134"/>
      <c r="P217" s="135"/>
      <c r="Q217" s="136"/>
      <c r="R217" s="137"/>
      <c r="S217" s="138"/>
      <c r="T217" s="60"/>
      <c r="U217" s="87"/>
      <c r="V217" s="88"/>
      <c r="W217" s="88"/>
      <c r="X217" s="88"/>
      <c r="Y217" s="88"/>
      <c r="Z217" s="88"/>
      <c r="AA217" s="88"/>
      <c r="AB217" s="88"/>
      <c r="AC217" s="88"/>
      <c r="AD217" s="88"/>
      <c r="AE217" s="88"/>
      <c r="AF217" s="88"/>
      <c r="AG217" s="88"/>
      <c r="AH217" s="88"/>
      <c r="AI217" s="88"/>
      <c r="AJ217" s="88"/>
      <c r="AK217" s="125"/>
      <c r="AL217" s="112"/>
      <c r="AM217" s="112"/>
      <c r="AN217" s="112"/>
      <c r="AO217" s="112"/>
      <c r="AP217" s="112"/>
      <c r="AQ217" s="113"/>
      <c r="AR217" s="113"/>
      <c r="AS217" s="114"/>
      <c r="AT217" s="88"/>
      <c r="AU217" s="115"/>
      <c r="AV217" s="116"/>
      <c r="AW217" s="115"/>
      <c r="AX217" s="116"/>
      <c r="AY217" s="115"/>
      <c r="AZ217" s="116"/>
      <c r="BA217" s="115"/>
      <c r="BB217" s="116"/>
      <c r="BC217" s="117"/>
      <c r="BD217" s="118"/>
      <c r="BE217" s="119"/>
      <c r="BF217" s="120"/>
      <c r="BG217" s="120"/>
      <c r="BH217" s="125"/>
    </row>
    <row r="218" spans="1:60" s="36" customFormat="1" ht="23.25" customHeight="1" x14ac:dyDescent="0.3">
      <c r="A218" s="61">
        <v>214</v>
      </c>
      <c r="B218" s="66" t="str">
        <f t="shared" si="6"/>
        <v/>
      </c>
      <c r="C218" s="140"/>
      <c r="D218" s="126"/>
      <c r="E218" s="127" t="str">
        <f t="shared" si="7"/>
        <v/>
      </c>
      <c r="F218" s="128"/>
      <c r="G218" s="128"/>
      <c r="H218" s="129"/>
      <c r="I218" s="130"/>
      <c r="J218" s="131"/>
      <c r="K218" s="126"/>
      <c r="L218" s="140"/>
      <c r="M218" s="132"/>
      <c r="N218" s="133"/>
      <c r="O218" s="134"/>
      <c r="P218" s="135"/>
      <c r="Q218" s="136"/>
      <c r="R218" s="137"/>
      <c r="S218" s="138"/>
      <c r="T218" s="60"/>
      <c r="U218" s="87"/>
      <c r="V218" s="88"/>
      <c r="W218" s="88"/>
      <c r="X218" s="88"/>
      <c r="Y218" s="88"/>
      <c r="Z218" s="88"/>
      <c r="AA218" s="88"/>
      <c r="AB218" s="88"/>
      <c r="AC218" s="88"/>
      <c r="AD218" s="88"/>
      <c r="AE218" s="88"/>
      <c r="AF218" s="88"/>
      <c r="AG218" s="88"/>
      <c r="AH218" s="88"/>
      <c r="AI218" s="88"/>
      <c r="AJ218" s="88"/>
      <c r="AK218" s="125"/>
      <c r="AL218" s="112"/>
      <c r="AM218" s="112"/>
      <c r="AN218" s="112"/>
      <c r="AO218" s="112"/>
      <c r="AP218" s="112"/>
      <c r="AQ218" s="113"/>
      <c r="AR218" s="113"/>
      <c r="AS218" s="114"/>
      <c r="AT218" s="88"/>
      <c r="AU218" s="115"/>
      <c r="AV218" s="116"/>
      <c r="AW218" s="115"/>
      <c r="AX218" s="116"/>
      <c r="AY218" s="115"/>
      <c r="AZ218" s="116"/>
      <c r="BA218" s="115"/>
      <c r="BB218" s="116"/>
      <c r="BC218" s="117"/>
      <c r="BD218" s="118"/>
      <c r="BE218" s="119"/>
      <c r="BF218" s="120"/>
      <c r="BG218" s="120"/>
      <c r="BH218" s="125"/>
    </row>
    <row r="219" spans="1:60" s="36" customFormat="1" ht="23.25" customHeight="1" x14ac:dyDescent="0.3">
      <c r="A219" s="61">
        <v>215</v>
      </c>
      <c r="B219" s="66" t="str">
        <f t="shared" si="6"/>
        <v/>
      </c>
      <c r="C219" s="140"/>
      <c r="D219" s="126"/>
      <c r="E219" s="127" t="str">
        <f t="shared" si="7"/>
        <v/>
      </c>
      <c r="F219" s="128"/>
      <c r="G219" s="128"/>
      <c r="H219" s="129"/>
      <c r="I219" s="130"/>
      <c r="J219" s="131"/>
      <c r="K219" s="126"/>
      <c r="L219" s="140"/>
      <c r="M219" s="132"/>
      <c r="N219" s="133"/>
      <c r="O219" s="134"/>
      <c r="P219" s="135"/>
      <c r="Q219" s="136"/>
      <c r="R219" s="137"/>
      <c r="S219" s="138"/>
      <c r="T219" s="60"/>
      <c r="U219" s="87"/>
      <c r="V219" s="88"/>
      <c r="W219" s="88"/>
      <c r="X219" s="88"/>
      <c r="Y219" s="88"/>
      <c r="Z219" s="88"/>
      <c r="AA219" s="88"/>
      <c r="AB219" s="88"/>
      <c r="AC219" s="88"/>
      <c r="AD219" s="88"/>
      <c r="AE219" s="88"/>
      <c r="AF219" s="88"/>
      <c r="AG219" s="88"/>
      <c r="AH219" s="88"/>
      <c r="AI219" s="88"/>
      <c r="AJ219" s="88"/>
      <c r="AK219" s="125"/>
      <c r="AL219" s="112"/>
      <c r="AM219" s="112"/>
      <c r="AN219" s="112"/>
      <c r="AO219" s="112"/>
      <c r="AP219" s="112"/>
      <c r="AQ219" s="113"/>
      <c r="AR219" s="113"/>
      <c r="AS219" s="114"/>
      <c r="AT219" s="88"/>
      <c r="AU219" s="115"/>
      <c r="AV219" s="116"/>
      <c r="AW219" s="115"/>
      <c r="AX219" s="116"/>
      <c r="AY219" s="115"/>
      <c r="AZ219" s="116"/>
      <c r="BA219" s="115"/>
      <c r="BB219" s="116"/>
      <c r="BC219" s="117"/>
      <c r="BD219" s="118"/>
      <c r="BE219" s="119"/>
      <c r="BF219" s="120"/>
      <c r="BG219" s="120"/>
      <c r="BH219" s="125"/>
    </row>
    <row r="220" spans="1:60" s="36" customFormat="1" ht="23.25" customHeight="1" x14ac:dyDescent="0.3">
      <c r="A220" s="61">
        <v>216</v>
      </c>
      <c r="B220" s="66" t="str">
        <f t="shared" si="6"/>
        <v/>
      </c>
      <c r="C220" s="140"/>
      <c r="D220" s="126"/>
      <c r="E220" s="127" t="str">
        <f t="shared" si="7"/>
        <v/>
      </c>
      <c r="F220" s="128"/>
      <c r="G220" s="128"/>
      <c r="H220" s="129"/>
      <c r="I220" s="130"/>
      <c r="J220" s="131"/>
      <c r="K220" s="126"/>
      <c r="L220" s="140"/>
      <c r="M220" s="132"/>
      <c r="N220" s="133"/>
      <c r="O220" s="134"/>
      <c r="P220" s="135"/>
      <c r="Q220" s="136"/>
      <c r="R220" s="137"/>
      <c r="S220" s="138"/>
      <c r="T220" s="60"/>
      <c r="U220" s="87"/>
      <c r="V220" s="88"/>
      <c r="W220" s="88"/>
      <c r="X220" s="88"/>
      <c r="Y220" s="88"/>
      <c r="Z220" s="88"/>
      <c r="AA220" s="88"/>
      <c r="AB220" s="88"/>
      <c r="AC220" s="88"/>
      <c r="AD220" s="88"/>
      <c r="AE220" s="88"/>
      <c r="AF220" s="88"/>
      <c r="AG220" s="88"/>
      <c r="AH220" s="88"/>
      <c r="AI220" s="88"/>
      <c r="AJ220" s="88"/>
      <c r="AK220" s="125"/>
      <c r="AL220" s="112"/>
      <c r="AM220" s="112"/>
      <c r="AN220" s="112"/>
      <c r="AO220" s="112"/>
      <c r="AP220" s="112"/>
      <c r="AQ220" s="113"/>
      <c r="AR220" s="113"/>
      <c r="AS220" s="114"/>
      <c r="AT220" s="88"/>
      <c r="AU220" s="115"/>
      <c r="AV220" s="116"/>
      <c r="AW220" s="115"/>
      <c r="AX220" s="116"/>
      <c r="AY220" s="115"/>
      <c r="AZ220" s="116"/>
      <c r="BA220" s="115"/>
      <c r="BB220" s="116"/>
      <c r="BC220" s="117"/>
      <c r="BD220" s="118"/>
      <c r="BE220" s="119"/>
      <c r="BF220" s="120"/>
      <c r="BG220" s="120"/>
      <c r="BH220" s="125"/>
    </row>
    <row r="221" spans="1:60" s="36" customFormat="1" ht="23.25" customHeight="1" x14ac:dyDescent="0.3">
      <c r="A221" s="61">
        <v>217</v>
      </c>
      <c r="B221" s="66" t="str">
        <f t="shared" si="6"/>
        <v/>
      </c>
      <c r="C221" s="140"/>
      <c r="D221" s="126"/>
      <c r="E221" s="127" t="str">
        <f t="shared" si="7"/>
        <v/>
      </c>
      <c r="F221" s="128"/>
      <c r="G221" s="128"/>
      <c r="H221" s="129"/>
      <c r="I221" s="130"/>
      <c r="J221" s="131"/>
      <c r="K221" s="126"/>
      <c r="L221" s="140"/>
      <c r="M221" s="132"/>
      <c r="N221" s="133"/>
      <c r="O221" s="134"/>
      <c r="P221" s="135"/>
      <c r="Q221" s="136"/>
      <c r="R221" s="137"/>
      <c r="S221" s="138"/>
      <c r="T221" s="60"/>
      <c r="U221" s="87"/>
      <c r="V221" s="88"/>
      <c r="W221" s="88"/>
      <c r="X221" s="88"/>
      <c r="Y221" s="88"/>
      <c r="Z221" s="88"/>
      <c r="AA221" s="88"/>
      <c r="AB221" s="88"/>
      <c r="AC221" s="88"/>
      <c r="AD221" s="88"/>
      <c r="AE221" s="88"/>
      <c r="AF221" s="88"/>
      <c r="AG221" s="88"/>
      <c r="AH221" s="88"/>
      <c r="AI221" s="88"/>
      <c r="AJ221" s="88"/>
      <c r="AK221" s="125"/>
      <c r="AL221" s="112"/>
      <c r="AM221" s="112"/>
      <c r="AN221" s="112"/>
      <c r="AO221" s="112"/>
      <c r="AP221" s="112"/>
      <c r="AQ221" s="113"/>
      <c r="AR221" s="113"/>
      <c r="AS221" s="114"/>
      <c r="AT221" s="88"/>
      <c r="AU221" s="115"/>
      <c r="AV221" s="116"/>
      <c r="AW221" s="115"/>
      <c r="AX221" s="116"/>
      <c r="AY221" s="115"/>
      <c r="AZ221" s="116"/>
      <c r="BA221" s="115"/>
      <c r="BB221" s="116"/>
      <c r="BC221" s="117"/>
      <c r="BD221" s="118"/>
      <c r="BE221" s="119"/>
      <c r="BF221" s="120"/>
      <c r="BG221" s="120"/>
      <c r="BH221" s="125"/>
    </row>
    <row r="222" spans="1:60" s="36" customFormat="1" ht="23.25" customHeight="1" x14ac:dyDescent="0.3">
      <c r="A222" s="61">
        <v>218</v>
      </c>
      <c r="B222" s="66" t="str">
        <f t="shared" si="6"/>
        <v/>
      </c>
      <c r="C222" s="140"/>
      <c r="D222" s="126"/>
      <c r="E222" s="127" t="str">
        <f t="shared" si="7"/>
        <v/>
      </c>
      <c r="F222" s="128"/>
      <c r="G222" s="128"/>
      <c r="H222" s="129"/>
      <c r="I222" s="130"/>
      <c r="J222" s="131"/>
      <c r="K222" s="126"/>
      <c r="L222" s="140"/>
      <c r="M222" s="132"/>
      <c r="N222" s="133"/>
      <c r="O222" s="134"/>
      <c r="P222" s="135"/>
      <c r="Q222" s="136"/>
      <c r="R222" s="137"/>
      <c r="S222" s="138"/>
      <c r="T222" s="60"/>
      <c r="U222" s="87"/>
      <c r="V222" s="88"/>
      <c r="W222" s="88"/>
      <c r="X222" s="88"/>
      <c r="Y222" s="88"/>
      <c r="Z222" s="88"/>
      <c r="AA222" s="88"/>
      <c r="AB222" s="88"/>
      <c r="AC222" s="88"/>
      <c r="AD222" s="88"/>
      <c r="AE222" s="88"/>
      <c r="AF222" s="88"/>
      <c r="AG222" s="88"/>
      <c r="AH222" s="88"/>
      <c r="AI222" s="88"/>
      <c r="AJ222" s="88"/>
      <c r="AK222" s="125"/>
      <c r="AL222" s="112"/>
      <c r="AM222" s="112"/>
      <c r="AN222" s="112"/>
      <c r="AO222" s="112"/>
      <c r="AP222" s="112"/>
      <c r="AQ222" s="113"/>
      <c r="AR222" s="113"/>
      <c r="AS222" s="114"/>
      <c r="AT222" s="88"/>
      <c r="AU222" s="115"/>
      <c r="AV222" s="116"/>
      <c r="AW222" s="115"/>
      <c r="AX222" s="116"/>
      <c r="AY222" s="115"/>
      <c r="AZ222" s="116"/>
      <c r="BA222" s="115"/>
      <c r="BB222" s="116"/>
      <c r="BC222" s="117"/>
      <c r="BD222" s="118"/>
      <c r="BE222" s="119"/>
      <c r="BF222" s="120"/>
      <c r="BG222" s="120"/>
      <c r="BH222" s="125"/>
    </row>
    <row r="223" spans="1:60" s="36" customFormat="1" ht="23.25" customHeight="1" x14ac:dyDescent="0.3">
      <c r="A223" s="61">
        <v>219</v>
      </c>
      <c r="B223" s="66" t="str">
        <f t="shared" si="6"/>
        <v/>
      </c>
      <c r="C223" s="140"/>
      <c r="D223" s="126"/>
      <c r="E223" s="127" t="str">
        <f t="shared" si="7"/>
        <v/>
      </c>
      <c r="F223" s="128"/>
      <c r="G223" s="128"/>
      <c r="H223" s="129"/>
      <c r="I223" s="130"/>
      <c r="J223" s="131"/>
      <c r="K223" s="126"/>
      <c r="L223" s="140"/>
      <c r="M223" s="132"/>
      <c r="N223" s="133"/>
      <c r="O223" s="134"/>
      <c r="P223" s="135"/>
      <c r="Q223" s="136"/>
      <c r="R223" s="137"/>
      <c r="S223" s="138"/>
      <c r="T223" s="60"/>
      <c r="U223" s="87"/>
      <c r="V223" s="88"/>
      <c r="W223" s="88"/>
      <c r="X223" s="88"/>
      <c r="Y223" s="88"/>
      <c r="Z223" s="88"/>
      <c r="AA223" s="88"/>
      <c r="AB223" s="88"/>
      <c r="AC223" s="88"/>
      <c r="AD223" s="88"/>
      <c r="AE223" s="88"/>
      <c r="AF223" s="88"/>
      <c r="AG223" s="88"/>
      <c r="AH223" s="88"/>
      <c r="AI223" s="88"/>
      <c r="AJ223" s="88"/>
      <c r="AK223" s="125"/>
      <c r="AL223" s="112"/>
      <c r="AM223" s="112"/>
      <c r="AN223" s="112"/>
      <c r="AO223" s="112"/>
      <c r="AP223" s="112"/>
      <c r="AQ223" s="113"/>
      <c r="AR223" s="113"/>
      <c r="AS223" s="114"/>
      <c r="AT223" s="88"/>
      <c r="AU223" s="115"/>
      <c r="AV223" s="116"/>
      <c r="AW223" s="115"/>
      <c r="AX223" s="116"/>
      <c r="AY223" s="115"/>
      <c r="AZ223" s="116"/>
      <c r="BA223" s="115"/>
      <c r="BB223" s="116"/>
      <c r="BC223" s="117"/>
      <c r="BD223" s="118"/>
      <c r="BE223" s="119"/>
      <c r="BF223" s="120"/>
      <c r="BG223" s="120"/>
      <c r="BH223" s="125"/>
    </row>
    <row r="224" spans="1:60" s="36" customFormat="1" ht="23.25" customHeight="1" x14ac:dyDescent="0.3">
      <c r="A224" s="61">
        <v>220</v>
      </c>
      <c r="B224" s="66" t="str">
        <f t="shared" si="6"/>
        <v/>
      </c>
      <c r="C224" s="140"/>
      <c r="D224" s="126"/>
      <c r="E224" s="127" t="str">
        <f t="shared" si="7"/>
        <v/>
      </c>
      <c r="F224" s="128"/>
      <c r="G224" s="128"/>
      <c r="H224" s="129"/>
      <c r="I224" s="130"/>
      <c r="J224" s="131"/>
      <c r="K224" s="126"/>
      <c r="L224" s="140"/>
      <c r="M224" s="132"/>
      <c r="N224" s="133"/>
      <c r="O224" s="134"/>
      <c r="P224" s="135"/>
      <c r="Q224" s="136"/>
      <c r="R224" s="137"/>
      <c r="S224" s="138"/>
      <c r="T224" s="60"/>
      <c r="U224" s="87"/>
      <c r="V224" s="88"/>
      <c r="W224" s="88"/>
      <c r="X224" s="88"/>
      <c r="Y224" s="88"/>
      <c r="Z224" s="88"/>
      <c r="AA224" s="88"/>
      <c r="AB224" s="88"/>
      <c r="AC224" s="88"/>
      <c r="AD224" s="88"/>
      <c r="AE224" s="88"/>
      <c r="AF224" s="88"/>
      <c r="AG224" s="88"/>
      <c r="AH224" s="88"/>
      <c r="AI224" s="88"/>
      <c r="AJ224" s="88"/>
      <c r="AK224" s="125"/>
      <c r="AL224" s="112"/>
      <c r="AM224" s="112"/>
      <c r="AN224" s="112"/>
      <c r="AO224" s="112"/>
      <c r="AP224" s="112"/>
      <c r="AQ224" s="113"/>
      <c r="AR224" s="113"/>
      <c r="AS224" s="114"/>
      <c r="AT224" s="88"/>
      <c r="AU224" s="115"/>
      <c r="AV224" s="116"/>
      <c r="AW224" s="115"/>
      <c r="AX224" s="116"/>
      <c r="AY224" s="115"/>
      <c r="AZ224" s="116"/>
      <c r="BA224" s="115"/>
      <c r="BB224" s="116"/>
      <c r="BC224" s="117"/>
      <c r="BD224" s="118"/>
      <c r="BE224" s="119"/>
      <c r="BF224" s="120"/>
      <c r="BG224" s="120"/>
      <c r="BH224" s="125"/>
    </row>
    <row r="225" spans="1:60" s="36" customFormat="1" ht="23.25" customHeight="1" x14ac:dyDescent="0.3">
      <c r="A225" s="61">
        <v>221</v>
      </c>
      <c r="B225" s="66" t="str">
        <f t="shared" si="6"/>
        <v/>
      </c>
      <c r="C225" s="140"/>
      <c r="D225" s="126"/>
      <c r="E225" s="127" t="str">
        <f t="shared" si="7"/>
        <v/>
      </c>
      <c r="F225" s="128"/>
      <c r="G225" s="128"/>
      <c r="H225" s="129"/>
      <c r="I225" s="130"/>
      <c r="J225" s="131"/>
      <c r="K225" s="126"/>
      <c r="L225" s="140"/>
      <c r="M225" s="132"/>
      <c r="N225" s="133"/>
      <c r="O225" s="134"/>
      <c r="P225" s="135"/>
      <c r="Q225" s="136"/>
      <c r="R225" s="137"/>
      <c r="S225" s="138"/>
      <c r="T225" s="60"/>
      <c r="U225" s="87"/>
      <c r="V225" s="88"/>
      <c r="W225" s="88"/>
      <c r="X225" s="88"/>
      <c r="Y225" s="88"/>
      <c r="Z225" s="88"/>
      <c r="AA225" s="88"/>
      <c r="AB225" s="88"/>
      <c r="AC225" s="88"/>
      <c r="AD225" s="88"/>
      <c r="AE225" s="88"/>
      <c r="AF225" s="88"/>
      <c r="AG225" s="88"/>
      <c r="AH225" s="88"/>
      <c r="AI225" s="88"/>
      <c r="AJ225" s="88"/>
      <c r="AK225" s="125"/>
      <c r="AL225" s="112"/>
      <c r="AM225" s="112"/>
      <c r="AN225" s="112"/>
      <c r="AO225" s="112"/>
      <c r="AP225" s="112"/>
      <c r="AQ225" s="113"/>
      <c r="AR225" s="113"/>
      <c r="AS225" s="114"/>
      <c r="AT225" s="88"/>
      <c r="AU225" s="115"/>
      <c r="AV225" s="116"/>
      <c r="AW225" s="115"/>
      <c r="AX225" s="116"/>
      <c r="AY225" s="115"/>
      <c r="AZ225" s="116"/>
      <c r="BA225" s="115"/>
      <c r="BB225" s="116"/>
      <c r="BC225" s="117"/>
      <c r="BD225" s="118"/>
      <c r="BE225" s="119"/>
      <c r="BF225" s="120"/>
      <c r="BG225" s="120"/>
      <c r="BH225" s="125"/>
    </row>
    <row r="226" spans="1:60" s="36" customFormat="1" ht="23.25" customHeight="1" x14ac:dyDescent="0.3">
      <c r="A226" s="61">
        <v>222</v>
      </c>
      <c r="B226" s="66" t="str">
        <f t="shared" si="6"/>
        <v/>
      </c>
      <c r="C226" s="140"/>
      <c r="D226" s="126"/>
      <c r="E226" s="127" t="str">
        <f t="shared" si="7"/>
        <v/>
      </c>
      <c r="F226" s="128"/>
      <c r="G226" s="128"/>
      <c r="H226" s="129"/>
      <c r="I226" s="130"/>
      <c r="J226" s="131"/>
      <c r="K226" s="126"/>
      <c r="L226" s="140"/>
      <c r="M226" s="132"/>
      <c r="N226" s="133"/>
      <c r="O226" s="134"/>
      <c r="P226" s="135"/>
      <c r="Q226" s="136"/>
      <c r="R226" s="137"/>
      <c r="S226" s="138"/>
      <c r="T226" s="60"/>
      <c r="U226" s="87"/>
      <c r="V226" s="88"/>
      <c r="W226" s="88"/>
      <c r="X226" s="88"/>
      <c r="Y226" s="88"/>
      <c r="Z226" s="88"/>
      <c r="AA226" s="88"/>
      <c r="AB226" s="88"/>
      <c r="AC226" s="88"/>
      <c r="AD226" s="88"/>
      <c r="AE226" s="88"/>
      <c r="AF226" s="88"/>
      <c r="AG226" s="88"/>
      <c r="AH226" s="88"/>
      <c r="AI226" s="88"/>
      <c r="AJ226" s="88"/>
      <c r="AK226" s="125"/>
      <c r="AL226" s="112"/>
      <c r="AM226" s="112"/>
      <c r="AN226" s="112"/>
      <c r="AO226" s="112"/>
      <c r="AP226" s="112"/>
      <c r="AQ226" s="113"/>
      <c r="AR226" s="113"/>
      <c r="AS226" s="114"/>
      <c r="AT226" s="88"/>
      <c r="AU226" s="115"/>
      <c r="AV226" s="116"/>
      <c r="AW226" s="115"/>
      <c r="AX226" s="116"/>
      <c r="AY226" s="115"/>
      <c r="AZ226" s="116"/>
      <c r="BA226" s="115"/>
      <c r="BB226" s="116"/>
      <c r="BC226" s="117"/>
      <c r="BD226" s="118"/>
      <c r="BE226" s="119"/>
      <c r="BF226" s="120"/>
      <c r="BG226" s="120"/>
      <c r="BH226" s="125"/>
    </row>
    <row r="227" spans="1:60" s="36" customFormat="1" ht="23.25" customHeight="1" x14ac:dyDescent="0.3">
      <c r="A227" s="61">
        <v>223</v>
      </c>
      <c r="B227" s="66" t="str">
        <f t="shared" si="6"/>
        <v/>
      </c>
      <c r="C227" s="140"/>
      <c r="D227" s="126"/>
      <c r="E227" s="127" t="str">
        <f t="shared" si="7"/>
        <v/>
      </c>
      <c r="F227" s="128"/>
      <c r="G227" s="128"/>
      <c r="H227" s="129"/>
      <c r="I227" s="130"/>
      <c r="J227" s="131"/>
      <c r="K227" s="126"/>
      <c r="L227" s="140"/>
      <c r="M227" s="132"/>
      <c r="N227" s="133"/>
      <c r="O227" s="134"/>
      <c r="P227" s="135"/>
      <c r="Q227" s="136"/>
      <c r="R227" s="137"/>
      <c r="S227" s="138"/>
      <c r="T227" s="60"/>
      <c r="U227" s="87"/>
      <c r="V227" s="88"/>
      <c r="W227" s="88"/>
      <c r="X227" s="88"/>
      <c r="Y227" s="88"/>
      <c r="Z227" s="88"/>
      <c r="AA227" s="88"/>
      <c r="AB227" s="88"/>
      <c r="AC227" s="88"/>
      <c r="AD227" s="88"/>
      <c r="AE227" s="88"/>
      <c r="AF227" s="88"/>
      <c r="AG227" s="88"/>
      <c r="AH227" s="88"/>
      <c r="AI227" s="88"/>
      <c r="AJ227" s="88"/>
      <c r="AK227" s="125"/>
      <c r="AL227" s="112"/>
      <c r="AM227" s="112"/>
      <c r="AN227" s="112"/>
      <c r="AO227" s="112"/>
      <c r="AP227" s="112"/>
      <c r="AQ227" s="113"/>
      <c r="AR227" s="113"/>
      <c r="AS227" s="114"/>
      <c r="AT227" s="88"/>
      <c r="AU227" s="115"/>
      <c r="AV227" s="116"/>
      <c r="AW227" s="115"/>
      <c r="AX227" s="116"/>
      <c r="AY227" s="115"/>
      <c r="AZ227" s="116"/>
      <c r="BA227" s="115"/>
      <c r="BB227" s="116"/>
      <c r="BC227" s="117"/>
      <c r="BD227" s="118"/>
      <c r="BE227" s="119"/>
      <c r="BF227" s="120"/>
      <c r="BG227" s="120"/>
      <c r="BH227" s="125"/>
    </row>
    <row r="228" spans="1:60" s="36" customFormat="1" ht="23.25" customHeight="1" x14ac:dyDescent="0.3">
      <c r="A228" s="61">
        <v>224</v>
      </c>
      <c r="B228" s="66" t="str">
        <f t="shared" si="6"/>
        <v/>
      </c>
      <c r="C228" s="140"/>
      <c r="D228" s="126"/>
      <c r="E228" s="127" t="str">
        <f t="shared" si="7"/>
        <v/>
      </c>
      <c r="F228" s="128"/>
      <c r="G228" s="128"/>
      <c r="H228" s="129"/>
      <c r="I228" s="130"/>
      <c r="J228" s="131"/>
      <c r="K228" s="126"/>
      <c r="L228" s="140"/>
      <c r="M228" s="132"/>
      <c r="N228" s="133"/>
      <c r="O228" s="134"/>
      <c r="P228" s="135"/>
      <c r="Q228" s="136"/>
      <c r="R228" s="137"/>
      <c r="S228" s="138"/>
      <c r="T228" s="60"/>
      <c r="U228" s="87"/>
      <c r="V228" s="88"/>
      <c r="W228" s="88"/>
      <c r="X228" s="88"/>
      <c r="Y228" s="88"/>
      <c r="Z228" s="88"/>
      <c r="AA228" s="88"/>
      <c r="AB228" s="88"/>
      <c r="AC228" s="88"/>
      <c r="AD228" s="88"/>
      <c r="AE228" s="88"/>
      <c r="AF228" s="88"/>
      <c r="AG228" s="88"/>
      <c r="AH228" s="88"/>
      <c r="AI228" s="88"/>
      <c r="AJ228" s="88"/>
      <c r="AK228" s="125"/>
      <c r="AL228" s="112"/>
      <c r="AM228" s="112"/>
      <c r="AN228" s="112"/>
      <c r="AO228" s="112"/>
      <c r="AP228" s="112"/>
      <c r="AQ228" s="113"/>
      <c r="AR228" s="113"/>
      <c r="AS228" s="114"/>
      <c r="AT228" s="88"/>
      <c r="AU228" s="115"/>
      <c r="AV228" s="116"/>
      <c r="AW228" s="115"/>
      <c r="AX228" s="116"/>
      <c r="AY228" s="115"/>
      <c r="AZ228" s="116"/>
      <c r="BA228" s="115"/>
      <c r="BB228" s="116"/>
      <c r="BC228" s="117"/>
      <c r="BD228" s="118"/>
      <c r="BE228" s="119"/>
      <c r="BF228" s="120"/>
      <c r="BG228" s="120"/>
      <c r="BH228" s="125"/>
    </row>
    <row r="229" spans="1:60" s="36" customFormat="1" ht="23.25" customHeight="1" x14ac:dyDescent="0.3">
      <c r="A229" s="61">
        <v>225</v>
      </c>
      <c r="B229" s="66" t="str">
        <f t="shared" si="6"/>
        <v/>
      </c>
      <c r="C229" s="140"/>
      <c r="D229" s="126"/>
      <c r="E229" s="127" t="str">
        <f t="shared" si="7"/>
        <v/>
      </c>
      <c r="F229" s="128"/>
      <c r="G229" s="128"/>
      <c r="H229" s="129"/>
      <c r="I229" s="130"/>
      <c r="J229" s="131"/>
      <c r="K229" s="126"/>
      <c r="L229" s="140"/>
      <c r="M229" s="132"/>
      <c r="N229" s="133"/>
      <c r="O229" s="134"/>
      <c r="P229" s="135"/>
      <c r="Q229" s="136"/>
      <c r="R229" s="137"/>
      <c r="S229" s="138"/>
      <c r="T229" s="60"/>
      <c r="U229" s="87"/>
      <c r="V229" s="88"/>
      <c r="W229" s="88"/>
      <c r="X229" s="88"/>
      <c r="Y229" s="88"/>
      <c r="Z229" s="88"/>
      <c r="AA229" s="88"/>
      <c r="AB229" s="88"/>
      <c r="AC229" s="88"/>
      <c r="AD229" s="88"/>
      <c r="AE229" s="88"/>
      <c r="AF229" s="88"/>
      <c r="AG229" s="88"/>
      <c r="AH229" s="88"/>
      <c r="AI229" s="88"/>
      <c r="AJ229" s="88"/>
      <c r="AK229" s="125"/>
      <c r="AL229" s="112"/>
      <c r="AM229" s="112"/>
      <c r="AN229" s="112"/>
      <c r="AO229" s="112"/>
      <c r="AP229" s="112"/>
      <c r="AQ229" s="113"/>
      <c r="AR229" s="113"/>
      <c r="AS229" s="114"/>
      <c r="AT229" s="88"/>
      <c r="AU229" s="115"/>
      <c r="AV229" s="116"/>
      <c r="AW229" s="115"/>
      <c r="AX229" s="116"/>
      <c r="AY229" s="115"/>
      <c r="AZ229" s="116"/>
      <c r="BA229" s="115"/>
      <c r="BB229" s="116"/>
      <c r="BC229" s="117"/>
      <c r="BD229" s="118"/>
      <c r="BE229" s="119"/>
      <c r="BF229" s="120"/>
      <c r="BG229" s="120"/>
      <c r="BH229" s="125"/>
    </row>
    <row r="230" spans="1:60" s="36" customFormat="1" ht="23.25" customHeight="1" x14ac:dyDescent="0.3">
      <c r="A230" s="61">
        <v>226</v>
      </c>
      <c r="B230" s="66" t="str">
        <f t="shared" si="6"/>
        <v/>
      </c>
      <c r="C230" s="140"/>
      <c r="D230" s="126"/>
      <c r="E230" s="127" t="str">
        <f t="shared" si="7"/>
        <v/>
      </c>
      <c r="F230" s="128"/>
      <c r="G230" s="128"/>
      <c r="H230" s="129"/>
      <c r="I230" s="130"/>
      <c r="J230" s="131"/>
      <c r="K230" s="126"/>
      <c r="L230" s="140"/>
      <c r="M230" s="132"/>
      <c r="N230" s="133"/>
      <c r="O230" s="134"/>
      <c r="P230" s="135"/>
      <c r="Q230" s="136"/>
      <c r="R230" s="137"/>
      <c r="S230" s="138"/>
      <c r="T230" s="60"/>
      <c r="U230" s="87"/>
      <c r="V230" s="88"/>
      <c r="W230" s="88"/>
      <c r="X230" s="88"/>
      <c r="Y230" s="88"/>
      <c r="Z230" s="88"/>
      <c r="AA230" s="88"/>
      <c r="AB230" s="88"/>
      <c r="AC230" s="88"/>
      <c r="AD230" s="88"/>
      <c r="AE230" s="88"/>
      <c r="AF230" s="88"/>
      <c r="AG230" s="88"/>
      <c r="AH230" s="88"/>
      <c r="AI230" s="88"/>
      <c r="AJ230" s="88"/>
      <c r="AK230" s="125"/>
      <c r="AL230" s="112"/>
      <c r="AM230" s="112"/>
      <c r="AN230" s="112"/>
      <c r="AO230" s="112"/>
      <c r="AP230" s="112"/>
      <c r="AQ230" s="113"/>
      <c r="AR230" s="113"/>
      <c r="AS230" s="114"/>
      <c r="AT230" s="88"/>
      <c r="AU230" s="115"/>
      <c r="AV230" s="116"/>
      <c r="AW230" s="115"/>
      <c r="AX230" s="116"/>
      <c r="AY230" s="115"/>
      <c r="AZ230" s="116"/>
      <c r="BA230" s="115"/>
      <c r="BB230" s="116"/>
      <c r="BC230" s="117"/>
      <c r="BD230" s="118"/>
      <c r="BE230" s="119"/>
      <c r="BF230" s="120"/>
      <c r="BG230" s="120"/>
      <c r="BH230" s="125"/>
    </row>
    <row r="231" spans="1:60" s="36" customFormat="1" ht="23.25" customHeight="1" x14ac:dyDescent="0.3">
      <c r="A231" s="61">
        <v>227</v>
      </c>
      <c r="B231" s="66" t="str">
        <f t="shared" si="6"/>
        <v/>
      </c>
      <c r="C231" s="140"/>
      <c r="D231" s="126"/>
      <c r="E231" s="127" t="str">
        <f t="shared" si="7"/>
        <v/>
      </c>
      <c r="F231" s="128"/>
      <c r="G231" s="128"/>
      <c r="H231" s="129"/>
      <c r="I231" s="130"/>
      <c r="J231" s="131"/>
      <c r="K231" s="126"/>
      <c r="L231" s="140"/>
      <c r="M231" s="132"/>
      <c r="N231" s="133"/>
      <c r="O231" s="134"/>
      <c r="P231" s="135"/>
      <c r="Q231" s="136"/>
      <c r="R231" s="137"/>
      <c r="S231" s="138"/>
      <c r="T231" s="60"/>
      <c r="U231" s="87"/>
      <c r="V231" s="88"/>
      <c r="W231" s="88"/>
      <c r="X231" s="88"/>
      <c r="Y231" s="88"/>
      <c r="Z231" s="88"/>
      <c r="AA231" s="88"/>
      <c r="AB231" s="88"/>
      <c r="AC231" s="88"/>
      <c r="AD231" s="88"/>
      <c r="AE231" s="88"/>
      <c r="AF231" s="88"/>
      <c r="AG231" s="88"/>
      <c r="AH231" s="88"/>
      <c r="AI231" s="88"/>
      <c r="AJ231" s="88"/>
      <c r="AK231" s="125"/>
      <c r="AL231" s="112"/>
      <c r="AM231" s="112"/>
      <c r="AN231" s="112"/>
      <c r="AO231" s="112"/>
      <c r="AP231" s="112"/>
      <c r="AQ231" s="113"/>
      <c r="AR231" s="113"/>
      <c r="AS231" s="114"/>
      <c r="AT231" s="88"/>
      <c r="AU231" s="115"/>
      <c r="AV231" s="116"/>
      <c r="AW231" s="115"/>
      <c r="AX231" s="116"/>
      <c r="AY231" s="115"/>
      <c r="AZ231" s="116"/>
      <c r="BA231" s="115"/>
      <c r="BB231" s="116"/>
      <c r="BC231" s="117"/>
      <c r="BD231" s="118"/>
      <c r="BE231" s="119"/>
      <c r="BF231" s="120"/>
      <c r="BG231" s="120"/>
      <c r="BH231" s="125"/>
    </row>
    <row r="232" spans="1:60" s="36" customFormat="1" ht="23.25" customHeight="1" x14ac:dyDescent="0.3">
      <c r="A232" s="61">
        <v>228</v>
      </c>
      <c r="B232" s="66" t="str">
        <f t="shared" si="6"/>
        <v/>
      </c>
      <c r="C232" s="140"/>
      <c r="D232" s="126"/>
      <c r="E232" s="127" t="str">
        <f t="shared" si="7"/>
        <v/>
      </c>
      <c r="F232" s="128"/>
      <c r="G232" s="128"/>
      <c r="H232" s="129"/>
      <c r="I232" s="130"/>
      <c r="J232" s="131"/>
      <c r="K232" s="126"/>
      <c r="L232" s="140"/>
      <c r="M232" s="132"/>
      <c r="N232" s="133"/>
      <c r="O232" s="134"/>
      <c r="P232" s="135"/>
      <c r="Q232" s="136"/>
      <c r="R232" s="137"/>
      <c r="S232" s="138"/>
      <c r="T232" s="60"/>
      <c r="U232" s="87"/>
      <c r="V232" s="88"/>
      <c r="W232" s="88"/>
      <c r="X232" s="88"/>
      <c r="Y232" s="88"/>
      <c r="Z232" s="88"/>
      <c r="AA232" s="88"/>
      <c r="AB232" s="88"/>
      <c r="AC232" s="88"/>
      <c r="AD232" s="88"/>
      <c r="AE232" s="88"/>
      <c r="AF232" s="88"/>
      <c r="AG232" s="88"/>
      <c r="AH232" s="88"/>
      <c r="AI232" s="88"/>
      <c r="AJ232" s="88"/>
      <c r="AK232" s="125"/>
      <c r="AL232" s="112"/>
      <c r="AM232" s="112"/>
      <c r="AN232" s="112"/>
      <c r="AO232" s="112"/>
      <c r="AP232" s="112"/>
      <c r="AQ232" s="113"/>
      <c r="AR232" s="113"/>
      <c r="AS232" s="114"/>
      <c r="AT232" s="88"/>
      <c r="AU232" s="115"/>
      <c r="AV232" s="116"/>
      <c r="AW232" s="115"/>
      <c r="AX232" s="116"/>
      <c r="AY232" s="115"/>
      <c r="AZ232" s="116"/>
      <c r="BA232" s="115"/>
      <c r="BB232" s="116"/>
      <c r="BC232" s="117"/>
      <c r="BD232" s="118"/>
      <c r="BE232" s="119"/>
      <c r="BF232" s="120"/>
      <c r="BG232" s="120"/>
      <c r="BH232" s="125"/>
    </row>
    <row r="233" spans="1:60" s="36" customFormat="1" ht="23.25" customHeight="1" x14ac:dyDescent="0.3">
      <c r="A233" s="61">
        <v>229</v>
      </c>
      <c r="B233" s="66" t="str">
        <f t="shared" si="6"/>
        <v/>
      </c>
      <c r="C233" s="140"/>
      <c r="D233" s="126"/>
      <c r="E233" s="127" t="str">
        <f t="shared" si="7"/>
        <v/>
      </c>
      <c r="F233" s="128"/>
      <c r="G233" s="128"/>
      <c r="H233" s="129"/>
      <c r="I233" s="130"/>
      <c r="J233" s="131"/>
      <c r="K233" s="126"/>
      <c r="L233" s="140"/>
      <c r="M233" s="132"/>
      <c r="N233" s="133"/>
      <c r="O233" s="134"/>
      <c r="P233" s="135"/>
      <c r="Q233" s="136"/>
      <c r="R233" s="137"/>
      <c r="S233" s="138"/>
      <c r="T233" s="60"/>
      <c r="U233" s="87"/>
      <c r="V233" s="88"/>
      <c r="W233" s="88"/>
      <c r="X233" s="88"/>
      <c r="Y233" s="88"/>
      <c r="Z233" s="88"/>
      <c r="AA233" s="88"/>
      <c r="AB233" s="88"/>
      <c r="AC233" s="88"/>
      <c r="AD233" s="88"/>
      <c r="AE233" s="88"/>
      <c r="AF233" s="88"/>
      <c r="AG233" s="88"/>
      <c r="AH233" s="88"/>
      <c r="AI233" s="88"/>
      <c r="AJ233" s="88"/>
      <c r="AK233" s="125"/>
      <c r="AL233" s="112"/>
      <c r="AM233" s="112"/>
      <c r="AN233" s="112"/>
      <c r="AO233" s="112"/>
      <c r="AP233" s="112"/>
      <c r="AQ233" s="113"/>
      <c r="AR233" s="113"/>
      <c r="AS233" s="114"/>
      <c r="AT233" s="88"/>
      <c r="AU233" s="115"/>
      <c r="AV233" s="116"/>
      <c r="AW233" s="115"/>
      <c r="AX233" s="116"/>
      <c r="AY233" s="115"/>
      <c r="AZ233" s="116"/>
      <c r="BA233" s="115"/>
      <c r="BB233" s="116"/>
      <c r="BC233" s="117"/>
      <c r="BD233" s="118"/>
      <c r="BE233" s="119"/>
      <c r="BF233" s="120"/>
      <c r="BG233" s="120"/>
      <c r="BH233" s="125"/>
    </row>
    <row r="234" spans="1:60" s="36" customFormat="1" ht="23.25" customHeight="1" x14ac:dyDescent="0.3">
      <c r="A234" s="61">
        <v>230</v>
      </c>
      <c r="B234" s="66" t="str">
        <f t="shared" si="6"/>
        <v/>
      </c>
      <c r="C234" s="140"/>
      <c r="D234" s="126"/>
      <c r="E234" s="127" t="str">
        <f t="shared" si="7"/>
        <v/>
      </c>
      <c r="F234" s="128"/>
      <c r="G234" s="128"/>
      <c r="H234" s="129"/>
      <c r="I234" s="130"/>
      <c r="J234" s="131"/>
      <c r="K234" s="126"/>
      <c r="L234" s="140"/>
      <c r="M234" s="132"/>
      <c r="N234" s="133"/>
      <c r="O234" s="134"/>
      <c r="P234" s="135"/>
      <c r="Q234" s="136"/>
      <c r="R234" s="137"/>
      <c r="S234" s="138"/>
      <c r="T234" s="60"/>
      <c r="U234" s="87"/>
      <c r="V234" s="88"/>
      <c r="W234" s="88"/>
      <c r="X234" s="88"/>
      <c r="Y234" s="88"/>
      <c r="Z234" s="88"/>
      <c r="AA234" s="88"/>
      <c r="AB234" s="88"/>
      <c r="AC234" s="88"/>
      <c r="AD234" s="88"/>
      <c r="AE234" s="88"/>
      <c r="AF234" s="88"/>
      <c r="AG234" s="88"/>
      <c r="AH234" s="88"/>
      <c r="AI234" s="88"/>
      <c r="AJ234" s="88"/>
      <c r="AK234" s="125"/>
      <c r="AL234" s="112"/>
      <c r="AM234" s="112"/>
      <c r="AN234" s="112"/>
      <c r="AO234" s="112"/>
      <c r="AP234" s="112"/>
      <c r="AQ234" s="113"/>
      <c r="AR234" s="113"/>
      <c r="AS234" s="114"/>
      <c r="AT234" s="88"/>
      <c r="AU234" s="115"/>
      <c r="AV234" s="116"/>
      <c r="AW234" s="115"/>
      <c r="AX234" s="116"/>
      <c r="AY234" s="115"/>
      <c r="AZ234" s="116"/>
      <c r="BA234" s="115"/>
      <c r="BB234" s="116"/>
      <c r="BC234" s="117"/>
      <c r="BD234" s="118"/>
      <c r="BE234" s="119"/>
      <c r="BF234" s="120"/>
      <c r="BG234" s="120"/>
      <c r="BH234" s="125"/>
    </row>
    <row r="235" spans="1:60" s="36" customFormat="1" ht="23.25" customHeight="1" x14ac:dyDescent="0.3">
      <c r="A235" s="61">
        <v>231</v>
      </c>
      <c r="B235" s="66" t="str">
        <f t="shared" si="6"/>
        <v/>
      </c>
      <c r="C235" s="140"/>
      <c r="D235" s="126"/>
      <c r="E235" s="127" t="str">
        <f t="shared" si="7"/>
        <v/>
      </c>
      <c r="F235" s="128"/>
      <c r="G235" s="128"/>
      <c r="H235" s="129"/>
      <c r="I235" s="130"/>
      <c r="J235" s="131"/>
      <c r="K235" s="126"/>
      <c r="L235" s="140"/>
      <c r="M235" s="132"/>
      <c r="N235" s="133"/>
      <c r="O235" s="134"/>
      <c r="P235" s="135"/>
      <c r="Q235" s="136"/>
      <c r="R235" s="137"/>
      <c r="S235" s="138"/>
      <c r="T235" s="60"/>
      <c r="U235" s="87"/>
      <c r="V235" s="88"/>
      <c r="W235" s="88"/>
      <c r="X235" s="88"/>
      <c r="Y235" s="88"/>
      <c r="Z235" s="88"/>
      <c r="AA235" s="88"/>
      <c r="AB235" s="88"/>
      <c r="AC235" s="88"/>
      <c r="AD235" s="88"/>
      <c r="AE235" s="88"/>
      <c r="AF235" s="88"/>
      <c r="AG235" s="88"/>
      <c r="AH235" s="88"/>
      <c r="AI235" s="88"/>
      <c r="AJ235" s="88"/>
      <c r="AK235" s="125"/>
      <c r="AL235" s="112"/>
      <c r="AM235" s="112"/>
      <c r="AN235" s="112"/>
      <c r="AO235" s="112"/>
      <c r="AP235" s="112"/>
      <c r="AQ235" s="113"/>
      <c r="AR235" s="113"/>
      <c r="AS235" s="114"/>
      <c r="AT235" s="88"/>
      <c r="AU235" s="115"/>
      <c r="AV235" s="116"/>
      <c r="AW235" s="115"/>
      <c r="AX235" s="116"/>
      <c r="AY235" s="115"/>
      <c r="AZ235" s="116"/>
      <c r="BA235" s="115"/>
      <c r="BB235" s="116"/>
      <c r="BC235" s="117"/>
      <c r="BD235" s="118"/>
      <c r="BE235" s="119"/>
      <c r="BF235" s="120"/>
      <c r="BG235" s="120"/>
      <c r="BH235" s="125"/>
    </row>
    <row r="236" spans="1:60" s="36" customFormat="1" ht="23.25" customHeight="1" x14ac:dyDescent="0.3">
      <c r="A236" s="61">
        <v>232</v>
      </c>
      <c r="B236" s="66" t="str">
        <f t="shared" si="6"/>
        <v/>
      </c>
      <c r="C236" s="140"/>
      <c r="D236" s="126"/>
      <c r="E236" s="127" t="str">
        <f t="shared" si="7"/>
        <v/>
      </c>
      <c r="F236" s="128"/>
      <c r="G236" s="128"/>
      <c r="H236" s="129"/>
      <c r="I236" s="130"/>
      <c r="J236" s="131"/>
      <c r="K236" s="126"/>
      <c r="L236" s="140"/>
      <c r="M236" s="132"/>
      <c r="N236" s="133"/>
      <c r="O236" s="134"/>
      <c r="P236" s="135"/>
      <c r="Q236" s="136"/>
      <c r="R236" s="137"/>
      <c r="S236" s="138"/>
      <c r="T236" s="60"/>
      <c r="U236" s="87"/>
      <c r="V236" s="88"/>
      <c r="W236" s="88"/>
      <c r="X236" s="88"/>
      <c r="Y236" s="88"/>
      <c r="Z236" s="88"/>
      <c r="AA236" s="88"/>
      <c r="AB236" s="88"/>
      <c r="AC236" s="88"/>
      <c r="AD236" s="88"/>
      <c r="AE236" s="88"/>
      <c r="AF236" s="88"/>
      <c r="AG236" s="88"/>
      <c r="AH236" s="88"/>
      <c r="AI236" s="88"/>
      <c r="AJ236" s="88"/>
      <c r="AK236" s="125"/>
      <c r="AL236" s="112"/>
      <c r="AM236" s="112"/>
      <c r="AN236" s="112"/>
      <c r="AO236" s="112"/>
      <c r="AP236" s="112"/>
      <c r="AQ236" s="113"/>
      <c r="AR236" s="113"/>
      <c r="AS236" s="114"/>
      <c r="AT236" s="88"/>
      <c r="AU236" s="115"/>
      <c r="AV236" s="116"/>
      <c r="AW236" s="115"/>
      <c r="AX236" s="116"/>
      <c r="AY236" s="115"/>
      <c r="AZ236" s="116"/>
      <c r="BA236" s="115"/>
      <c r="BB236" s="116"/>
      <c r="BC236" s="117"/>
      <c r="BD236" s="118"/>
      <c r="BE236" s="119"/>
      <c r="BF236" s="120"/>
      <c r="BG236" s="120"/>
      <c r="BH236" s="125"/>
    </row>
    <row r="237" spans="1:60" s="36" customFormat="1" ht="23.25" customHeight="1" x14ac:dyDescent="0.3">
      <c r="A237" s="61">
        <v>233</v>
      </c>
      <c r="B237" s="66" t="str">
        <f t="shared" si="6"/>
        <v/>
      </c>
      <c r="C237" s="140"/>
      <c r="D237" s="126"/>
      <c r="E237" s="127" t="str">
        <f t="shared" si="7"/>
        <v/>
      </c>
      <c r="F237" s="128"/>
      <c r="G237" s="128"/>
      <c r="H237" s="129"/>
      <c r="I237" s="130"/>
      <c r="J237" s="131"/>
      <c r="K237" s="126"/>
      <c r="L237" s="140"/>
      <c r="M237" s="132"/>
      <c r="N237" s="133"/>
      <c r="O237" s="134"/>
      <c r="P237" s="135"/>
      <c r="Q237" s="136"/>
      <c r="R237" s="137"/>
      <c r="S237" s="138"/>
      <c r="T237" s="60"/>
      <c r="U237" s="87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125"/>
      <c r="AL237" s="112"/>
      <c r="AM237" s="112"/>
      <c r="AN237" s="112"/>
      <c r="AO237" s="112"/>
      <c r="AP237" s="112"/>
      <c r="AQ237" s="113"/>
      <c r="AR237" s="113"/>
      <c r="AS237" s="114"/>
      <c r="AT237" s="88"/>
      <c r="AU237" s="115"/>
      <c r="AV237" s="116"/>
      <c r="AW237" s="115"/>
      <c r="AX237" s="116"/>
      <c r="AY237" s="115"/>
      <c r="AZ237" s="116"/>
      <c r="BA237" s="115"/>
      <c r="BB237" s="116"/>
      <c r="BC237" s="117"/>
      <c r="BD237" s="118"/>
      <c r="BE237" s="119"/>
      <c r="BF237" s="120"/>
      <c r="BG237" s="120"/>
      <c r="BH237" s="125"/>
    </row>
    <row r="238" spans="1:60" s="36" customFormat="1" ht="23.25" customHeight="1" x14ac:dyDescent="0.3">
      <c r="A238" s="61">
        <v>234</v>
      </c>
      <c r="B238" s="66" t="str">
        <f t="shared" si="6"/>
        <v/>
      </c>
      <c r="C238" s="140"/>
      <c r="D238" s="126"/>
      <c r="E238" s="127" t="str">
        <f t="shared" si="7"/>
        <v/>
      </c>
      <c r="F238" s="128"/>
      <c r="G238" s="128"/>
      <c r="H238" s="129"/>
      <c r="I238" s="130"/>
      <c r="J238" s="131"/>
      <c r="K238" s="126"/>
      <c r="L238" s="140"/>
      <c r="M238" s="132"/>
      <c r="N238" s="133"/>
      <c r="O238" s="134"/>
      <c r="P238" s="135"/>
      <c r="Q238" s="136"/>
      <c r="R238" s="137"/>
      <c r="S238" s="138"/>
      <c r="T238" s="60"/>
      <c r="U238" s="87"/>
      <c r="V238" s="88"/>
      <c r="W238" s="88"/>
      <c r="X238" s="88"/>
      <c r="Y238" s="88"/>
      <c r="Z238" s="88"/>
      <c r="AA238" s="88"/>
      <c r="AB238" s="88"/>
      <c r="AC238" s="88"/>
      <c r="AD238" s="88"/>
      <c r="AE238" s="88"/>
      <c r="AF238" s="88"/>
      <c r="AG238" s="88"/>
      <c r="AH238" s="88"/>
      <c r="AI238" s="88"/>
      <c r="AJ238" s="88"/>
      <c r="AK238" s="125"/>
      <c r="AL238" s="112"/>
      <c r="AM238" s="112"/>
      <c r="AN238" s="112"/>
      <c r="AO238" s="112"/>
      <c r="AP238" s="112"/>
      <c r="AQ238" s="113"/>
      <c r="AR238" s="113"/>
      <c r="AS238" s="114"/>
      <c r="AT238" s="88"/>
      <c r="AU238" s="115"/>
      <c r="AV238" s="116"/>
      <c r="AW238" s="115"/>
      <c r="AX238" s="116"/>
      <c r="AY238" s="115"/>
      <c r="AZ238" s="116"/>
      <c r="BA238" s="115"/>
      <c r="BB238" s="116"/>
      <c r="BC238" s="117"/>
      <c r="BD238" s="118"/>
      <c r="BE238" s="119"/>
      <c r="BF238" s="120"/>
      <c r="BG238" s="120"/>
      <c r="BH238" s="125"/>
    </row>
    <row r="239" spans="1:60" s="36" customFormat="1" ht="23.25" customHeight="1" x14ac:dyDescent="0.3">
      <c r="A239" s="61">
        <v>235</v>
      </c>
      <c r="B239" s="66" t="str">
        <f t="shared" si="6"/>
        <v/>
      </c>
      <c r="C239" s="140"/>
      <c r="D239" s="126"/>
      <c r="E239" s="127" t="str">
        <f t="shared" si="7"/>
        <v/>
      </c>
      <c r="F239" s="128"/>
      <c r="G239" s="128"/>
      <c r="H239" s="129"/>
      <c r="I239" s="130"/>
      <c r="J239" s="131"/>
      <c r="K239" s="126"/>
      <c r="L239" s="140"/>
      <c r="M239" s="132"/>
      <c r="N239" s="133"/>
      <c r="O239" s="134"/>
      <c r="P239" s="135"/>
      <c r="Q239" s="136"/>
      <c r="R239" s="137"/>
      <c r="S239" s="138"/>
      <c r="T239" s="60"/>
      <c r="U239" s="87"/>
      <c r="V239" s="88"/>
      <c r="W239" s="88"/>
      <c r="X239" s="88"/>
      <c r="Y239" s="88"/>
      <c r="Z239" s="88"/>
      <c r="AA239" s="88"/>
      <c r="AB239" s="88"/>
      <c r="AC239" s="88"/>
      <c r="AD239" s="88"/>
      <c r="AE239" s="88"/>
      <c r="AF239" s="88"/>
      <c r="AG239" s="88"/>
      <c r="AH239" s="88"/>
      <c r="AI239" s="88"/>
      <c r="AJ239" s="88"/>
      <c r="AK239" s="125"/>
      <c r="AL239" s="112"/>
      <c r="AM239" s="112"/>
      <c r="AN239" s="112"/>
      <c r="AO239" s="112"/>
      <c r="AP239" s="112"/>
      <c r="AQ239" s="113"/>
      <c r="AR239" s="113"/>
      <c r="AS239" s="114"/>
      <c r="AT239" s="88"/>
      <c r="AU239" s="115"/>
      <c r="AV239" s="116"/>
      <c r="AW239" s="115"/>
      <c r="AX239" s="116"/>
      <c r="AY239" s="115"/>
      <c r="AZ239" s="116"/>
      <c r="BA239" s="115"/>
      <c r="BB239" s="116"/>
      <c r="BC239" s="117"/>
      <c r="BD239" s="118"/>
      <c r="BE239" s="119"/>
      <c r="BF239" s="120"/>
      <c r="BG239" s="120"/>
      <c r="BH239" s="125"/>
    </row>
    <row r="240" spans="1:60" s="36" customFormat="1" ht="23.25" customHeight="1" x14ac:dyDescent="0.3">
      <c r="A240" s="61">
        <v>236</v>
      </c>
      <c r="B240" s="66" t="str">
        <f t="shared" si="6"/>
        <v/>
      </c>
      <c r="C240" s="140"/>
      <c r="D240" s="126"/>
      <c r="E240" s="127" t="str">
        <f t="shared" si="7"/>
        <v/>
      </c>
      <c r="F240" s="128"/>
      <c r="G240" s="128"/>
      <c r="H240" s="129"/>
      <c r="I240" s="130"/>
      <c r="J240" s="131"/>
      <c r="K240" s="126"/>
      <c r="L240" s="140"/>
      <c r="M240" s="132"/>
      <c r="N240" s="133"/>
      <c r="O240" s="134"/>
      <c r="P240" s="135"/>
      <c r="Q240" s="136"/>
      <c r="R240" s="137"/>
      <c r="S240" s="138"/>
      <c r="T240" s="60"/>
      <c r="U240" s="87"/>
      <c r="V240" s="88"/>
      <c r="W240" s="88"/>
      <c r="X240" s="88"/>
      <c r="Y240" s="88"/>
      <c r="Z240" s="88"/>
      <c r="AA240" s="88"/>
      <c r="AB240" s="88"/>
      <c r="AC240" s="88"/>
      <c r="AD240" s="88"/>
      <c r="AE240" s="88"/>
      <c r="AF240" s="88"/>
      <c r="AG240" s="88"/>
      <c r="AH240" s="88"/>
      <c r="AI240" s="88"/>
      <c r="AJ240" s="88"/>
      <c r="AK240" s="125"/>
      <c r="AL240" s="112"/>
      <c r="AM240" s="112"/>
      <c r="AN240" s="112"/>
      <c r="AO240" s="112"/>
      <c r="AP240" s="112"/>
      <c r="AQ240" s="113"/>
      <c r="AR240" s="113"/>
      <c r="AS240" s="114"/>
      <c r="AT240" s="88"/>
      <c r="AU240" s="115"/>
      <c r="AV240" s="116"/>
      <c r="AW240" s="115"/>
      <c r="AX240" s="116"/>
      <c r="AY240" s="115"/>
      <c r="AZ240" s="116"/>
      <c r="BA240" s="115"/>
      <c r="BB240" s="116"/>
      <c r="BC240" s="117"/>
      <c r="BD240" s="118"/>
      <c r="BE240" s="119"/>
      <c r="BF240" s="120"/>
      <c r="BG240" s="120"/>
      <c r="BH240" s="125"/>
    </row>
    <row r="241" spans="1:60" s="36" customFormat="1" ht="23.25" customHeight="1" x14ac:dyDescent="0.3">
      <c r="A241" s="61">
        <v>237</v>
      </c>
      <c r="B241" s="66" t="str">
        <f t="shared" si="6"/>
        <v/>
      </c>
      <c r="C241" s="140"/>
      <c r="D241" s="126"/>
      <c r="E241" s="127" t="str">
        <f t="shared" si="7"/>
        <v/>
      </c>
      <c r="F241" s="128"/>
      <c r="G241" s="128"/>
      <c r="H241" s="129"/>
      <c r="I241" s="130"/>
      <c r="J241" s="131"/>
      <c r="K241" s="126"/>
      <c r="L241" s="140"/>
      <c r="M241" s="132"/>
      <c r="N241" s="133"/>
      <c r="O241" s="134"/>
      <c r="P241" s="135"/>
      <c r="Q241" s="136"/>
      <c r="R241" s="137"/>
      <c r="S241" s="138"/>
      <c r="T241" s="60"/>
      <c r="U241" s="87"/>
      <c r="V241" s="88"/>
      <c r="W241" s="88"/>
      <c r="X241" s="88"/>
      <c r="Y241" s="88"/>
      <c r="Z241" s="88"/>
      <c r="AA241" s="88"/>
      <c r="AB241" s="88"/>
      <c r="AC241" s="88"/>
      <c r="AD241" s="88"/>
      <c r="AE241" s="88"/>
      <c r="AF241" s="88"/>
      <c r="AG241" s="88"/>
      <c r="AH241" s="88"/>
      <c r="AI241" s="88"/>
      <c r="AJ241" s="88"/>
      <c r="AK241" s="125"/>
      <c r="AL241" s="112"/>
      <c r="AM241" s="112"/>
      <c r="AN241" s="112"/>
      <c r="AO241" s="112"/>
      <c r="AP241" s="112"/>
      <c r="AQ241" s="113"/>
      <c r="AR241" s="113"/>
      <c r="AS241" s="114"/>
      <c r="AT241" s="88"/>
      <c r="AU241" s="115"/>
      <c r="AV241" s="116"/>
      <c r="AW241" s="115"/>
      <c r="AX241" s="116"/>
      <c r="AY241" s="115"/>
      <c r="AZ241" s="116"/>
      <c r="BA241" s="115"/>
      <c r="BB241" s="116"/>
      <c r="BC241" s="117"/>
      <c r="BD241" s="118"/>
      <c r="BE241" s="119"/>
      <c r="BF241" s="120"/>
      <c r="BG241" s="120"/>
      <c r="BH241" s="125"/>
    </row>
    <row r="242" spans="1:60" s="36" customFormat="1" ht="23.25" customHeight="1" x14ac:dyDescent="0.3">
      <c r="A242" s="61">
        <v>238</v>
      </c>
      <c r="B242" s="66" t="str">
        <f t="shared" si="6"/>
        <v/>
      </c>
      <c r="C242" s="140"/>
      <c r="D242" s="126"/>
      <c r="E242" s="127" t="str">
        <f t="shared" si="7"/>
        <v/>
      </c>
      <c r="F242" s="128"/>
      <c r="G242" s="128"/>
      <c r="H242" s="129"/>
      <c r="I242" s="130"/>
      <c r="J242" s="131"/>
      <c r="K242" s="126"/>
      <c r="L242" s="140"/>
      <c r="M242" s="132"/>
      <c r="N242" s="133"/>
      <c r="O242" s="134"/>
      <c r="P242" s="135"/>
      <c r="Q242" s="136"/>
      <c r="R242" s="137"/>
      <c r="S242" s="138"/>
      <c r="T242" s="60"/>
      <c r="U242" s="87"/>
      <c r="V242" s="88"/>
      <c r="W242" s="88"/>
      <c r="X242" s="88"/>
      <c r="Y242" s="88"/>
      <c r="Z242" s="88"/>
      <c r="AA242" s="88"/>
      <c r="AB242" s="88"/>
      <c r="AC242" s="88"/>
      <c r="AD242" s="88"/>
      <c r="AE242" s="88"/>
      <c r="AF242" s="88"/>
      <c r="AG242" s="88"/>
      <c r="AH242" s="88"/>
      <c r="AI242" s="88"/>
      <c r="AJ242" s="88"/>
      <c r="AK242" s="125"/>
      <c r="AL242" s="112"/>
      <c r="AM242" s="112"/>
      <c r="AN242" s="112"/>
      <c r="AO242" s="112"/>
      <c r="AP242" s="112"/>
      <c r="AQ242" s="113"/>
      <c r="AR242" s="113"/>
      <c r="AS242" s="114"/>
      <c r="AT242" s="88"/>
      <c r="AU242" s="115"/>
      <c r="AV242" s="116"/>
      <c r="AW242" s="115"/>
      <c r="AX242" s="116"/>
      <c r="AY242" s="115"/>
      <c r="AZ242" s="116"/>
      <c r="BA242" s="115"/>
      <c r="BB242" s="116"/>
      <c r="BC242" s="117"/>
      <c r="BD242" s="118"/>
      <c r="BE242" s="119"/>
      <c r="BF242" s="120"/>
      <c r="BG242" s="120"/>
      <c r="BH242" s="125"/>
    </row>
    <row r="243" spans="1:60" s="36" customFormat="1" ht="23.25" customHeight="1" x14ac:dyDescent="0.3">
      <c r="A243" s="61">
        <v>239</v>
      </c>
      <c r="B243" s="66" t="str">
        <f t="shared" si="6"/>
        <v/>
      </c>
      <c r="C243" s="140"/>
      <c r="D243" s="126"/>
      <c r="E243" s="127" t="str">
        <f t="shared" si="7"/>
        <v/>
      </c>
      <c r="F243" s="128"/>
      <c r="G243" s="128"/>
      <c r="H243" s="129"/>
      <c r="I243" s="130"/>
      <c r="J243" s="131"/>
      <c r="K243" s="126"/>
      <c r="L243" s="140"/>
      <c r="M243" s="132"/>
      <c r="N243" s="133"/>
      <c r="O243" s="134"/>
      <c r="P243" s="135"/>
      <c r="Q243" s="136"/>
      <c r="R243" s="137"/>
      <c r="S243" s="138"/>
      <c r="T243" s="60"/>
      <c r="U243" s="87"/>
      <c r="V243" s="88"/>
      <c r="W243" s="88"/>
      <c r="X243" s="88"/>
      <c r="Y243" s="88"/>
      <c r="Z243" s="88"/>
      <c r="AA243" s="88"/>
      <c r="AB243" s="88"/>
      <c r="AC243" s="88"/>
      <c r="AD243" s="88"/>
      <c r="AE243" s="88"/>
      <c r="AF243" s="88"/>
      <c r="AG243" s="88"/>
      <c r="AH243" s="88"/>
      <c r="AI243" s="88"/>
      <c r="AJ243" s="88"/>
      <c r="AK243" s="125"/>
      <c r="AL243" s="112"/>
      <c r="AM243" s="112"/>
      <c r="AN243" s="112"/>
      <c r="AO243" s="112"/>
      <c r="AP243" s="112"/>
      <c r="AQ243" s="113"/>
      <c r="AR243" s="113"/>
      <c r="AS243" s="114"/>
      <c r="AT243" s="88"/>
      <c r="AU243" s="115"/>
      <c r="AV243" s="116"/>
      <c r="AW243" s="115"/>
      <c r="AX243" s="116"/>
      <c r="AY243" s="115"/>
      <c r="AZ243" s="116"/>
      <c r="BA243" s="115"/>
      <c r="BB243" s="116"/>
      <c r="BC243" s="117"/>
      <c r="BD243" s="118"/>
      <c r="BE243" s="119"/>
      <c r="BF243" s="120"/>
      <c r="BG243" s="120"/>
      <c r="BH243" s="125"/>
    </row>
    <row r="244" spans="1:60" s="36" customFormat="1" ht="23.25" customHeight="1" x14ac:dyDescent="0.3">
      <c r="A244" s="61">
        <v>240</v>
      </c>
      <c r="B244" s="66" t="str">
        <f t="shared" si="6"/>
        <v/>
      </c>
      <c r="C244" s="140"/>
      <c r="D244" s="126"/>
      <c r="E244" s="127" t="str">
        <f t="shared" si="7"/>
        <v/>
      </c>
      <c r="F244" s="128"/>
      <c r="G244" s="128"/>
      <c r="H244" s="129"/>
      <c r="I244" s="130"/>
      <c r="J244" s="131"/>
      <c r="K244" s="126"/>
      <c r="L244" s="140"/>
      <c r="M244" s="132"/>
      <c r="N244" s="133"/>
      <c r="O244" s="134"/>
      <c r="P244" s="135"/>
      <c r="Q244" s="136"/>
      <c r="R244" s="137"/>
      <c r="S244" s="138"/>
      <c r="T244" s="60"/>
      <c r="U244" s="87"/>
      <c r="V244" s="88"/>
      <c r="W244" s="88"/>
      <c r="X244" s="88"/>
      <c r="Y244" s="88"/>
      <c r="Z244" s="88"/>
      <c r="AA244" s="88"/>
      <c r="AB244" s="88"/>
      <c r="AC244" s="88"/>
      <c r="AD244" s="88"/>
      <c r="AE244" s="88"/>
      <c r="AF244" s="88"/>
      <c r="AG244" s="88"/>
      <c r="AH244" s="88"/>
      <c r="AI244" s="88"/>
      <c r="AJ244" s="88"/>
      <c r="AK244" s="125"/>
      <c r="AL244" s="112"/>
      <c r="AM244" s="112"/>
      <c r="AN244" s="112"/>
      <c r="AO244" s="112"/>
      <c r="AP244" s="112"/>
      <c r="AQ244" s="113"/>
      <c r="AR244" s="113"/>
      <c r="AS244" s="114"/>
      <c r="AT244" s="88"/>
      <c r="AU244" s="115"/>
      <c r="AV244" s="116"/>
      <c r="AW244" s="115"/>
      <c r="AX244" s="116"/>
      <c r="AY244" s="115"/>
      <c r="AZ244" s="116"/>
      <c r="BA244" s="115"/>
      <c r="BB244" s="116"/>
      <c r="BC244" s="117"/>
      <c r="BD244" s="118"/>
      <c r="BE244" s="119"/>
      <c r="BF244" s="120"/>
      <c r="BG244" s="120"/>
      <c r="BH244" s="125"/>
    </row>
    <row r="245" spans="1:60" s="36" customFormat="1" ht="23.25" customHeight="1" x14ac:dyDescent="0.3">
      <c r="A245" s="61">
        <v>241</v>
      </c>
      <c r="B245" s="66" t="str">
        <f t="shared" si="6"/>
        <v/>
      </c>
      <c r="C245" s="140"/>
      <c r="D245" s="126"/>
      <c r="E245" s="127" t="str">
        <f t="shared" si="7"/>
        <v/>
      </c>
      <c r="F245" s="128"/>
      <c r="G245" s="128"/>
      <c r="H245" s="129"/>
      <c r="I245" s="130"/>
      <c r="J245" s="131"/>
      <c r="K245" s="126"/>
      <c r="L245" s="140"/>
      <c r="M245" s="132"/>
      <c r="N245" s="133"/>
      <c r="O245" s="134"/>
      <c r="P245" s="135"/>
      <c r="Q245" s="136"/>
      <c r="R245" s="137"/>
      <c r="S245" s="138"/>
      <c r="T245" s="60"/>
      <c r="U245" s="87"/>
      <c r="V245" s="88"/>
      <c r="W245" s="88"/>
      <c r="X245" s="88"/>
      <c r="Y245" s="88"/>
      <c r="Z245" s="88"/>
      <c r="AA245" s="88"/>
      <c r="AB245" s="88"/>
      <c r="AC245" s="88"/>
      <c r="AD245" s="88"/>
      <c r="AE245" s="88"/>
      <c r="AF245" s="88"/>
      <c r="AG245" s="88"/>
      <c r="AH245" s="88"/>
      <c r="AI245" s="88"/>
      <c r="AJ245" s="88"/>
      <c r="AK245" s="125"/>
      <c r="AL245" s="112"/>
      <c r="AM245" s="112"/>
      <c r="AN245" s="112"/>
      <c r="AO245" s="112"/>
      <c r="AP245" s="112"/>
      <c r="AQ245" s="113"/>
      <c r="AR245" s="113"/>
      <c r="AS245" s="114"/>
      <c r="AT245" s="88"/>
      <c r="AU245" s="115"/>
      <c r="AV245" s="116"/>
      <c r="AW245" s="115"/>
      <c r="AX245" s="116"/>
      <c r="AY245" s="115"/>
      <c r="AZ245" s="116"/>
      <c r="BA245" s="115"/>
      <c r="BB245" s="116"/>
      <c r="BC245" s="117"/>
      <c r="BD245" s="118"/>
      <c r="BE245" s="119"/>
      <c r="BF245" s="120"/>
      <c r="BG245" s="120"/>
      <c r="BH245" s="125"/>
    </row>
    <row r="246" spans="1:60" s="36" customFormat="1" ht="23.25" customHeight="1" x14ac:dyDescent="0.3">
      <c r="A246" s="61">
        <v>242</v>
      </c>
      <c r="B246" s="66" t="str">
        <f t="shared" si="6"/>
        <v/>
      </c>
      <c r="C246" s="140"/>
      <c r="D246" s="126"/>
      <c r="E246" s="127" t="str">
        <f t="shared" si="7"/>
        <v/>
      </c>
      <c r="F246" s="128"/>
      <c r="G246" s="128"/>
      <c r="H246" s="129"/>
      <c r="I246" s="130"/>
      <c r="J246" s="131"/>
      <c r="K246" s="126"/>
      <c r="L246" s="140"/>
      <c r="M246" s="132"/>
      <c r="N246" s="133"/>
      <c r="O246" s="134"/>
      <c r="P246" s="135"/>
      <c r="Q246" s="136"/>
      <c r="R246" s="137"/>
      <c r="S246" s="138"/>
      <c r="T246" s="60"/>
      <c r="U246" s="87"/>
      <c r="V246" s="88"/>
      <c r="W246" s="88"/>
      <c r="X246" s="88"/>
      <c r="Y246" s="88"/>
      <c r="Z246" s="88"/>
      <c r="AA246" s="88"/>
      <c r="AB246" s="88"/>
      <c r="AC246" s="88"/>
      <c r="AD246" s="88"/>
      <c r="AE246" s="88"/>
      <c r="AF246" s="88"/>
      <c r="AG246" s="88"/>
      <c r="AH246" s="88"/>
      <c r="AI246" s="88"/>
      <c r="AJ246" s="88"/>
      <c r="AK246" s="125"/>
      <c r="AL246" s="112"/>
      <c r="AM246" s="112"/>
      <c r="AN246" s="112"/>
      <c r="AO246" s="112"/>
      <c r="AP246" s="112"/>
      <c r="AQ246" s="113"/>
      <c r="AR246" s="113"/>
      <c r="AS246" s="114"/>
      <c r="AT246" s="88"/>
      <c r="AU246" s="115"/>
      <c r="AV246" s="116"/>
      <c r="AW246" s="115"/>
      <c r="AX246" s="116"/>
      <c r="AY246" s="115"/>
      <c r="AZ246" s="116"/>
      <c r="BA246" s="115"/>
      <c r="BB246" s="116"/>
      <c r="BC246" s="117"/>
      <c r="BD246" s="118"/>
      <c r="BE246" s="119"/>
      <c r="BF246" s="120"/>
      <c r="BG246" s="120"/>
      <c r="BH246" s="125"/>
    </row>
    <row r="247" spans="1:60" s="36" customFormat="1" ht="23.25" customHeight="1" x14ac:dyDescent="0.3">
      <c r="A247" s="61">
        <v>243</v>
      </c>
      <c r="B247" s="66" t="str">
        <f t="shared" si="6"/>
        <v/>
      </c>
      <c r="C247" s="140"/>
      <c r="D247" s="126"/>
      <c r="E247" s="127" t="str">
        <f t="shared" si="7"/>
        <v/>
      </c>
      <c r="F247" s="128"/>
      <c r="G247" s="128"/>
      <c r="H247" s="129"/>
      <c r="I247" s="130"/>
      <c r="J247" s="131"/>
      <c r="K247" s="126"/>
      <c r="L247" s="140"/>
      <c r="M247" s="132"/>
      <c r="N247" s="133"/>
      <c r="O247" s="134"/>
      <c r="P247" s="135"/>
      <c r="Q247" s="136"/>
      <c r="R247" s="137"/>
      <c r="S247" s="138"/>
      <c r="T247" s="60"/>
      <c r="U247" s="87"/>
      <c r="V247" s="88"/>
      <c r="W247" s="88"/>
      <c r="X247" s="88"/>
      <c r="Y247" s="88"/>
      <c r="Z247" s="88"/>
      <c r="AA247" s="88"/>
      <c r="AB247" s="88"/>
      <c r="AC247" s="88"/>
      <c r="AD247" s="88"/>
      <c r="AE247" s="88"/>
      <c r="AF247" s="88"/>
      <c r="AG247" s="88"/>
      <c r="AH247" s="88"/>
      <c r="AI247" s="88"/>
      <c r="AJ247" s="88"/>
      <c r="AK247" s="125"/>
      <c r="AL247" s="112"/>
      <c r="AM247" s="112"/>
      <c r="AN247" s="112"/>
      <c r="AO247" s="112"/>
      <c r="AP247" s="112"/>
      <c r="AQ247" s="113"/>
      <c r="AR247" s="113"/>
      <c r="AS247" s="114"/>
      <c r="AT247" s="88"/>
      <c r="AU247" s="115"/>
      <c r="AV247" s="116"/>
      <c r="AW247" s="115"/>
      <c r="AX247" s="116"/>
      <c r="AY247" s="115"/>
      <c r="AZ247" s="116"/>
      <c r="BA247" s="115"/>
      <c r="BB247" s="116"/>
      <c r="BC247" s="117"/>
      <c r="BD247" s="118"/>
      <c r="BE247" s="119"/>
      <c r="BF247" s="120"/>
      <c r="BG247" s="120"/>
      <c r="BH247" s="125"/>
    </row>
    <row r="248" spans="1:60" s="36" customFormat="1" ht="23.25" customHeight="1" x14ac:dyDescent="0.3">
      <c r="A248" s="61">
        <v>244</v>
      </c>
      <c r="B248" s="66" t="str">
        <f t="shared" si="6"/>
        <v/>
      </c>
      <c r="C248" s="140"/>
      <c r="D248" s="126"/>
      <c r="E248" s="127" t="str">
        <f t="shared" si="7"/>
        <v/>
      </c>
      <c r="F248" s="128"/>
      <c r="G248" s="128"/>
      <c r="H248" s="129"/>
      <c r="I248" s="130"/>
      <c r="J248" s="131"/>
      <c r="K248" s="126"/>
      <c r="L248" s="140"/>
      <c r="M248" s="132"/>
      <c r="N248" s="133"/>
      <c r="O248" s="134"/>
      <c r="P248" s="135"/>
      <c r="Q248" s="136"/>
      <c r="R248" s="137"/>
      <c r="S248" s="138"/>
      <c r="T248" s="60"/>
      <c r="U248" s="87"/>
      <c r="V248" s="88"/>
      <c r="W248" s="88"/>
      <c r="X248" s="88"/>
      <c r="Y248" s="88"/>
      <c r="Z248" s="88"/>
      <c r="AA248" s="88"/>
      <c r="AB248" s="88"/>
      <c r="AC248" s="88"/>
      <c r="AD248" s="88"/>
      <c r="AE248" s="88"/>
      <c r="AF248" s="88"/>
      <c r="AG248" s="88"/>
      <c r="AH248" s="88"/>
      <c r="AI248" s="88"/>
      <c r="AJ248" s="88"/>
      <c r="AK248" s="125"/>
      <c r="AL248" s="112"/>
      <c r="AM248" s="112"/>
      <c r="AN248" s="112"/>
      <c r="AO248" s="112"/>
      <c r="AP248" s="112"/>
      <c r="AQ248" s="113"/>
      <c r="AR248" s="113"/>
      <c r="AS248" s="114"/>
      <c r="AT248" s="88"/>
      <c r="AU248" s="115"/>
      <c r="AV248" s="116"/>
      <c r="AW248" s="115"/>
      <c r="AX248" s="116"/>
      <c r="AY248" s="115"/>
      <c r="AZ248" s="116"/>
      <c r="BA248" s="115"/>
      <c r="BB248" s="116"/>
      <c r="BC248" s="117"/>
      <c r="BD248" s="118"/>
      <c r="BE248" s="119"/>
      <c r="BF248" s="120"/>
      <c r="BG248" s="120"/>
      <c r="BH248" s="125"/>
    </row>
    <row r="249" spans="1:60" s="36" customFormat="1" ht="23.25" customHeight="1" x14ac:dyDescent="0.3">
      <c r="A249" s="61">
        <v>245</v>
      </c>
      <c r="B249" s="66" t="str">
        <f t="shared" si="6"/>
        <v/>
      </c>
      <c r="C249" s="140"/>
      <c r="D249" s="126"/>
      <c r="E249" s="127" t="str">
        <f t="shared" si="7"/>
        <v/>
      </c>
      <c r="F249" s="128"/>
      <c r="G249" s="128"/>
      <c r="H249" s="129"/>
      <c r="I249" s="130"/>
      <c r="J249" s="131"/>
      <c r="K249" s="126"/>
      <c r="L249" s="140"/>
      <c r="M249" s="132"/>
      <c r="N249" s="133"/>
      <c r="O249" s="134"/>
      <c r="P249" s="135"/>
      <c r="Q249" s="136"/>
      <c r="R249" s="137"/>
      <c r="S249" s="138"/>
      <c r="T249" s="60"/>
      <c r="U249" s="87"/>
      <c r="V249" s="88"/>
      <c r="W249" s="88"/>
      <c r="X249" s="88"/>
      <c r="Y249" s="88"/>
      <c r="Z249" s="88"/>
      <c r="AA249" s="88"/>
      <c r="AB249" s="88"/>
      <c r="AC249" s="88"/>
      <c r="AD249" s="88"/>
      <c r="AE249" s="88"/>
      <c r="AF249" s="88"/>
      <c r="AG249" s="88"/>
      <c r="AH249" s="88"/>
      <c r="AI249" s="88"/>
      <c r="AJ249" s="88"/>
      <c r="AK249" s="125"/>
      <c r="AL249" s="112"/>
      <c r="AM249" s="112"/>
      <c r="AN249" s="112"/>
      <c r="AO249" s="112"/>
      <c r="AP249" s="112"/>
      <c r="AQ249" s="113"/>
      <c r="AR249" s="113"/>
      <c r="AS249" s="114"/>
      <c r="AT249" s="88"/>
      <c r="AU249" s="115"/>
      <c r="AV249" s="116"/>
      <c r="AW249" s="115"/>
      <c r="AX249" s="116"/>
      <c r="AY249" s="115"/>
      <c r="AZ249" s="116"/>
      <c r="BA249" s="115"/>
      <c r="BB249" s="116"/>
      <c r="BC249" s="117"/>
      <c r="BD249" s="118"/>
      <c r="BE249" s="119"/>
      <c r="BF249" s="120"/>
      <c r="BG249" s="120"/>
      <c r="BH249" s="125"/>
    </row>
    <row r="250" spans="1:60" s="36" customFormat="1" ht="23.25" customHeight="1" x14ac:dyDescent="0.3">
      <c r="A250" s="61">
        <v>246</v>
      </c>
      <c r="B250" s="66" t="str">
        <f t="shared" si="6"/>
        <v/>
      </c>
      <c r="C250" s="140"/>
      <c r="D250" s="126"/>
      <c r="E250" s="127" t="str">
        <f t="shared" si="7"/>
        <v/>
      </c>
      <c r="F250" s="128"/>
      <c r="G250" s="128"/>
      <c r="H250" s="129"/>
      <c r="I250" s="130"/>
      <c r="J250" s="131"/>
      <c r="K250" s="126"/>
      <c r="L250" s="140"/>
      <c r="M250" s="132"/>
      <c r="N250" s="133"/>
      <c r="O250" s="134"/>
      <c r="P250" s="135"/>
      <c r="Q250" s="136"/>
      <c r="R250" s="137"/>
      <c r="S250" s="138"/>
      <c r="T250" s="60"/>
      <c r="U250" s="87"/>
      <c r="V250" s="88"/>
      <c r="W250" s="88"/>
      <c r="X250" s="88"/>
      <c r="Y250" s="88"/>
      <c r="Z250" s="88"/>
      <c r="AA250" s="88"/>
      <c r="AB250" s="88"/>
      <c r="AC250" s="88"/>
      <c r="AD250" s="88"/>
      <c r="AE250" s="88"/>
      <c r="AF250" s="88"/>
      <c r="AG250" s="88"/>
      <c r="AH250" s="88"/>
      <c r="AI250" s="88"/>
      <c r="AJ250" s="88"/>
      <c r="AK250" s="125"/>
      <c r="AL250" s="112"/>
      <c r="AM250" s="112"/>
      <c r="AN250" s="112"/>
      <c r="AO250" s="112"/>
      <c r="AP250" s="112"/>
      <c r="AQ250" s="113"/>
      <c r="AR250" s="113"/>
      <c r="AS250" s="114"/>
      <c r="AT250" s="88"/>
      <c r="AU250" s="115"/>
      <c r="AV250" s="116"/>
      <c r="AW250" s="115"/>
      <c r="AX250" s="116"/>
      <c r="AY250" s="115"/>
      <c r="AZ250" s="116"/>
      <c r="BA250" s="115"/>
      <c r="BB250" s="116"/>
      <c r="BC250" s="117"/>
      <c r="BD250" s="118"/>
      <c r="BE250" s="119"/>
      <c r="BF250" s="120"/>
      <c r="BG250" s="120"/>
      <c r="BH250" s="125"/>
    </row>
    <row r="251" spans="1:60" s="36" customFormat="1" ht="23.25" customHeight="1" x14ac:dyDescent="0.3">
      <c r="A251" s="61">
        <v>247</v>
      </c>
      <c r="B251" s="66" t="str">
        <f t="shared" si="6"/>
        <v/>
      </c>
      <c r="C251" s="140"/>
      <c r="D251" s="126"/>
      <c r="E251" s="127" t="str">
        <f t="shared" si="7"/>
        <v/>
      </c>
      <c r="F251" s="128"/>
      <c r="G251" s="128"/>
      <c r="H251" s="129"/>
      <c r="I251" s="130"/>
      <c r="J251" s="131"/>
      <c r="K251" s="126"/>
      <c r="L251" s="140"/>
      <c r="M251" s="132"/>
      <c r="N251" s="133"/>
      <c r="O251" s="134"/>
      <c r="P251" s="135"/>
      <c r="Q251" s="136"/>
      <c r="R251" s="137"/>
      <c r="S251" s="138"/>
      <c r="T251" s="60"/>
      <c r="U251" s="87"/>
      <c r="V251" s="88"/>
      <c r="W251" s="88"/>
      <c r="X251" s="88"/>
      <c r="Y251" s="88"/>
      <c r="Z251" s="88"/>
      <c r="AA251" s="88"/>
      <c r="AB251" s="88"/>
      <c r="AC251" s="88"/>
      <c r="AD251" s="88"/>
      <c r="AE251" s="88"/>
      <c r="AF251" s="88"/>
      <c r="AG251" s="88"/>
      <c r="AH251" s="88"/>
      <c r="AI251" s="88"/>
      <c r="AJ251" s="88"/>
      <c r="AK251" s="125"/>
      <c r="AL251" s="112"/>
      <c r="AM251" s="112"/>
      <c r="AN251" s="112"/>
      <c r="AO251" s="112"/>
      <c r="AP251" s="112"/>
      <c r="AQ251" s="113"/>
      <c r="AR251" s="113"/>
      <c r="AS251" s="114"/>
      <c r="AT251" s="88"/>
      <c r="AU251" s="115"/>
      <c r="AV251" s="116"/>
      <c r="AW251" s="115"/>
      <c r="AX251" s="116"/>
      <c r="AY251" s="115"/>
      <c r="AZ251" s="116"/>
      <c r="BA251" s="115"/>
      <c r="BB251" s="116"/>
      <c r="BC251" s="117"/>
      <c r="BD251" s="118"/>
      <c r="BE251" s="119"/>
      <c r="BF251" s="120"/>
      <c r="BG251" s="120"/>
      <c r="BH251" s="125"/>
    </row>
    <row r="252" spans="1:60" s="36" customFormat="1" ht="23.25" customHeight="1" x14ac:dyDescent="0.3">
      <c r="A252" s="61">
        <v>248</v>
      </c>
      <c r="B252" s="66" t="str">
        <f t="shared" si="6"/>
        <v/>
      </c>
      <c r="C252" s="140"/>
      <c r="D252" s="126"/>
      <c r="E252" s="127" t="str">
        <f t="shared" si="7"/>
        <v/>
      </c>
      <c r="F252" s="128"/>
      <c r="G252" s="128"/>
      <c r="H252" s="129"/>
      <c r="I252" s="130"/>
      <c r="J252" s="131"/>
      <c r="K252" s="126"/>
      <c r="L252" s="140"/>
      <c r="M252" s="132"/>
      <c r="N252" s="133"/>
      <c r="O252" s="134"/>
      <c r="P252" s="135"/>
      <c r="Q252" s="136"/>
      <c r="R252" s="137"/>
      <c r="S252" s="138"/>
      <c r="T252" s="60"/>
      <c r="U252" s="87"/>
      <c r="V252" s="88"/>
      <c r="W252" s="88"/>
      <c r="X252" s="88"/>
      <c r="Y252" s="88"/>
      <c r="Z252" s="88"/>
      <c r="AA252" s="88"/>
      <c r="AB252" s="88"/>
      <c r="AC252" s="88"/>
      <c r="AD252" s="88"/>
      <c r="AE252" s="88"/>
      <c r="AF252" s="88"/>
      <c r="AG252" s="88"/>
      <c r="AH252" s="88"/>
      <c r="AI252" s="88"/>
      <c r="AJ252" s="88"/>
      <c r="AK252" s="125"/>
      <c r="AL252" s="112"/>
      <c r="AM252" s="112"/>
      <c r="AN252" s="112"/>
      <c r="AO252" s="112"/>
      <c r="AP252" s="112"/>
      <c r="AQ252" s="113"/>
      <c r="AR252" s="113"/>
      <c r="AS252" s="114"/>
      <c r="AT252" s="88"/>
      <c r="AU252" s="115"/>
      <c r="AV252" s="116"/>
      <c r="AW252" s="115"/>
      <c r="AX252" s="116"/>
      <c r="AY252" s="115"/>
      <c r="AZ252" s="116"/>
      <c r="BA252" s="115"/>
      <c r="BB252" s="116"/>
      <c r="BC252" s="117"/>
      <c r="BD252" s="118"/>
      <c r="BE252" s="119"/>
      <c r="BF252" s="120"/>
      <c r="BG252" s="120"/>
      <c r="BH252" s="125"/>
    </row>
    <row r="253" spans="1:60" s="36" customFormat="1" ht="23.1" customHeight="1" x14ac:dyDescent="0.3">
      <c r="A253" s="61">
        <v>249</v>
      </c>
      <c r="B253" s="66" t="str">
        <f t="shared" si="6"/>
        <v/>
      </c>
      <c r="C253" s="140"/>
      <c r="D253" s="126"/>
      <c r="E253" s="127" t="str">
        <f t="shared" si="7"/>
        <v/>
      </c>
      <c r="F253" s="128"/>
      <c r="G253" s="128"/>
      <c r="H253" s="129"/>
      <c r="I253" s="130"/>
      <c r="J253" s="131"/>
      <c r="K253" s="126"/>
      <c r="L253" s="140"/>
      <c r="M253" s="132"/>
      <c r="N253" s="133"/>
      <c r="O253" s="134"/>
      <c r="P253" s="135"/>
      <c r="Q253" s="136"/>
      <c r="R253" s="137"/>
      <c r="S253" s="138"/>
      <c r="T253" s="60"/>
      <c r="U253" s="87"/>
      <c r="V253" s="88"/>
      <c r="W253" s="88"/>
      <c r="X253" s="88"/>
      <c r="Y253" s="88"/>
      <c r="Z253" s="88"/>
      <c r="AA253" s="88"/>
      <c r="AB253" s="88"/>
      <c r="AC253" s="88"/>
      <c r="AD253" s="88"/>
      <c r="AE253" s="88"/>
      <c r="AF253" s="88"/>
      <c r="AG253" s="88"/>
      <c r="AH253" s="88"/>
      <c r="AI253" s="88"/>
      <c r="AJ253" s="88"/>
      <c r="AK253" s="125"/>
      <c r="AL253" s="112"/>
      <c r="AM253" s="112"/>
      <c r="AN253" s="112"/>
      <c r="AO253" s="112"/>
      <c r="AP253" s="112"/>
      <c r="AQ253" s="113"/>
      <c r="AR253" s="113"/>
      <c r="AS253" s="114"/>
      <c r="AT253" s="88"/>
      <c r="AU253" s="115"/>
      <c r="AV253" s="116"/>
      <c r="AW253" s="115"/>
      <c r="AX253" s="116"/>
      <c r="AY253" s="115"/>
      <c r="AZ253" s="116"/>
      <c r="BA253" s="115"/>
      <c r="BB253" s="116"/>
      <c r="BC253" s="117"/>
      <c r="BD253" s="118"/>
      <c r="BE253" s="119"/>
      <c r="BF253" s="120"/>
      <c r="BG253" s="120"/>
      <c r="BH253" s="125"/>
    </row>
    <row r="254" spans="1:60" s="36" customFormat="1" ht="23.1" customHeight="1" x14ac:dyDescent="0.3">
      <c r="A254" s="61">
        <v>250</v>
      </c>
      <c r="B254" s="66" t="str">
        <f t="shared" si="6"/>
        <v/>
      </c>
      <c r="C254" s="140"/>
      <c r="D254" s="126"/>
      <c r="E254" s="127" t="str">
        <f t="shared" si="7"/>
        <v/>
      </c>
      <c r="F254" s="128"/>
      <c r="G254" s="128"/>
      <c r="H254" s="129"/>
      <c r="I254" s="130"/>
      <c r="J254" s="131"/>
      <c r="K254" s="126"/>
      <c r="L254" s="140"/>
      <c r="M254" s="132"/>
      <c r="N254" s="133"/>
      <c r="O254" s="134"/>
      <c r="P254" s="135"/>
      <c r="Q254" s="136"/>
      <c r="R254" s="137"/>
      <c r="S254" s="138"/>
      <c r="T254" s="60"/>
      <c r="U254" s="87"/>
      <c r="V254" s="88"/>
      <c r="W254" s="88"/>
      <c r="X254" s="88"/>
      <c r="Y254" s="88"/>
      <c r="Z254" s="88"/>
      <c r="AA254" s="88"/>
      <c r="AB254" s="88"/>
      <c r="AC254" s="88"/>
      <c r="AD254" s="88"/>
      <c r="AE254" s="88"/>
      <c r="AF254" s="88"/>
      <c r="AG254" s="88"/>
      <c r="AH254" s="88"/>
      <c r="AI254" s="88"/>
      <c r="AJ254" s="88"/>
      <c r="AK254" s="125"/>
      <c r="AL254" s="112"/>
      <c r="AM254" s="112"/>
      <c r="AN254" s="112"/>
      <c r="AO254" s="112"/>
      <c r="AP254" s="112"/>
      <c r="AQ254" s="113"/>
      <c r="AR254" s="113"/>
      <c r="AS254" s="114"/>
      <c r="AT254" s="88"/>
      <c r="AU254" s="115"/>
      <c r="AV254" s="116"/>
      <c r="AW254" s="115"/>
      <c r="AX254" s="116"/>
      <c r="AY254" s="115"/>
      <c r="AZ254" s="116"/>
      <c r="BA254" s="115"/>
      <c r="BB254" s="116"/>
      <c r="BC254" s="117"/>
      <c r="BD254" s="118"/>
      <c r="BE254" s="119"/>
      <c r="BF254" s="120"/>
      <c r="BG254" s="120"/>
      <c r="BH254" s="125"/>
    </row>
    <row r="255" spans="1:60" x14ac:dyDescent="0.3">
      <c r="K255" s="126"/>
    </row>
  </sheetData>
  <sheetProtection formatCells="0"/>
  <mergeCells count="25">
    <mergeCell ref="K1:K4"/>
    <mergeCell ref="M1:M4"/>
    <mergeCell ref="T1:T4"/>
    <mergeCell ref="E1:E4"/>
    <mergeCell ref="L1:L4"/>
    <mergeCell ref="A1:A4"/>
    <mergeCell ref="G2:G4"/>
    <mergeCell ref="F2:F4"/>
    <mergeCell ref="F1:G1"/>
    <mergeCell ref="J2:J4"/>
    <mergeCell ref="I2:I4"/>
    <mergeCell ref="H1:H4"/>
    <mergeCell ref="I1:J1"/>
    <mergeCell ref="C1:C4"/>
    <mergeCell ref="D1:D4"/>
    <mergeCell ref="BI1:BJ1"/>
    <mergeCell ref="U1:AJ2"/>
    <mergeCell ref="Q2:S2"/>
    <mergeCell ref="N2:P2"/>
    <mergeCell ref="N1:S1"/>
    <mergeCell ref="AU2:BB2"/>
    <mergeCell ref="BC2:BD2"/>
    <mergeCell ref="BE2:BG2"/>
    <mergeCell ref="AL2:AT2"/>
    <mergeCell ref="AL1:BG1"/>
  </mergeCells>
  <conditionalFormatting sqref="M5:S254">
    <cfRule type="expression" dxfId="22" priority="24">
      <formula>AND(NOT(ISBLANK($D6)),ISBLANK(M5))</formula>
    </cfRule>
  </conditionalFormatting>
  <conditionalFormatting sqref="D5:D254">
    <cfRule type="expression" dxfId="21" priority="23">
      <formula>AND(NOT(ISBLANK($D6)),ISBLANK(D5))</formula>
    </cfRule>
  </conditionalFormatting>
  <conditionalFormatting sqref="F5:F254">
    <cfRule type="expression" dxfId="20" priority="21">
      <formula>AND(NOT(ISBLANK($D6)),ISBLANK(F5))</formula>
    </cfRule>
  </conditionalFormatting>
  <conditionalFormatting sqref="G5:G254">
    <cfRule type="expression" dxfId="19" priority="19">
      <formula>AND(NOT(ISBLANK($D6)),ISBLANK(G5))</formula>
    </cfRule>
  </conditionalFormatting>
  <conditionalFormatting sqref="H5:H254">
    <cfRule type="expression" dxfId="18" priority="17">
      <formula>AND(NOT(ISBLANK($D6)),ISBLANK(H5))</formula>
    </cfRule>
  </conditionalFormatting>
  <conditionalFormatting sqref="I5:I254">
    <cfRule type="expression" dxfId="17" priority="16">
      <formula>AND(NOT(ISBLANK($D6)),ISBLANK(I5))</formula>
    </cfRule>
  </conditionalFormatting>
  <conditionalFormatting sqref="J5:J254">
    <cfRule type="expression" dxfId="16" priority="15">
      <formula>AND(NOT(ISBLANK($D6)),ISBLANK(J5))</formula>
    </cfRule>
  </conditionalFormatting>
  <conditionalFormatting sqref="K5:K49">
    <cfRule type="expression" dxfId="15" priority="5">
      <formula>AND(NOT(ISBLANK(D6)),NOT($E6=$E5+1),K5&lt;=D5)</formula>
    </cfRule>
    <cfRule type="expression" dxfId="14" priority="14">
      <formula>AND(NOT(ISBLANK($D6)),ISBLANK(K5))</formula>
    </cfRule>
  </conditionalFormatting>
  <conditionalFormatting sqref="AP5:BG254">
    <cfRule type="expression" dxfId="13" priority="12">
      <formula>AND(NOT(ISBLANK($D7)),ISBLANK(AP5))</formula>
    </cfRule>
  </conditionalFormatting>
  <conditionalFormatting sqref="AO5:AO254">
    <cfRule type="expression" dxfId="12" priority="11">
      <formula>AND(NOT(ISBLANK($D7)),ISBLANK(AO5))</formula>
    </cfRule>
  </conditionalFormatting>
  <conditionalFormatting sqref="AN5:AN254">
    <cfRule type="expression" dxfId="11" priority="10">
      <formula>AND(NOT(ISBLANK($D7)),ISBLANK(AN5))</formula>
    </cfRule>
  </conditionalFormatting>
  <conditionalFormatting sqref="AM5:AM254">
    <cfRule type="expression" dxfId="10" priority="9">
      <formula>AND(NOT(ISBLANK($D7)),ISBLANK(AM5))</formula>
    </cfRule>
  </conditionalFormatting>
  <conditionalFormatting sqref="AL5:AL254">
    <cfRule type="expression" dxfId="9" priority="8">
      <formula>AND(NOT(ISBLANK($D7)),ISBLANK(AL5))</formula>
    </cfRule>
  </conditionalFormatting>
  <conditionalFormatting sqref="AK5:AK254">
    <cfRule type="expression" dxfId="8" priority="7">
      <formula>AND(NOT(ISBLANK($D7)),ISBLANK(AK5))</formula>
    </cfRule>
  </conditionalFormatting>
  <conditionalFormatting sqref="BH5:BH254">
    <cfRule type="expression" dxfId="7" priority="6">
      <formula>AND(NOT(ISBLANK($D7)),ISBLANK(BH5))</formula>
    </cfRule>
  </conditionalFormatting>
  <conditionalFormatting sqref="D5:D254 K5:K255">
    <cfRule type="expression" dxfId="6" priority="4">
      <formula>_xlfn.NUMBERVALUE(RIGHT(D5,2))&gt;59</formula>
    </cfRule>
  </conditionalFormatting>
  <conditionalFormatting sqref="N5:N254">
    <cfRule type="expression" dxfId="5" priority="2">
      <formula>AND(NOT(isempty(N5)),NOT(ISNUMBER(N5)))</formula>
    </cfRule>
    <cfRule type="expression" dxfId="4" priority="3">
      <formula>N5&lt;0</formula>
    </cfRule>
  </conditionalFormatting>
  <conditionalFormatting sqref="D6:D49">
    <cfRule type="expression" dxfId="3" priority="1">
      <formula>AND(NOT(ISBLANK(D6)),NOT($E6=$E5+1),D6&lt;=K5)</formula>
    </cfRule>
  </conditionalFormatting>
  <conditionalFormatting sqref="K50:K255">
    <cfRule type="expression" dxfId="2" priority="27">
      <formula>AND(NOT(ISBLANK(D50)),NOT($E50=$E49+1),K50&lt;=D49)</formula>
    </cfRule>
    <cfRule type="expression" dxfId="1" priority="28">
      <formula>AND(NOT(ISBLANK($D50)),ISBLANK(K50))</formula>
    </cfRule>
  </conditionalFormatting>
  <conditionalFormatting sqref="D50:D254">
    <cfRule type="expression" dxfId="0" priority="32">
      <formula>AND(NOT(ISBLANK(D50)),NOT($E50=$E49+1),D50&lt;=K50)</formula>
    </cfRule>
  </conditionalFormatting>
  <dataValidations count="15">
    <dataValidation type="date" allowBlank="1" showInputMessage="1" showErrorMessage="1" errorTitle="Foutieve invoer" error="Dit is een datumveld. Invullen kan op verschillende manieren, bijvoorbeeld toets &quot;2 nov 16&quot;, of toets &quot;02/11/2016&quot;." sqref="B5:B254">
      <formula1>42370</formula1>
      <formula2>43100</formula2>
    </dataValidation>
    <dataValidation type="decimal" allowBlank="1" showInputMessage="1" showErrorMessage="1" errorTitle="Check invoer" error="Vul knopen in tussen 0 en 20." sqref="H5:H254">
      <formula1>0</formula1>
      <formula2>20</formula2>
    </dataValidation>
    <dataValidation type="decimal" allowBlank="1" showInputMessage="1" showErrorMessage="1" errorTitle="Foutieve invoer" error="Voer getal in tussen 0 en 12 (Beaufort)." sqref="J5:J254">
      <formula1>0</formula1>
      <formula2>12</formula2>
    </dataValidation>
    <dataValidation type="list" showInputMessage="1" showErrorMessage="1" error="Invoer moet voorkomen in de soortenlijst (bijvoorbeeld: Pieterman)." sqref="U3:AJ3">
      <formula1>SpeciesCode</formula1>
    </dataValidation>
    <dataValidation showInputMessage="1" showErrorMessage="1" error="Invoer moet drie letters bevatten, en voorkomen in de soortenlijst (bijvoorbeeld: GUR)." sqref="U4:AJ4"/>
    <dataValidation type="whole" allowBlank="1" showInputMessage="1" showErrorMessage="1" errorTitle="Foutieve invoer" error="Positie ingeven als graden en minuten. Toets alleen cijfers in; symbolen worden automatisch toegevoegd. Bijvoorbeeld voor 53°54', toets: &quot;5354&quot;._x000a_Waarde moet liggen tussen 51°00' en 56°00'." sqref="F5:F254">
      <formula1>5100</formula1>
      <formula2>5600</formula2>
    </dataValidation>
    <dataValidation type="whole" allowBlank="1" showInputMessage="1" showErrorMessage="1" errorTitle="Foutieve invoer" error="Positie ingeven als graden en minuten. Toets alleen cijfers in; symbolen worden automatisch toegevoegd. Bijvoorbeeld voor 03°12', toets: &quot;0312&quot; of &quot;312&quot;._x000a_Waarde moet liggen tussen -01°02' en 08°10'." sqref="G5:G254">
      <formula1>-102</formula1>
      <formula2>810</formula2>
    </dataValidation>
    <dataValidation type="whole" allowBlank="1" showInputMessage="1" showErrorMessage="1" errorTitle="Foutieve invoer" error="Tijd van de dag, uren en minuten (24-uursklok)._x000a_Toets alleen cijfers in._x000a_Bijvoorbeeld voor 10:12, toets: &quot;1012&quot;._x000a_Cel kleurt roze indien bij minuten een hoger getal dan 59 wordt ingevuld." sqref="D5:D254 K5:L48 L49:L254 K49:K255">
      <formula1>0</formula1>
      <formula2>2359</formula2>
    </dataValidation>
    <dataValidation type="list" allowBlank="1" showInputMessage="1" showErrorMessage="1" errorTitle="Foutieve invoer" error="Invoer kan alleen zijn: n,nno,no,ono,o,ozo,zo,zzo,z,zzw,zw,wzw,w,wnw,nw,nnw,n, of variabel. Het is ook mogelijk uit de drop-down lijst te kiezen." sqref="I5:I254">
      <formula1>"n,nno,no,ono,o,ozo,zo,zzo,z,zzw,zw,wzw,w,wnw,nw,nnw,n,variabel"</formula1>
    </dataValidation>
    <dataValidation allowBlank="1" showInputMessage="1" showErrorMessage="1" errorTitle="Foutieve invoer" error="Dit is een datumveld. Invullen kan op verschillende manieren, bijvoorbeeld toets &quot;2 nov 16&quot;, of toets &quot;02/11/2016&quot;." sqref="C5:C254"/>
    <dataValidation type="decimal" showInputMessage="1" showErrorMessage="1" errorTitle="Probleem bij invoer" error="Alleen getallen invullen (kilogram)" sqref="N5:S254">
      <formula1>0</formula1>
      <formula2>100000</formula2>
    </dataValidation>
    <dataValidation type="date" allowBlank="1" showInputMessage="1" showErrorMessage="1" errorTitle="Foutieve invoer" error="Dit is een datumveld. Invullen kan op verschillende manieren, bijvoorbeeld toets &quot;2 nov 16&quot;, of toets &quot;02/11/2016&quot;." sqref="E5:E254">
      <formula1>42736</formula1>
      <formula2>47848</formula2>
    </dataValidation>
    <dataValidation allowBlank="1" showInputMessage="1" showErrorMessage="1" promptTitle="LET OP!" prompt="Hier graag het totaal aantal kg van ALLE aanlandingen van de trek opgeteld invullen. Dus NIET alleen de soorten die rechts hiervan apart worden bijgehouden." sqref="M5:M254"/>
    <dataValidation type="whole" allowBlank="1" showInputMessage="1" showErrorMessage="1" errorTitle="Probleem bij invoer" error="Alleen getallen invullen (aantal vissen)." sqref="AL5:BG254">
      <formula1>0</formula1>
      <formula2>100000</formula2>
    </dataValidation>
    <dataValidation type="decimal" allowBlank="1" showInputMessage="1" showErrorMessage="1" errorTitle="Probleem bij invoer" error="Alleen getallen invullen" sqref="U5:AJ254">
      <formula1>0</formula1>
      <formula2>100000</formula2>
    </dataValidation>
  </dataValidations>
  <pageMargins left="0.7" right="0.7" top="0.75" bottom="0.75" header="0.3" footer="0.3"/>
  <pageSetup paperSize="9" scale="70" fitToHeight="0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00B0F0"/>
    <pageSetUpPr fitToPage="1"/>
  </sheetPr>
  <dimension ref="A1:AN251"/>
  <sheetViews>
    <sheetView zoomScale="70" zoomScaleNormal="70" workbookViewId="0">
      <selection activeCell="M2" sqref="M2"/>
    </sheetView>
  </sheetViews>
  <sheetFormatPr defaultRowHeight="14.4" x14ac:dyDescent="0.3"/>
  <cols>
    <col min="1" max="10" width="9.77734375" customWidth="1"/>
    <col min="11" max="11" width="17.21875" style="4" customWidth="1"/>
    <col min="12" max="12" width="6" customWidth="1"/>
    <col min="13" max="15" width="9.21875" customWidth="1"/>
    <col min="16" max="18" width="7.77734375" customWidth="1"/>
    <col min="19" max="20" width="9" style="40"/>
    <col min="234" max="245" width="8.77734375" customWidth="1"/>
    <col min="246" max="246" width="9.21875" customWidth="1"/>
    <col min="247" max="253" width="8.77734375" customWidth="1"/>
    <col min="254" max="254" width="13.44140625" customWidth="1"/>
    <col min="490" max="501" width="8.77734375" customWidth="1"/>
    <col min="502" max="502" width="9.21875" customWidth="1"/>
    <col min="503" max="509" width="8.77734375" customWidth="1"/>
    <col min="510" max="510" width="13.44140625" customWidth="1"/>
    <col min="746" max="757" width="8.77734375" customWidth="1"/>
    <col min="758" max="758" width="9.21875" customWidth="1"/>
    <col min="759" max="765" width="8.77734375" customWidth="1"/>
    <col min="766" max="766" width="13.44140625" customWidth="1"/>
    <col min="1002" max="1013" width="8.77734375" customWidth="1"/>
    <col min="1014" max="1014" width="9.21875" customWidth="1"/>
    <col min="1015" max="1021" width="8.77734375" customWidth="1"/>
    <col min="1022" max="1022" width="13.44140625" customWidth="1"/>
    <col min="1258" max="1269" width="8.77734375" customWidth="1"/>
    <col min="1270" max="1270" width="9.21875" customWidth="1"/>
    <col min="1271" max="1277" width="8.77734375" customWidth="1"/>
    <col min="1278" max="1278" width="13.44140625" customWidth="1"/>
    <col min="1514" max="1525" width="8.77734375" customWidth="1"/>
    <col min="1526" max="1526" width="9.21875" customWidth="1"/>
    <col min="1527" max="1533" width="8.77734375" customWidth="1"/>
    <col min="1534" max="1534" width="13.44140625" customWidth="1"/>
    <col min="1770" max="1781" width="8.77734375" customWidth="1"/>
    <col min="1782" max="1782" width="9.21875" customWidth="1"/>
    <col min="1783" max="1789" width="8.77734375" customWidth="1"/>
    <col min="1790" max="1790" width="13.44140625" customWidth="1"/>
    <col min="2026" max="2037" width="8.77734375" customWidth="1"/>
    <col min="2038" max="2038" width="9.21875" customWidth="1"/>
    <col min="2039" max="2045" width="8.77734375" customWidth="1"/>
    <col min="2046" max="2046" width="13.44140625" customWidth="1"/>
    <col min="2282" max="2293" width="8.77734375" customWidth="1"/>
    <col min="2294" max="2294" width="9.21875" customWidth="1"/>
    <col min="2295" max="2301" width="8.77734375" customWidth="1"/>
    <col min="2302" max="2302" width="13.44140625" customWidth="1"/>
    <col min="2538" max="2549" width="8.77734375" customWidth="1"/>
    <col min="2550" max="2550" width="9.21875" customWidth="1"/>
    <col min="2551" max="2557" width="8.77734375" customWidth="1"/>
    <col min="2558" max="2558" width="13.44140625" customWidth="1"/>
    <col min="2794" max="2805" width="8.77734375" customWidth="1"/>
    <col min="2806" max="2806" width="9.21875" customWidth="1"/>
    <col min="2807" max="2813" width="8.77734375" customWidth="1"/>
    <col min="2814" max="2814" width="13.44140625" customWidth="1"/>
    <col min="3050" max="3061" width="8.77734375" customWidth="1"/>
    <col min="3062" max="3062" width="9.21875" customWidth="1"/>
    <col min="3063" max="3069" width="8.77734375" customWidth="1"/>
    <col min="3070" max="3070" width="13.44140625" customWidth="1"/>
    <col min="3306" max="3317" width="8.77734375" customWidth="1"/>
    <col min="3318" max="3318" width="9.21875" customWidth="1"/>
    <col min="3319" max="3325" width="8.77734375" customWidth="1"/>
    <col min="3326" max="3326" width="13.44140625" customWidth="1"/>
    <col min="3562" max="3573" width="8.77734375" customWidth="1"/>
    <col min="3574" max="3574" width="9.21875" customWidth="1"/>
    <col min="3575" max="3581" width="8.77734375" customWidth="1"/>
    <col min="3582" max="3582" width="13.44140625" customWidth="1"/>
    <col min="3818" max="3829" width="8.77734375" customWidth="1"/>
    <col min="3830" max="3830" width="9.21875" customWidth="1"/>
    <col min="3831" max="3837" width="8.77734375" customWidth="1"/>
    <col min="3838" max="3838" width="13.44140625" customWidth="1"/>
    <col min="4074" max="4085" width="8.77734375" customWidth="1"/>
    <col min="4086" max="4086" width="9.21875" customWidth="1"/>
    <col min="4087" max="4093" width="8.77734375" customWidth="1"/>
    <col min="4094" max="4094" width="13.44140625" customWidth="1"/>
    <col min="4330" max="4341" width="8.77734375" customWidth="1"/>
    <col min="4342" max="4342" width="9.21875" customWidth="1"/>
    <col min="4343" max="4349" width="8.77734375" customWidth="1"/>
    <col min="4350" max="4350" width="13.44140625" customWidth="1"/>
    <col min="4586" max="4597" width="8.77734375" customWidth="1"/>
    <col min="4598" max="4598" width="9.21875" customWidth="1"/>
    <col min="4599" max="4605" width="8.77734375" customWidth="1"/>
    <col min="4606" max="4606" width="13.44140625" customWidth="1"/>
    <col min="4842" max="4853" width="8.77734375" customWidth="1"/>
    <col min="4854" max="4854" width="9.21875" customWidth="1"/>
    <col min="4855" max="4861" width="8.77734375" customWidth="1"/>
    <col min="4862" max="4862" width="13.44140625" customWidth="1"/>
    <col min="5098" max="5109" width="8.77734375" customWidth="1"/>
    <col min="5110" max="5110" width="9.21875" customWidth="1"/>
    <col min="5111" max="5117" width="8.77734375" customWidth="1"/>
    <col min="5118" max="5118" width="13.44140625" customWidth="1"/>
    <col min="5354" max="5365" width="8.77734375" customWidth="1"/>
    <col min="5366" max="5366" width="9.21875" customWidth="1"/>
    <col min="5367" max="5373" width="8.77734375" customWidth="1"/>
    <col min="5374" max="5374" width="13.44140625" customWidth="1"/>
    <col min="5610" max="5621" width="8.77734375" customWidth="1"/>
    <col min="5622" max="5622" width="9.21875" customWidth="1"/>
    <col min="5623" max="5629" width="8.77734375" customWidth="1"/>
    <col min="5630" max="5630" width="13.44140625" customWidth="1"/>
    <col min="5866" max="5877" width="8.77734375" customWidth="1"/>
    <col min="5878" max="5878" width="9.21875" customWidth="1"/>
    <col min="5879" max="5885" width="8.77734375" customWidth="1"/>
    <col min="5886" max="5886" width="13.44140625" customWidth="1"/>
    <col min="6122" max="6133" width="8.77734375" customWidth="1"/>
    <col min="6134" max="6134" width="9.21875" customWidth="1"/>
    <col min="6135" max="6141" width="8.77734375" customWidth="1"/>
    <col min="6142" max="6142" width="13.44140625" customWidth="1"/>
    <col min="6378" max="6389" width="8.77734375" customWidth="1"/>
    <col min="6390" max="6390" width="9.21875" customWidth="1"/>
    <col min="6391" max="6397" width="8.77734375" customWidth="1"/>
    <col min="6398" max="6398" width="13.44140625" customWidth="1"/>
    <col min="6634" max="6645" width="8.77734375" customWidth="1"/>
    <col min="6646" max="6646" width="9.21875" customWidth="1"/>
    <col min="6647" max="6653" width="8.77734375" customWidth="1"/>
    <col min="6654" max="6654" width="13.44140625" customWidth="1"/>
    <col min="6890" max="6901" width="8.77734375" customWidth="1"/>
    <col min="6902" max="6902" width="9.21875" customWidth="1"/>
    <col min="6903" max="6909" width="8.77734375" customWidth="1"/>
    <col min="6910" max="6910" width="13.44140625" customWidth="1"/>
    <col min="7146" max="7157" width="8.77734375" customWidth="1"/>
    <col min="7158" max="7158" width="9.21875" customWidth="1"/>
    <col min="7159" max="7165" width="8.77734375" customWidth="1"/>
    <col min="7166" max="7166" width="13.44140625" customWidth="1"/>
    <col min="7402" max="7413" width="8.77734375" customWidth="1"/>
    <col min="7414" max="7414" width="9.21875" customWidth="1"/>
    <col min="7415" max="7421" width="8.77734375" customWidth="1"/>
    <col min="7422" max="7422" width="13.44140625" customWidth="1"/>
    <col min="7658" max="7669" width="8.77734375" customWidth="1"/>
    <col min="7670" max="7670" width="9.21875" customWidth="1"/>
    <col min="7671" max="7677" width="8.77734375" customWidth="1"/>
    <col min="7678" max="7678" width="13.44140625" customWidth="1"/>
    <col min="7914" max="7925" width="8.77734375" customWidth="1"/>
    <col min="7926" max="7926" width="9.21875" customWidth="1"/>
    <col min="7927" max="7933" width="8.77734375" customWidth="1"/>
    <col min="7934" max="7934" width="13.44140625" customWidth="1"/>
    <col min="8170" max="8181" width="8.77734375" customWidth="1"/>
    <col min="8182" max="8182" width="9.21875" customWidth="1"/>
    <col min="8183" max="8189" width="8.77734375" customWidth="1"/>
    <col min="8190" max="8190" width="13.44140625" customWidth="1"/>
    <col min="8426" max="8437" width="8.77734375" customWidth="1"/>
    <col min="8438" max="8438" width="9.21875" customWidth="1"/>
    <col min="8439" max="8445" width="8.77734375" customWidth="1"/>
    <col min="8446" max="8446" width="13.44140625" customWidth="1"/>
    <col min="8682" max="8693" width="8.77734375" customWidth="1"/>
    <col min="8694" max="8694" width="9.21875" customWidth="1"/>
    <col min="8695" max="8701" width="8.77734375" customWidth="1"/>
    <col min="8702" max="8702" width="13.44140625" customWidth="1"/>
    <col min="8938" max="8949" width="8.77734375" customWidth="1"/>
    <col min="8950" max="8950" width="9.21875" customWidth="1"/>
    <col min="8951" max="8957" width="8.77734375" customWidth="1"/>
    <col min="8958" max="8958" width="13.44140625" customWidth="1"/>
    <col min="9194" max="9205" width="8.77734375" customWidth="1"/>
    <col min="9206" max="9206" width="9.21875" customWidth="1"/>
    <col min="9207" max="9213" width="8.77734375" customWidth="1"/>
    <col min="9214" max="9214" width="13.44140625" customWidth="1"/>
    <col min="9450" max="9461" width="8.77734375" customWidth="1"/>
    <col min="9462" max="9462" width="9.21875" customWidth="1"/>
    <col min="9463" max="9469" width="8.77734375" customWidth="1"/>
    <col min="9470" max="9470" width="13.44140625" customWidth="1"/>
    <col min="9706" max="9717" width="8.77734375" customWidth="1"/>
    <col min="9718" max="9718" width="9.21875" customWidth="1"/>
    <col min="9719" max="9725" width="8.77734375" customWidth="1"/>
    <col min="9726" max="9726" width="13.44140625" customWidth="1"/>
    <col min="9962" max="9973" width="8.77734375" customWidth="1"/>
    <col min="9974" max="9974" width="9.21875" customWidth="1"/>
    <col min="9975" max="9981" width="8.77734375" customWidth="1"/>
    <col min="9982" max="9982" width="13.44140625" customWidth="1"/>
    <col min="10218" max="10229" width="8.77734375" customWidth="1"/>
    <col min="10230" max="10230" width="9.21875" customWidth="1"/>
    <col min="10231" max="10237" width="8.77734375" customWidth="1"/>
    <col min="10238" max="10238" width="13.44140625" customWidth="1"/>
    <col min="10474" max="10485" width="8.77734375" customWidth="1"/>
    <col min="10486" max="10486" width="9.21875" customWidth="1"/>
    <col min="10487" max="10493" width="8.77734375" customWidth="1"/>
    <col min="10494" max="10494" width="13.44140625" customWidth="1"/>
    <col min="10730" max="10741" width="8.77734375" customWidth="1"/>
    <col min="10742" max="10742" width="9.21875" customWidth="1"/>
    <col min="10743" max="10749" width="8.77734375" customWidth="1"/>
    <col min="10750" max="10750" width="13.44140625" customWidth="1"/>
    <col min="10986" max="10997" width="8.77734375" customWidth="1"/>
    <col min="10998" max="10998" width="9.21875" customWidth="1"/>
    <col min="10999" max="11005" width="8.77734375" customWidth="1"/>
    <col min="11006" max="11006" width="13.44140625" customWidth="1"/>
    <col min="11242" max="11253" width="8.77734375" customWidth="1"/>
    <col min="11254" max="11254" width="9.21875" customWidth="1"/>
    <col min="11255" max="11261" width="8.77734375" customWidth="1"/>
    <col min="11262" max="11262" width="13.44140625" customWidth="1"/>
    <col min="11498" max="11509" width="8.77734375" customWidth="1"/>
    <col min="11510" max="11510" width="9.21875" customWidth="1"/>
    <col min="11511" max="11517" width="8.77734375" customWidth="1"/>
    <col min="11518" max="11518" width="13.44140625" customWidth="1"/>
    <col min="11754" max="11765" width="8.77734375" customWidth="1"/>
    <col min="11766" max="11766" width="9.21875" customWidth="1"/>
    <col min="11767" max="11773" width="8.77734375" customWidth="1"/>
    <col min="11774" max="11774" width="13.44140625" customWidth="1"/>
    <col min="12010" max="12021" width="8.77734375" customWidth="1"/>
    <col min="12022" max="12022" width="9.21875" customWidth="1"/>
    <col min="12023" max="12029" width="8.77734375" customWidth="1"/>
    <col min="12030" max="12030" width="13.44140625" customWidth="1"/>
    <col min="12266" max="12277" width="8.77734375" customWidth="1"/>
    <col min="12278" max="12278" width="9.21875" customWidth="1"/>
    <col min="12279" max="12285" width="8.77734375" customWidth="1"/>
    <col min="12286" max="12286" width="13.44140625" customWidth="1"/>
    <col min="12522" max="12533" width="8.77734375" customWidth="1"/>
    <col min="12534" max="12534" width="9.21875" customWidth="1"/>
    <col min="12535" max="12541" width="8.77734375" customWidth="1"/>
    <col min="12542" max="12542" width="13.44140625" customWidth="1"/>
    <col min="12778" max="12789" width="8.77734375" customWidth="1"/>
    <col min="12790" max="12790" width="9.21875" customWidth="1"/>
    <col min="12791" max="12797" width="8.77734375" customWidth="1"/>
    <col min="12798" max="12798" width="13.44140625" customWidth="1"/>
    <col min="13034" max="13045" width="8.77734375" customWidth="1"/>
    <col min="13046" max="13046" width="9.21875" customWidth="1"/>
    <col min="13047" max="13053" width="8.77734375" customWidth="1"/>
    <col min="13054" max="13054" width="13.44140625" customWidth="1"/>
    <col min="13290" max="13301" width="8.77734375" customWidth="1"/>
    <col min="13302" max="13302" width="9.21875" customWidth="1"/>
    <col min="13303" max="13309" width="8.77734375" customWidth="1"/>
    <col min="13310" max="13310" width="13.44140625" customWidth="1"/>
    <col min="13546" max="13557" width="8.77734375" customWidth="1"/>
    <col min="13558" max="13558" width="9.21875" customWidth="1"/>
    <col min="13559" max="13565" width="8.77734375" customWidth="1"/>
    <col min="13566" max="13566" width="13.44140625" customWidth="1"/>
    <col min="13802" max="13813" width="8.77734375" customWidth="1"/>
    <col min="13814" max="13814" width="9.21875" customWidth="1"/>
    <col min="13815" max="13821" width="8.77734375" customWidth="1"/>
    <col min="13822" max="13822" width="13.44140625" customWidth="1"/>
    <col min="14058" max="14069" width="8.77734375" customWidth="1"/>
    <col min="14070" max="14070" width="9.21875" customWidth="1"/>
    <col min="14071" max="14077" width="8.77734375" customWidth="1"/>
    <col min="14078" max="14078" width="13.44140625" customWidth="1"/>
    <col min="14314" max="14325" width="8.77734375" customWidth="1"/>
    <col min="14326" max="14326" width="9.21875" customWidth="1"/>
    <col min="14327" max="14333" width="8.77734375" customWidth="1"/>
    <col min="14334" max="14334" width="13.44140625" customWidth="1"/>
    <col min="14570" max="14581" width="8.77734375" customWidth="1"/>
    <col min="14582" max="14582" width="9.21875" customWidth="1"/>
    <col min="14583" max="14589" width="8.77734375" customWidth="1"/>
    <col min="14590" max="14590" width="13.44140625" customWidth="1"/>
    <col min="14826" max="14837" width="8.77734375" customWidth="1"/>
    <col min="14838" max="14838" width="9.21875" customWidth="1"/>
    <col min="14839" max="14845" width="8.77734375" customWidth="1"/>
    <col min="14846" max="14846" width="13.44140625" customWidth="1"/>
    <col min="15082" max="15093" width="8.77734375" customWidth="1"/>
    <col min="15094" max="15094" width="9.21875" customWidth="1"/>
    <col min="15095" max="15101" width="8.77734375" customWidth="1"/>
    <col min="15102" max="15102" width="13.44140625" customWidth="1"/>
    <col min="15338" max="15349" width="8.77734375" customWidth="1"/>
    <col min="15350" max="15350" width="9.21875" customWidth="1"/>
    <col min="15351" max="15357" width="8.77734375" customWidth="1"/>
    <col min="15358" max="15358" width="13.44140625" customWidth="1"/>
    <col min="15594" max="15605" width="8.77734375" customWidth="1"/>
    <col min="15606" max="15606" width="9.21875" customWidth="1"/>
    <col min="15607" max="15613" width="8.77734375" customWidth="1"/>
    <col min="15614" max="15614" width="13.44140625" customWidth="1"/>
    <col min="15850" max="15861" width="8.77734375" customWidth="1"/>
    <col min="15862" max="15862" width="9.21875" customWidth="1"/>
    <col min="15863" max="15869" width="8.77734375" customWidth="1"/>
    <col min="15870" max="15870" width="13.44140625" customWidth="1"/>
    <col min="16106" max="16117" width="8.77734375" customWidth="1"/>
    <col min="16118" max="16118" width="9.21875" customWidth="1"/>
    <col min="16119" max="16125" width="8.77734375" customWidth="1"/>
    <col min="16126" max="16126" width="13.44140625" customWidth="1"/>
  </cols>
  <sheetData>
    <row r="1" spans="11:40" s="3" customFormat="1" ht="24" x14ac:dyDescent="0.3">
      <c r="M1" s="7" t="s">
        <v>3</v>
      </c>
      <c r="N1" s="8" t="s">
        <v>2</v>
      </c>
      <c r="O1" s="8" t="s">
        <v>1</v>
      </c>
      <c r="P1" s="9" t="s">
        <v>5</v>
      </c>
      <c r="Q1" s="9" t="s">
        <v>4</v>
      </c>
      <c r="R1" s="41"/>
      <c r="S1" s="37" t="str">
        <f>K4</f>
        <v>tong</v>
      </c>
      <c r="T1" s="37" t="s">
        <v>1115</v>
      </c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10"/>
      <c r="AK1" s="10"/>
      <c r="AL1" s="10"/>
      <c r="AM1" s="10"/>
      <c r="AN1" s="10"/>
    </row>
    <row r="2" spans="11:40" s="30" customFormat="1" ht="24" customHeight="1" x14ac:dyDescent="0.3">
      <c r="M2" s="31" t="e">
        <f>IF(OR(ISBLANK(Invullen!D5),ISBLANK(Invullen!#REF!)),NA(),Invullen!K5+(Invullen!#REF!/60)-Invullen!D5+(Invullen!#REF!/60))</f>
        <v>#REF!</v>
      </c>
      <c r="N2" s="31">
        <f>IF(ISBLANK(Invullen!G5),NA(),IF(Invullen!G5=0,0,(FLOOR(Invullen!G5/100,1)+(Invullen!G5-FLOOR(Invullen!G5/100,1)*100)/60)))</f>
        <v>3.5333333333333332</v>
      </c>
      <c r="O2" s="31">
        <f>IF(ISBLANK(Invullen!F5),NA(),IF(Invullen!F5=0,0,(FLOOR(Invullen!F5/100,1)+(Invullen!F5-FLOOR(Invullen!F5/100,1)*100)/60)))</f>
        <v>51.68333333333333</v>
      </c>
      <c r="P2" s="32" t="str">
        <f>IF(ISBLANK(Invullen!F5),NA(),DegtoICES(O2,N2," "))</f>
        <v>32 F3</v>
      </c>
      <c r="Q2" s="33" t="str">
        <f t="shared" ref="Q2:Q33" ca="1" si="0">VLOOKUP(P2,Rect,2,FALSE)</f>
        <v>IVc</v>
      </c>
      <c r="R2" s="41"/>
      <c r="S2" s="38">
        <f>HLOOKUP($S$1,Invullen!$N$3:$AJ$254,T2,FALSE)</f>
        <v>14</v>
      </c>
      <c r="T2" s="38">
        <v>3</v>
      </c>
      <c r="U2" s="34"/>
      <c r="V2" s="29"/>
      <c r="W2" s="29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</row>
    <row r="3" spans="11:40" s="30" customFormat="1" ht="24" customHeight="1" x14ac:dyDescent="0.3">
      <c r="K3" s="45" t="s">
        <v>1119</v>
      </c>
      <c r="M3" s="31" t="e">
        <f>IF(OR(ISBLANK(Invullen!D6),ISBLANK(Invullen!#REF!)),NA(),Invullen!K6+(Invullen!#REF!/60)-Invullen!D6+(Invullen!#REF!/60))</f>
        <v>#REF!</v>
      </c>
      <c r="N3" s="31">
        <f>IF(ISBLANK(Invullen!G6),NA(),IF(Invullen!G6=0,0,(FLOOR(Invullen!G6/100,1)+(Invullen!G6-FLOOR(Invullen!G6/100,1)*100)/60)))</f>
        <v>3.2333333333333334</v>
      </c>
      <c r="O3" s="31">
        <f>IF(ISBLANK(Invullen!F6),NA(),IF(Invullen!F6=0,0,(FLOOR(Invullen!F6/100,1)+(Invullen!F6-FLOOR(Invullen!F6/100,1)*100)/60)))</f>
        <v>51.616666666666667</v>
      </c>
      <c r="P3" s="32" t="str">
        <f>IF(ISBLANK(Invullen!F6),NA(),DegtoICES(O3,N3," "))</f>
        <v>32 F3</v>
      </c>
      <c r="Q3" s="33" t="str">
        <f t="shared" ca="1" si="0"/>
        <v>IVc</v>
      </c>
      <c r="R3" s="41"/>
      <c r="S3" s="38">
        <f>HLOOKUP($S$1,Invullen!$N$3:$AJ$254,T3,FALSE)</f>
        <v>20</v>
      </c>
      <c r="T3" s="38">
        <v>4</v>
      </c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</row>
    <row r="4" spans="11:40" s="30" customFormat="1" ht="24" customHeight="1" x14ac:dyDescent="0.3">
      <c r="K4" s="46" t="s">
        <v>1123</v>
      </c>
      <c r="M4" s="31" t="e">
        <f>IF(OR(ISBLANK(Invullen!D7),ISBLANK(Invullen!#REF!)),NA(),Invullen!K7+(Invullen!#REF!/60)-Invullen!D7+(Invullen!#REF!/60))</f>
        <v>#REF!</v>
      </c>
      <c r="N4" s="31">
        <f>IF(ISBLANK(Invullen!G7),NA(),IF(Invullen!G7=0,0,(FLOOR(Invullen!G7/100,1)+(Invullen!G7-FLOOR(Invullen!G7/100,1)*100)/60)))</f>
        <v>3.05</v>
      </c>
      <c r="O4" s="31">
        <f>IF(ISBLANK(Invullen!F7),NA(),IF(Invullen!F7=0,0,(FLOOR(Invullen!F7/100,1)+(Invullen!F7-FLOOR(Invullen!F7/100,1)*100)/60)))</f>
        <v>51.5</v>
      </c>
      <c r="P4" s="32" t="str">
        <f>IF(ISBLANK(Invullen!F7),NA(),DegtoICES(O4,N4," "))</f>
        <v>32 F3</v>
      </c>
      <c r="Q4" s="33" t="str">
        <f t="shared" ca="1" si="0"/>
        <v>IVc</v>
      </c>
      <c r="R4" s="41"/>
      <c r="S4" s="38">
        <f>HLOOKUP($S$1,Invullen!$N$3:$AJ$254,T4,FALSE)</f>
        <v>20</v>
      </c>
      <c r="T4" s="38">
        <v>5</v>
      </c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</row>
    <row r="5" spans="11:40" s="30" customFormat="1" ht="24" customHeight="1" x14ac:dyDescent="0.3">
      <c r="K5" s="39"/>
      <c r="M5" s="31" t="e">
        <f>IF(OR(ISBLANK(Invullen!D8),ISBLANK(Invullen!#REF!)),NA(),Invullen!K8+(Invullen!#REF!/60)-Invullen!D8+(Invullen!#REF!/60))</f>
        <v>#REF!</v>
      </c>
      <c r="N5" s="31">
        <f>IF(ISBLANK(Invullen!G8),NA(),IF(Invullen!G8=0,0,(FLOOR(Invullen!G8/100,1)+(Invullen!G8-FLOOR(Invullen!G8/100,1)*100)/60)))</f>
        <v>2.8666666666666667</v>
      </c>
      <c r="O5" s="31">
        <f>IF(ISBLANK(Invullen!F8),NA(),IF(Invullen!F8=0,0,(FLOOR(Invullen!F8/100,1)+(Invullen!F8-FLOOR(Invullen!F8/100,1)*100)/60)))</f>
        <v>51.4</v>
      </c>
      <c r="P5" s="32" t="str">
        <f>IF(ISBLANK(Invullen!F8),NA(),DegtoICES(O5,N5," "))</f>
        <v>31 F2</v>
      </c>
      <c r="Q5" s="33" t="str">
        <f t="shared" ca="1" si="0"/>
        <v>IVc</v>
      </c>
      <c r="R5" s="41"/>
      <c r="S5" s="38">
        <f>HLOOKUP($S$1,Invullen!$N$3:$AJ$254,T5,FALSE)</f>
        <v>15</v>
      </c>
      <c r="T5" s="38">
        <v>6</v>
      </c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</row>
    <row r="6" spans="11:40" s="30" customFormat="1" ht="24" customHeight="1" x14ac:dyDescent="0.3">
      <c r="K6" s="67" t="s">
        <v>1129</v>
      </c>
      <c r="M6" s="31" t="e">
        <f>IF(OR(ISBLANK(Invullen!D9),ISBLANK(Invullen!#REF!)),NA(),Invullen!K9+(Invullen!#REF!/60)-Invullen!D9+(Invullen!#REF!/60))</f>
        <v>#REF!</v>
      </c>
      <c r="N6" s="31">
        <f>IF(ISBLANK(Invullen!G9),NA(),IF(Invullen!G9=0,0,(FLOOR(Invullen!G9/100,1)+(Invullen!G9-FLOOR(Invullen!G9/100,1)*100)/60)))</f>
        <v>2.7666666666666666</v>
      </c>
      <c r="O6" s="31">
        <f>IF(ISBLANK(Invullen!F9),NA(),IF(Invullen!F9=0,0,(FLOOR(Invullen!F9/100,1)+(Invullen!F9-FLOOR(Invullen!F9/100,1)*100)/60)))</f>
        <v>51.4</v>
      </c>
      <c r="P6" s="32" t="str">
        <f>IF(ISBLANK(Invullen!F9),NA(),DegtoICES(O6,N6," "))</f>
        <v>31 F2</v>
      </c>
      <c r="Q6" s="33" t="str">
        <f t="shared" ca="1" si="0"/>
        <v>IVc</v>
      </c>
      <c r="R6" s="41"/>
      <c r="S6" s="38">
        <f>HLOOKUP($S$1,Invullen!$N$3:$AJ$254,T6,FALSE)</f>
        <v>10</v>
      </c>
      <c r="T6" s="38">
        <v>7</v>
      </c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</row>
    <row r="7" spans="11:40" s="30" customFormat="1" ht="24" customHeight="1" x14ac:dyDescent="0.3">
      <c r="K7" s="67" t="s">
        <v>1130</v>
      </c>
      <c r="M7" s="31" t="e">
        <f>IF(OR(ISBLANK(Invullen!D10),ISBLANK(Invullen!#REF!)),NA(),Invullen!K10+(Invullen!#REF!/60)-Invullen!D10+(Invullen!#REF!/60))</f>
        <v>#REF!</v>
      </c>
      <c r="N7" s="31">
        <f>IF(ISBLANK(Invullen!G10),NA(),IF(Invullen!G10=0,0,(FLOOR(Invullen!G10/100,1)+(Invullen!G10-FLOOR(Invullen!G10/100,1)*100)/60)))</f>
        <v>2.6666666666666665</v>
      </c>
      <c r="O7" s="31">
        <f>IF(ISBLANK(Invullen!F10),NA(),IF(Invullen!F10=0,0,(FLOOR(Invullen!F10/100,1)+(Invullen!F10-FLOOR(Invullen!F10/100,1)*100)/60)))</f>
        <v>51.35</v>
      </c>
      <c r="P7" s="32" t="str">
        <f>IF(ISBLANK(Invullen!F10),NA(),DegtoICES(O7,N7," "))</f>
        <v>31 F2</v>
      </c>
      <c r="Q7" s="33" t="str">
        <f t="shared" ca="1" si="0"/>
        <v>IVc</v>
      </c>
      <c r="R7" s="41"/>
      <c r="S7" s="38">
        <f>HLOOKUP($S$1,Invullen!$N$3:$AJ$254,T7,FALSE)</f>
        <v>20</v>
      </c>
      <c r="T7" s="38">
        <v>8</v>
      </c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</row>
    <row r="8" spans="11:40" s="30" customFormat="1" ht="24" customHeight="1" x14ac:dyDescent="0.3">
      <c r="K8" s="67" t="s">
        <v>1131</v>
      </c>
      <c r="M8" s="31" t="e">
        <f>IF(OR(ISBLANK(Invullen!D11),ISBLANK(Invullen!#REF!)),NA(),Invullen!K11+(Invullen!#REF!/60)-Invullen!D11+(Invullen!#REF!/60))</f>
        <v>#REF!</v>
      </c>
      <c r="N8" s="31">
        <f>IF(ISBLANK(Invullen!G11),NA(),IF(Invullen!G11=0,0,(FLOOR(Invullen!G11/100,1)+(Invullen!G11-FLOOR(Invullen!G11/100,1)*100)/60)))</f>
        <v>2.6</v>
      </c>
      <c r="O8" s="31">
        <f>IF(ISBLANK(Invullen!F11),NA(),IF(Invullen!F11=0,0,(FLOOR(Invullen!F11/100,1)+(Invullen!F11-FLOOR(Invullen!F11/100,1)*100)/60)))</f>
        <v>51.266666666666666</v>
      </c>
      <c r="P8" s="32" t="str">
        <f>IF(ISBLANK(Invullen!F11),NA(),DegtoICES(O8,N8," "))</f>
        <v>31 F2</v>
      </c>
      <c r="Q8" s="33" t="str">
        <f t="shared" ca="1" si="0"/>
        <v>IVc</v>
      </c>
      <c r="R8" s="41"/>
      <c r="S8" s="38">
        <f>HLOOKUP($S$1,Invullen!$N$3:$AJ$254,T8,FALSE)</f>
        <v>25</v>
      </c>
      <c r="T8" s="38">
        <v>9</v>
      </c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</row>
    <row r="9" spans="11:40" s="30" customFormat="1" ht="24" customHeight="1" x14ac:dyDescent="0.3">
      <c r="K9" s="39"/>
      <c r="M9" s="31" t="e">
        <f>IF(OR(ISBLANK(Invullen!D12),ISBLANK(Invullen!#REF!)),NA(),Invullen!K12+(Invullen!#REF!/60)-Invullen!D12+(Invullen!#REF!/60))</f>
        <v>#REF!</v>
      </c>
      <c r="N9" s="31">
        <f>IF(ISBLANK(Invullen!G12),NA(),IF(Invullen!G12=0,0,(FLOOR(Invullen!G12/100,1)+(Invullen!G12-FLOOR(Invullen!G12/100,1)*100)/60)))</f>
        <v>2.5333333333333332</v>
      </c>
      <c r="O9" s="31">
        <f>IF(ISBLANK(Invullen!F12),NA(),IF(Invullen!F12=0,0,(FLOOR(Invullen!F12/100,1)+(Invullen!F12-FLOOR(Invullen!F12/100,1)*100)/60)))</f>
        <v>51.216666666666669</v>
      </c>
      <c r="P9" s="32" t="str">
        <f>IF(ISBLANK(Invullen!F12),NA(),DegtoICES(O9,N9," "))</f>
        <v>31 F2</v>
      </c>
      <c r="Q9" s="33" t="str">
        <f t="shared" ca="1" si="0"/>
        <v>IVc</v>
      </c>
      <c r="R9" s="41"/>
      <c r="S9" s="38">
        <f>HLOOKUP($S$1,Invullen!$N$3:$AJ$254,T9,FALSE)</f>
        <v>20</v>
      </c>
      <c r="T9" s="38">
        <v>10</v>
      </c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</row>
    <row r="10" spans="11:40" s="30" customFormat="1" ht="24" customHeight="1" x14ac:dyDescent="0.3">
      <c r="K10" s="195" t="s">
        <v>1347</v>
      </c>
      <c r="M10" s="31" t="e">
        <f>IF(OR(ISBLANK(Invullen!D13),ISBLANK(Invullen!#REF!)),NA(),Invullen!K13+(Invullen!#REF!/60)-Invullen!D13+(Invullen!#REF!/60))</f>
        <v>#REF!</v>
      </c>
      <c r="N10" s="31">
        <f>IF(ISBLANK(Invullen!G13),NA(),IF(Invullen!G13=0,0,(FLOOR(Invullen!G13/100,1)+(Invullen!G13-FLOOR(Invullen!G13/100,1)*100)/60)))</f>
        <v>2.5499999999999998</v>
      </c>
      <c r="O10" s="31">
        <f>IF(ISBLANK(Invullen!F13),NA(),IF(Invullen!F13=0,0,(FLOOR(Invullen!F13/100,1)+(Invullen!F13-FLOOR(Invullen!F13/100,1)*100)/60)))</f>
        <v>51.233333333333334</v>
      </c>
      <c r="P10" s="32" t="str">
        <f>IF(ISBLANK(Invullen!F13),NA(),DegtoICES(O10,N10," "))</f>
        <v>31 F2</v>
      </c>
      <c r="Q10" s="33" t="str">
        <f t="shared" ca="1" si="0"/>
        <v>IVc</v>
      </c>
      <c r="R10" s="41"/>
      <c r="S10" s="38">
        <f>HLOOKUP($S$1,Invullen!$N$3:$AJ$254,T10,FALSE)</f>
        <v>15</v>
      </c>
      <c r="T10" s="38">
        <v>11</v>
      </c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</row>
    <row r="11" spans="11:40" s="30" customFormat="1" ht="24" customHeight="1" x14ac:dyDescent="0.3">
      <c r="K11" s="195" t="s">
        <v>1348</v>
      </c>
      <c r="M11" s="31" t="e">
        <f>IF(OR(ISBLANK(Invullen!D14),ISBLANK(Invullen!#REF!)),NA(),Invullen!K14+(Invullen!#REF!/60)-Invullen!D14+(Invullen!#REF!/60))</f>
        <v>#REF!</v>
      </c>
      <c r="N11" s="31">
        <f>IF(ISBLANK(Invullen!G14),NA(),IF(Invullen!G14=0,0,(FLOOR(Invullen!G14/100,1)+(Invullen!G14-FLOOR(Invullen!G14/100,1)*100)/60)))</f>
        <v>2.5166666666666666</v>
      </c>
      <c r="O11" s="31">
        <f>IF(ISBLANK(Invullen!F14),NA(),IF(Invullen!F14=0,0,(FLOOR(Invullen!F14/100,1)+(Invullen!F14-FLOOR(Invullen!F14/100,1)*100)/60)))</f>
        <v>51.216666666666669</v>
      </c>
      <c r="P11" s="32" t="str">
        <f>IF(ISBLANK(Invullen!F14),NA(),DegtoICES(O11,N11," "))</f>
        <v>31 F2</v>
      </c>
      <c r="Q11" s="33" t="str">
        <f t="shared" ca="1" si="0"/>
        <v>IVc</v>
      </c>
      <c r="R11" s="41"/>
      <c r="S11" s="38">
        <f>HLOOKUP($S$1,Invullen!$N$3:$AJ$254,T11,FALSE)</f>
        <v>10</v>
      </c>
      <c r="T11" s="38">
        <v>12</v>
      </c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</row>
    <row r="12" spans="11:40" s="30" customFormat="1" ht="24" customHeight="1" x14ac:dyDescent="0.3">
      <c r="K12" s="196" t="s">
        <v>1349</v>
      </c>
      <c r="M12" s="31" t="e">
        <f>IF(OR(ISBLANK(Invullen!D15),ISBLANK(Invullen!#REF!)),NA(),Invullen!K15+(Invullen!#REF!/60)-Invullen!D15+(Invullen!#REF!/60))</f>
        <v>#REF!</v>
      </c>
      <c r="N12" s="31">
        <f>IF(ISBLANK(Invullen!G15),NA(),IF(Invullen!G15=0,0,(FLOOR(Invullen!G15/100,1)+(Invullen!G15-FLOOR(Invullen!G15/100,1)*100)/60)))</f>
        <v>2.4500000000000002</v>
      </c>
      <c r="O12" s="31">
        <f>IF(ISBLANK(Invullen!F15),NA(),IF(Invullen!F15=0,0,(FLOOR(Invullen!F15/100,1)+(Invullen!F15-FLOOR(Invullen!F15/100,1)*100)/60)))</f>
        <v>51.283333333333331</v>
      </c>
      <c r="P12" s="32" t="str">
        <f>IF(ISBLANK(Invullen!F15),NA(),DegtoICES(O12,N12," "))</f>
        <v>31 F2</v>
      </c>
      <c r="Q12" s="33" t="str">
        <f t="shared" ca="1" si="0"/>
        <v>IVc</v>
      </c>
      <c r="R12" s="41"/>
      <c r="S12" s="38">
        <f>HLOOKUP($S$1,Invullen!$N$3:$AJ$254,T12,FALSE)</f>
        <v>15</v>
      </c>
      <c r="T12" s="38">
        <v>13</v>
      </c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</row>
    <row r="13" spans="11:40" s="30" customFormat="1" ht="24" customHeight="1" x14ac:dyDescent="0.3">
      <c r="K13" s="196" t="s">
        <v>1350</v>
      </c>
      <c r="M13" s="31" t="e">
        <f>IF(OR(ISBLANK(Invullen!D16),ISBLANK(Invullen!#REF!)),NA(),Invullen!K16+(Invullen!#REF!/60)-Invullen!D16+(Invullen!#REF!/60))</f>
        <v>#REF!</v>
      </c>
      <c r="N13" s="31">
        <f>IF(ISBLANK(Invullen!G16),NA(),IF(Invullen!G16=0,0,(FLOOR(Invullen!G16/100,1)+(Invullen!G16-FLOOR(Invullen!G16/100,1)*100)/60)))</f>
        <v>2.4666666666666668</v>
      </c>
      <c r="O13" s="31">
        <f>IF(ISBLANK(Invullen!F16),NA(),IF(Invullen!F16=0,0,(FLOOR(Invullen!F16/100,1)+(Invullen!F16-FLOOR(Invullen!F16/100,1)*100)/60)))</f>
        <v>51.31666666666667</v>
      </c>
      <c r="P13" s="32" t="str">
        <f>IF(ISBLANK(Invullen!F16),NA(),DegtoICES(O13,N13," "))</f>
        <v>31 F2</v>
      </c>
      <c r="Q13" s="33" t="str">
        <f t="shared" ca="1" si="0"/>
        <v>IVc</v>
      </c>
      <c r="R13" s="41"/>
      <c r="S13" s="38">
        <f>HLOOKUP($S$1,Invullen!$N$3:$AJ$254,T13,FALSE)</f>
        <v>15</v>
      </c>
      <c r="T13" s="38">
        <v>14</v>
      </c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</row>
    <row r="14" spans="11:40" s="30" customFormat="1" ht="24" customHeight="1" x14ac:dyDescent="0.3">
      <c r="K14" s="39"/>
      <c r="M14" s="31" t="e">
        <f>IF(OR(ISBLANK(Invullen!D17),ISBLANK(Invullen!#REF!)),NA(),Invullen!K17+(Invullen!#REF!/60)-Invullen!D17+(Invullen!#REF!/60))</f>
        <v>#REF!</v>
      </c>
      <c r="N14" s="31">
        <f>IF(ISBLANK(Invullen!G17),NA(),IF(Invullen!G17=0,0,(FLOOR(Invullen!G17/100,1)+(Invullen!G17-FLOOR(Invullen!G17/100,1)*100)/60)))</f>
        <v>2.4666666666666668</v>
      </c>
      <c r="O14" s="31">
        <f>IF(ISBLANK(Invullen!F17),NA(),IF(Invullen!F17=0,0,(FLOOR(Invullen!F17/100,1)+(Invullen!F17-FLOOR(Invullen!F17/100,1)*100)/60)))</f>
        <v>51.283333333333331</v>
      </c>
      <c r="P14" s="32" t="str">
        <f>IF(ISBLANK(Invullen!F17),NA(),DegtoICES(O14,N14," "))</f>
        <v>31 F2</v>
      </c>
      <c r="Q14" s="33" t="str">
        <f t="shared" ca="1" si="0"/>
        <v>IVc</v>
      </c>
      <c r="R14" s="41"/>
      <c r="S14" s="38">
        <f>HLOOKUP($S$1,Invullen!$N$3:$AJ$254,T14,FALSE)</f>
        <v>15</v>
      </c>
      <c r="T14" s="38">
        <v>15</v>
      </c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</row>
    <row r="15" spans="11:40" s="30" customFormat="1" ht="24" customHeight="1" x14ac:dyDescent="0.3">
      <c r="K15" s="39"/>
      <c r="M15" s="31" t="e">
        <f>IF(OR(ISBLANK(Invullen!D18),ISBLANK(Invullen!#REF!)),NA(),Invullen!K18+(Invullen!#REF!/60)-Invullen!D18+(Invullen!#REF!/60))</f>
        <v>#REF!</v>
      </c>
      <c r="N15" s="31">
        <f>IF(ISBLANK(Invullen!G18),NA(),IF(Invullen!G18=0,0,(FLOOR(Invullen!G18/100,1)+(Invullen!G18-FLOOR(Invullen!G18/100,1)*100)/60)))</f>
        <v>2.4666666666666668</v>
      </c>
      <c r="O15" s="31">
        <f>IF(ISBLANK(Invullen!F18),NA(),IF(Invullen!F18=0,0,(FLOOR(Invullen!F18/100,1)+(Invullen!F18-FLOOR(Invullen!F18/100,1)*100)/60)))</f>
        <v>51.3</v>
      </c>
      <c r="P15" s="32" t="str">
        <f>IF(ISBLANK(Invullen!F18),NA(),DegtoICES(O15,N15," "))</f>
        <v>31 F2</v>
      </c>
      <c r="Q15" s="33" t="str">
        <f t="shared" ca="1" si="0"/>
        <v>IVc</v>
      </c>
      <c r="R15" s="41"/>
      <c r="S15" s="38">
        <f>HLOOKUP($S$1,Invullen!$N$3:$AJ$254,T15,FALSE)</f>
        <v>25</v>
      </c>
      <c r="T15" s="38">
        <v>16</v>
      </c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</row>
    <row r="16" spans="11:40" s="30" customFormat="1" ht="24" customHeight="1" x14ac:dyDescent="0.3">
      <c r="K16" s="39"/>
      <c r="M16" s="31" t="e">
        <f>IF(OR(ISBLANK(Invullen!D19),ISBLANK(Invullen!#REF!)),NA(),Invullen!K19+(Invullen!#REF!/60)-Invullen!D19+(Invullen!#REF!/60))</f>
        <v>#REF!</v>
      </c>
      <c r="N16" s="31">
        <f>IF(ISBLANK(Invullen!G19),NA(),IF(Invullen!G19=0,0,(FLOOR(Invullen!G19/100,1)+(Invullen!G19-FLOOR(Invullen!G19/100,1)*100)/60)))</f>
        <v>2.4333333333333336</v>
      </c>
      <c r="O16" s="31">
        <f>IF(ISBLANK(Invullen!F19),NA(),IF(Invullen!F19=0,0,(FLOOR(Invullen!F19/100,1)+(Invullen!F19-FLOOR(Invullen!F19/100,1)*100)/60)))</f>
        <v>51.31666666666667</v>
      </c>
      <c r="P16" s="32" t="str">
        <f>IF(ISBLANK(Invullen!F19),NA(),DegtoICES(O16,N16," "))</f>
        <v>31 F2</v>
      </c>
      <c r="Q16" s="33" t="str">
        <f t="shared" ca="1" si="0"/>
        <v>IVc</v>
      </c>
      <c r="R16" s="41"/>
      <c r="S16" s="38">
        <f>HLOOKUP($S$1,Invullen!$N$3:$AJ$254,T16,FALSE)</f>
        <v>20</v>
      </c>
      <c r="T16" s="38">
        <v>17</v>
      </c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</row>
    <row r="17" spans="1:35" s="30" customFormat="1" ht="24" customHeight="1" x14ac:dyDescent="0.3">
      <c r="K17" s="39"/>
      <c r="M17" s="31" t="e">
        <f>IF(OR(ISBLANK(Invullen!D20),ISBLANK(Invullen!#REF!)),NA(),Invullen!K20+(Invullen!#REF!/60)-Invullen!D20+(Invullen!#REF!/60))</f>
        <v>#REF!</v>
      </c>
      <c r="N17" s="31">
        <f>IF(ISBLANK(Invullen!G20),NA(),IF(Invullen!G20=0,0,(FLOOR(Invullen!G20/100,1)+(Invullen!G20-FLOOR(Invullen!G20/100,1)*100)/60)))</f>
        <v>2.4666666666666668</v>
      </c>
      <c r="O17" s="31">
        <f>IF(ISBLANK(Invullen!F20),NA(),IF(Invullen!F20=0,0,(FLOOR(Invullen!F20/100,1)+(Invullen!F20-FLOOR(Invullen!F20/100,1)*100)/60)))</f>
        <v>51.333333333333336</v>
      </c>
      <c r="P17" s="32" t="str">
        <f>IF(ISBLANK(Invullen!F20),NA(),DegtoICES(O17,N17," "))</f>
        <v>31 F2</v>
      </c>
      <c r="Q17" s="33" t="str">
        <f t="shared" ca="1" si="0"/>
        <v>IVc</v>
      </c>
      <c r="R17" s="41"/>
      <c r="S17" s="38">
        <f>HLOOKUP($S$1,Invullen!$N$3:$AJ$254,T17,FALSE)</f>
        <v>25</v>
      </c>
      <c r="T17" s="38">
        <v>18</v>
      </c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</row>
    <row r="18" spans="1:35" s="30" customFormat="1" ht="24" customHeight="1" x14ac:dyDescent="0.3">
      <c r="K18" s="39"/>
      <c r="M18" s="31" t="e">
        <f>IF(OR(ISBLANK(Invullen!D21),ISBLANK(Invullen!#REF!)),NA(),Invullen!K21+(Invullen!#REF!/60)-Invullen!D21+(Invullen!#REF!/60))</f>
        <v>#REF!</v>
      </c>
      <c r="N18" s="31">
        <f>IF(ISBLANK(Invullen!G21),NA(),IF(Invullen!G21=0,0,(FLOOR(Invullen!G21/100,1)+(Invullen!G21-FLOOR(Invullen!G21/100,1)*100)/60)))</f>
        <v>2.4500000000000002</v>
      </c>
      <c r="O18" s="31">
        <f>IF(ISBLANK(Invullen!F21),NA(),IF(Invullen!F21=0,0,(FLOOR(Invullen!F21/100,1)+(Invullen!F21-FLOOR(Invullen!F21/100,1)*100)/60)))</f>
        <v>51.31666666666667</v>
      </c>
      <c r="P18" s="32" t="str">
        <f>IF(ISBLANK(Invullen!F21),NA(),DegtoICES(O18,N18," "))</f>
        <v>31 F2</v>
      </c>
      <c r="Q18" s="33" t="str">
        <f t="shared" ca="1" si="0"/>
        <v>IVc</v>
      </c>
      <c r="R18" s="41"/>
      <c r="S18" s="38">
        <f>HLOOKUP($S$1,Invullen!$N$3:$AJ$254,T18,FALSE)</f>
        <v>35</v>
      </c>
      <c r="T18" s="38">
        <v>19</v>
      </c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</row>
    <row r="19" spans="1:35" s="30" customFormat="1" ht="24" customHeight="1" x14ac:dyDescent="0.3">
      <c r="K19" s="39"/>
      <c r="M19" s="31" t="e">
        <f>IF(OR(ISBLANK(Invullen!D22),ISBLANK(Invullen!#REF!)),NA(),Invullen!K22+(Invullen!#REF!/60)-Invullen!D22+(Invullen!#REF!/60))</f>
        <v>#REF!</v>
      </c>
      <c r="N19" s="31">
        <f>IF(ISBLANK(Invullen!G22),NA(),IF(Invullen!G22=0,0,(FLOOR(Invullen!G22/100,1)+(Invullen!G22-FLOOR(Invullen!G22/100,1)*100)/60)))</f>
        <v>2.4166666666666665</v>
      </c>
      <c r="O19" s="31">
        <f>IF(ISBLANK(Invullen!F22),NA(),IF(Invullen!F22=0,0,(FLOOR(Invullen!F22/100,1)+(Invullen!F22-FLOOR(Invullen!F22/100,1)*100)/60)))</f>
        <v>51.3</v>
      </c>
      <c r="P19" s="32" t="str">
        <f>IF(ISBLANK(Invullen!F22),NA(),DegtoICES(O19,N19," "))</f>
        <v>31 F2</v>
      </c>
      <c r="Q19" s="33" t="str">
        <f t="shared" ca="1" si="0"/>
        <v>IVc</v>
      </c>
      <c r="R19" s="41"/>
      <c r="S19" s="38">
        <f>HLOOKUP($S$1,Invullen!$N$3:$AJ$254,T19,FALSE)</f>
        <v>35</v>
      </c>
      <c r="T19" s="38">
        <v>20</v>
      </c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</row>
    <row r="20" spans="1:35" s="30" customFormat="1" ht="24" customHeight="1" x14ac:dyDescent="0.3">
      <c r="K20" s="39"/>
      <c r="M20" s="31" t="e">
        <f>IF(OR(ISBLANK(Invullen!D23),ISBLANK(Invullen!#REF!)),NA(),Invullen!K23+(Invullen!#REF!/60)-Invullen!D23+(Invullen!#REF!/60))</f>
        <v>#REF!</v>
      </c>
      <c r="N20" s="31">
        <f>IF(ISBLANK(Invullen!G23),NA(),IF(Invullen!G23=0,0,(FLOOR(Invullen!G23/100,1)+(Invullen!G23-FLOOR(Invullen!G23/100,1)*100)/60)))</f>
        <v>2.4333333333333336</v>
      </c>
      <c r="O20" s="31">
        <f>IF(ISBLANK(Invullen!F23),NA(),IF(Invullen!F23=0,0,(FLOOR(Invullen!F23/100,1)+(Invullen!F23-FLOOR(Invullen!F23/100,1)*100)/60)))</f>
        <v>51.3</v>
      </c>
      <c r="P20" s="32" t="str">
        <f>IF(ISBLANK(Invullen!F23),NA(),DegtoICES(O20,N20," "))</f>
        <v>31 F2</v>
      </c>
      <c r="Q20" s="33" t="str">
        <f t="shared" ca="1" si="0"/>
        <v>IVc</v>
      </c>
      <c r="R20" s="41"/>
      <c r="S20" s="38">
        <f>HLOOKUP($S$1,Invullen!$N$3:$AJ$254,T20,FALSE)</f>
        <v>25</v>
      </c>
      <c r="T20" s="38">
        <v>21</v>
      </c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</row>
    <row r="21" spans="1:35" s="30" customFormat="1" ht="24" customHeight="1" x14ac:dyDescent="0.3">
      <c r="K21" s="39"/>
      <c r="M21" s="31" t="e">
        <f>IF(OR(ISBLANK(Invullen!D24),ISBLANK(Invullen!#REF!)),NA(),Invullen!K24+(Invullen!#REF!/60)-Invullen!D24+(Invullen!#REF!/60))</f>
        <v>#REF!</v>
      </c>
      <c r="N21" s="31">
        <f>IF(ISBLANK(Invullen!G24),NA(),IF(Invullen!G24=0,0,(FLOOR(Invullen!G24/100,1)+(Invullen!G24-FLOOR(Invullen!G24/100,1)*100)/60)))</f>
        <v>2.4666666666666668</v>
      </c>
      <c r="O21" s="31">
        <f>IF(ISBLANK(Invullen!F24),NA(),IF(Invullen!F24=0,0,(FLOOR(Invullen!F24/100,1)+(Invullen!F24-FLOOR(Invullen!F24/100,1)*100)/60)))</f>
        <v>51.333333333333336</v>
      </c>
      <c r="P21" s="32" t="str">
        <f>IF(ISBLANK(Invullen!F24),NA(),DegtoICES(O21,N21," "))</f>
        <v>31 F2</v>
      </c>
      <c r="Q21" s="33" t="str">
        <f t="shared" ca="1" si="0"/>
        <v>IVc</v>
      </c>
      <c r="R21" s="41"/>
      <c r="S21" s="38">
        <f>HLOOKUP($S$1,Invullen!$N$3:$AJ$254,T21,FALSE)</f>
        <v>20</v>
      </c>
      <c r="T21" s="38">
        <v>22</v>
      </c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</row>
    <row r="22" spans="1:35" s="30" customFormat="1" ht="24" customHeight="1" x14ac:dyDescent="0.3">
      <c r="K22" s="39"/>
      <c r="M22" s="31" t="e">
        <f>IF(OR(ISBLANK(Invullen!D25),ISBLANK(Invullen!#REF!)),NA(),Invullen!K25+(Invullen!#REF!/60)-Invullen!D25+(Invullen!#REF!/60))</f>
        <v>#REF!</v>
      </c>
      <c r="N22" s="31">
        <f>IF(ISBLANK(Invullen!G25),NA(),IF(Invullen!G25=0,0,(FLOOR(Invullen!G25/100,1)+(Invullen!G25-FLOOR(Invullen!G25/100,1)*100)/60)))</f>
        <v>2.4333333333333336</v>
      </c>
      <c r="O22" s="31">
        <f>IF(ISBLANK(Invullen!F25),NA(),IF(Invullen!F25=0,0,(FLOOR(Invullen!F25/100,1)+(Invullen!F25-FLOOR(Invullen!F25/100,1)*100)/60)))</f>
        <v>51.31666666666667</v>
      </c>
      <c r="P22" s="32" t="str">
        <f>IF(ISBLANK(Invullen!F25),NA(),DegtoICES(O22,N22," "))</f>
        <v>31 F2</v>
      </c>
      <c r="Q22" s="33" t="str">
        <f t="shared" ca="1" si="0"/>
        <v>IVc</v>
      </c>
      <c r="R22" s="41"/>
      <c r="S22" s="38">
        <f>HLOOKUP($S$1,Invullen!$N$3:$AJ$254,T22,FALSE)</f>
        <v>25</v>
      </c>
      <c r="T22" s="38">
        <v>23</v>
      </c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</row>
    <row r="23" spans="1:35" s="30" customFormat="1" ht="24" customHeight="1" x14ac:dyDescent="0.3">
      <c r="K23" s="39"/>
      <c r="M23" s="31" t="e">
        <f>IF(OR(ISBLANK(Invullen!D26),ISBLANK(Invullen!#REF!)),NA(),Invullen!K26+(Invullen!#REF!/60)-Invullen!D26+(Invullen!#REF!/60))</f>
        <v>#REF!</v>
      </c>
      <c r="N23" s="31">
        <f>IF(ISBLANK(Invullen!G26),NA(),IF(Invullen!G26=0,0,(FLOOR(Invullen!G26/100,1)+(Invullen!G26-FLOOR(Invullen!G26/100,1)*100)/60)))</f>
        <v>2.4166666666666665</v>
      </c>
      <c r="O23" s="31">
        <f>IF(ISBLANK(Invullen!F26),NA(),IF(Invullen!F26=0,0,(FLOOR(Invullen!F26/100,1)+(Invullen!F26-FLOOR(Invullen!F26/100,1)*100)/60)))</f>
        <v>51.3</v>
      </c>
      <c r="P23" s="32" t="str">
        <f>IF(ISBLANK(Invullen!F26),NA(),DegtoICES(O23,N23," "))</f>
        <v>31 F2</v>
      </c>
      <c r="Q23" s="33" t="str">
        <f t="shared" ca="1" si="0"/>
        <v>IVc</v>
      </c>
      <c r="R23" s="41"/>
      <c r="S23" s="38">
        <f>HLOOKUP($S$1,Invullen!$N$3:$AJ$254,T23,FALSE)</f>
        <v>20</v>
      </c>
      <c r="T23" s="38">
        <v>24</v>
      </c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</row>
    <row r="24" spans="1:35" s="30" customFormat="1" ht="24" customHeight="1" x14ac:dyDescent="0.3">
      <c r="K24" s="39"/>
      <c r="M24" s="31" t="e">
        <f>IF(OR(ISBLANK(Invullen!D27),ISBLANK(Invullen!#REF!)),NA(),Invullen!K27+(Invullen!#REF!/60)-Invullen!D27+(Invullen!#REF!/60))</f>
        <v>#REF!</v>
      </c>
      <c r="N24" s="31">
        <f>IF(ISBLANK(Invullen!G27),NA(),IF(Invullen!G27=0,0,(FLOOR(Invullen!G27/100,1)+(Invullen!G27-FLOOR(Invullen!G27/100,1)*100)/60)))</f>
        <v>2.4666666666666668</v>
      </c>
      <c r="O24" s="31">
        <f>IF(ISBLANK(Invullen!F27),NA(),IF(Invullen!F27=0,0,(FLOOR(Invullen!F27/100,1)+(Invullen!F27-FLOOR(Invullen!F27/100,1)*100)/60)))</f>
        <v>51.333333333333336</v>
      </c>
      <c r="P24" s="32" t="str">
        <f>IF(ISBLANK(Invullen!F27),NA(),DegtoICES(O24,N24," "))</f>
        <v>31 F2</v>
      </c>
      <c r="Q24" s="33" t="str">
        <f t="shared" ca="1" si="0"/>
        <v>IVc</v>
      </c>
      <c r="R24" s="41"/>
      <c r="S24" s="38">
        <f>HLOOKUP($S$1,Invullen!$N$3:$AJ$254,T24,FALSE)</f>
        <v>15</v>
      </c>
      <c r="T24" s="38">
        <v>25</v>
      </c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</row>
    <row r="25" spans="1:35" s="30" customFormat="1" ht="24" customHeight="1" x14ac:dyDescent="0.3">
      <c r="K25" s="39"/>
      <c r="M25" s="31" t="e">
        <f>IF(OR(ISBLANK(Invullen!D28),ISBLANK(Invullen!#REF!)),NA(),Invullen!K28+(Invullen!#REF!/60)-Invullen!D28+(Invullen!#REF!/60))</f>
        <v>#REF!</v>
      </c>
      <c r="N25" s="31">
        <f>IF(ISBLANK(Invullen!G28),NA(),IF(Invullen!G28=0,0,(FLOOR(Invullen!G28/100,1)+(Invullen!G28-FLOOR(Invullen!G28/100,1)*100)/60)))</f>
        <v>2.4333333333333336</v>
      </c>
      <c r="O25" s="31">
        <f>IF(ISBLANK(Invullen!F28),NA(),IF(Invullen!F28=0,0,(FLOOR(Invullen!F28/100,1)+(Invullen!F28-FLOOR(Invullen!F28/100,1)*100)/60)))</f>
        <v>51.3</v>
      </c>
      <c r="P25" s="32" t="str">
        <f>IF(ISBLANK(Invullen!F28),NA(),DegtoICES(O25,N25," "))</f>
        <v>31 F2</v>
      </c>
      <c r="Q25" s="33" t="str">
        <f t="shared" ca="1" si="0"/>
        <v>IVc</v>
      </c>
      <c r="R25" s="41"/>
      <c r="S25" s="38">
        <f>HLOOKUP($S$1,Invullen!$N$3:$AJ$254,T25,FALSE)</f>
        <v>15</v>
      </c>
      <c r="T25" s="38">
        <v>26</v>
      </c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</row>
    <row r="26" spans="1:35" s="30" customFormat="1" ht="24" customHeight="1" x14ac:dyDescent="0.3">
      <c r="K26" s="39"/>
      <c r="M26" s="31" t="e">
        <f>IF(OR(ISBLANK(Invullen!D29),ISBLANK(Invullen!#REF!)),NA(),Invullen!K29+(Invullen!#REF!/60)-Invullen!D29+(Invullen!#REF!/60))</f>
        <v>#REF!</v>
      </c>
      <c r="N26" s="31">
        <f>IF(ISBLANK(Invullen!G29),NA(),IF(Invullen!G29=0,0,(FLOOR(Invullen!G29/100,1)+(Invullen!G29-FLOOR(Invullen!G29/100,1)*100)/60)))</f>
        <v>2.3833333333333333</v>
      </c>
      <c r="O26" s="31">
        <f>IF(ISBLANK(Invullen!F29),NA(),IF(Invullen!F29=0,0,(FLOOR(Invullen!F29/100,1)+(Invullen!F29-FLOOR(Invullen!F29/100,1)*100)/60)))</f>
        <v>51.31666666666667</v>
      </c>
      <c r="P26" s="32" t="str">
        <f>IF(ISBLANK(Invullen!F29),NA(),DegtoICES(O26,N26," "))</f>
        <v>31 F2</v>
      </c>
      <c r="Q26" s="33" t="str">
        <f t="shared" ca="1" si="0"/>
        <v>IVc</v>
      </c>
      <c r="R26" s="41"/>
      <c r="S26" s="38">
        <f>HLOOKUP($S$1,Invullen!$N$3:$AJ$254,T26,FALSE)</f>
        <v>15</v>
      </c>
      <c r="T26" s="38">
        <v>27</v>
      </c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</row>
    <row r="27" spans="1:35" s="30" customFormat="1" ht="24" customHeight="1" x14ac:dyDescent="0.3">
      <c r="A27" s="42" t="s">
        <v>1116</v>
      </c>
      <c r="B27" s="43"/>
      <c r="C27" s="43"/>
      <c r="D27" s="43"/>
      <c r="E27" s="43"/>
      <c r="F27" s="43"/>
      <c r="G27" s="43"/>
      <c r="H27" s="43"/>
      <c r="I27" s="43"/>
      <c r="J27" s="43"/>
      <c r="K27" s="44"/>
      <c r="M27" s="31" t="e">
        <f>IF(OR(ISBLANK(Invullen!D30),ISBLANK(Invullen!#REF!)),NA(),Invullen!K30+(Invullen!#REF!/60)-Invullen!D30+(Invullen!#REF!/60))</f>
        <v>#REF!</v>
      </c>
      <c r="N27" s="31">
        <f>IF(ISBLANK(Invullen!G30),NA(),IF(Invullen!G30=0,0,(FLOOR(Invullen!G30/100,1)+(Invullen!G30-FLOOR(Invullen!G30/100,1)*100)/60)))</f>
        <v>2.4166666666666665</v>
      </c>
      <c r="O27" s="31">
        <f>IF(ISBLANK(Invullen!F30),NA(),IF(Invullen!F30=0,0,(FLOOR(Invullen!F30/100,1)+(Invullen!F30-FLOOR(Invullen!F30/100,1)*100)/60)))</f>
        <v>51.31666666666667</v>
      </c>
      <c r="P27" s="32" t="str">
        <f>IF(ISBLANK(Invullen!F30),NA(),DegtoICES(O27,N27," "))</f>
        <v>31 F2</v>
      </c>
      <c r="Q27" s="33" t="str">
        <f t="shared" ca="1" si="0"/>
        <v>IVc</v>
      </c>
      <c r="R27" s="41"/>
      <c r="S27" s="38">
        <f>HLOOKUP($S$1,Invullen!$N$3:$AJ$254,T27,FALSE)</f>
        <v>15</v>
      </c>
      <c r="T27" s="38">
        <v>28</v>
      </c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</row>
    <row r="28" spans="1:35" s="30" customFormat="1" ht="24" customHeight="1" x14ac:dyDescent="0.3">
      <c r="A28" s="42" t="s">
        <v>1117</v>
      </c>
      <c r="B28" s="43"/>
      <c r="C28" s="43"/>
      <c r="D28" s="43"/>
      <c r="E28" s="43"/>
      <c r="F28" s="43"/>
      <c r="G28" s="43"/>
      <c r="H28" s="43"/>
      <c r="I28" s="43"/>
      <c r="J28" s="43"/>
      <c r="K28" s="44"/>
      <c r="M28" s="31" t="e">
        <f>IF(OR(ISBLANK(Invullen!D31),ISBLANK(Invullen!#REF!)),NA(),Invullen!K31+(Invullen!#REF!/60)-Invullen!D31+(Invullen!#REF!/60))</f>
        <v>#REF!</v>
      </c>
      <c r="N28" s="31">
        <f>IF(ISBLANK(Invullen!G31),NA(),IF(Invullen!G31=0,0,(FLOOR(Invullen!G31/100,1)+(Invullen!G31-FLOOR(Invullen!G31/100,1)*100)/60)))</f>
        <v>2.3333333333333335</v>
      </c>
      <c r="O28" s="31">
        <f>IF(ISBLANK(Invullen!F31),NA(),IF(Invullen!F31=0,0,(FLOOR(Invullen!F31/100,1)+(Invullen!F31-FLOOR(Invullen!F31/100,1)*100)/60)))</f>
        <v>51.283333333333331</v>
      </c>
      <c r="P28" s="32" t="str">
        <f>IF(ISBLANK(Invullen!F31),NA(),DegtoICES(O28,N28," "))</f>
        <v>31 F2</v>
      </c>
      <c r="Q28" s="33" t="str">
        <f t="shared" ca="1" si="0"/>
        <v>IVc</v>
      </c>
      <c r="R28" s="41"/>
      <c r="S28" s="38">
        <f>HLOOKUP($S$1,Invullen!$N$3:$AJ$254,T28,FALSE)</f>
        <v>5</v>
      </c>
      <c r="T28" s="38">
        <v>29</v>
      </c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</row>
    <row r="29" spans="1:35" s="30" customFormat="1" ht="24" customHeight="1" x14ac:dyDescent="0.3">
      <c r="A29" s="42" t="s">
        <v>1118</v>
      </c>
      <c r="B29" s="43"/>
      <c r="C29" s="43"/>
      <c r="D29" s="43"/>
      <c r="E29" s="43"/>
      <c r="F29" s="43"/>
      <c r="G29" s="43"/>
      <c r="H29" s="43"/>
      <c r="I29" s="43"/>
      <c r="J29" s="43"/>
      <c r="K29" s="44"/>
      <c r="M29" s="31" t="e">
        <f>IF(OR(ISBLANK(Invullen!D32),ISBLANK(Invullen!#REF!)),NA(),Invullen!K32+(Invullen!#REF!/60)-Invullen!D32+(Invullen!#REF!/60))</f>
        <v>#REF!</v>
      </c>
      <c r="N29" s="31">
        <f>IF(ISBLANK(Invullen!G32),NA(),IF(Invullen!G32=0,0,(FLOOR(Invullen!G32/100,1)+(Invullen!G32-FLOOR(Invullen!G32/100,1)*100)/60)))</f>
        <v>2.4</v>
      </c>
      <c r="O29" s="31">
        <f>IF(ISBLANK(Invullen!F32),NA(),IF(Invullen!F32=0,0,(FLOOR(Invullen!F32/100,1)+(Invullen!F32-FLOOR(Invullen!F32/100,1)*100)/60)))</f>
        <v>51.31666666666667</v>
      </c>
      <c r="P29" s="32" t="str">
        <f>IF(ISBLANK(Invullen!F32),NA(),DegtoICES(O29,N29," "))</f>
        <v>31 F2</v>
      </c>
      <c r="Q29" s="33" t="str">
        <f t="shared" ca="1" si="0"/>
        <v>IVc</v>
      </c>
      <c r="R29" s="41"/>
      <c r="S29" s="38">
        <f>HLOOKUP($S$1,Invullen!$N$3:$AJ$254,T29,FALSE)</f>
        <v>15</v>
      </c>
      <c r="T29" s="38">
        <v>30</v>
      </c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</row>
    <row r="30" spans="1:35" s="30" customFormat="1" ht="24" customHeight="1" x14ac:dyDescent="0.3">
      <c r="K30" s="39"/>
      <c r="M30" s="31" t="e">
        <f>IF(OR(ISBLANK(Invullen!D33),ISBLANK(Invullen!#REF!)),NA(),Invullen!K33+(Invullen!#REF!/60)-Invullen!D33+(Invullen!#REF!/60))</f>
        <v>#REF!</v>
      </c>
      <c r="N30" s="31">
        <f>IF(ISBLANK(Invullen!G33),NA(),IF(Invullen!G33=0,0,(FLOOR(Invullen!G33/100,1)+(Invullen!G33-FLOOR(Invullen!G33/100,1)*100)/60)))</f>
        <v>2.3833333333333333</v>
      </c>
      <c r="O30" s="31">
        <f>IF(ISBLANK(Invullen!F33),NA(),IF(Invullen!F33=0,0,(FLOOR(Invullen!F33/100,1)+(Invullen!F33-FLOOR(Invullen!F33/100,1)*100)/60)))</f>
        <v>51.31666666666667</v>
      </c>
      <c r="P30" s="32" t="str">
        <f>IF(ISBLANK(Invullen!F33),NA(),DegtoICES(O30,N30," "))</f>
        <v>31 F2</v>
      </c>
      <c r="Q30" s="33" t="str">
        <f t="shared" ca="1" si="0"/>
        <v>IVc</v>
      </c>
      <c r="R30" s="41"/>
      <c r="S30" s="38">
        <f>HLOOKUP($S$1,Invullen!$N$3:$AJ$254,T30,FALSE)</f>
        <v>20</v>
      </c>
      <c r="T30" s="38">
        <v>31</v>
      </c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</row>
    <row r="31" spans="1:35" s="30" customFormat="1" ht="24" customHeight="1" x14ac:dyDescent="0.3">
      <c r="K31" s="39"/>
      <c r="M31" s="31" t="e">
        <f>IF(OR(ISBLANK(Invullen!D34),ISBLANK(Invullen!#REF!)),NA(),Invullen!K34+(Invullen!#REF!/60)-Invullen!D34+(Invullen!#REF!/60))</f>
        <v>#REF!</v>
      </c>
      <c r="N31" s="31">
        <f>IF(ISBLANK(Invullen!G34),NA(),IF(Invullen!G34=0,0,(FLOOR(Invullen!G34/100,1)+(Invullen!G34-FLOOR(Invullen!G34/100,1)*100)/60)))</f>
        <v>2.4500000000000002</v>
      </c>
      <c r="O31" s="31">
        <f>IF(ISBLANK(Invullen!F34),NA(),IF(Invullen!F34=0,0,(FLOOR(Invullen!F34/100,1)+(Invullen!F34-FLOOR(Invullen!F34/100,1)*100)/60)))</f>
        <v>51.31666666666667</v>
      </c>
      <c r="P31" s="32" t="str">
        <f>IF(ISBLANK(Invullen!F34),NA(),DegtoICES(O31,N31," "))</f>
        <v>31 F2</v>
      </c>
      <c r="Q31" s="33" t="str">
        <f t="shared" ca="1" si="0"/>
        <v>IVc</v>
      </c>
      <c r="R31" s="41"/>
      <c r="S31" s="38">
        <f>HLOOKUP($S$1,Invullen!$N$3:$AJ$254,T31,FALSE)</f>
        <v>20</v>
      </c>
      <c r="T31" s="38">
        <v>32</v>
      </c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</row>
    <row r="32" spans="1:35" s="30" customFormat="1" ht="24" customHeight="1" x14ac:dyDescent="0.3">
      <c r="K32" s="39"/>
      <c r="M32" s="31" t="e">
        <f>IF(OR(ISBLANK(Invullen!D35),ISBLANK(Invullen!#REF!)),NA(),Invullen!K35+(Invullen!#REF!/60)-Invullen!D35+(Invullen!#REF!/60))</f>
        <v>#REF!</v>
      </c>
      <c r="N32" s="31">
        <f>IF(ISBLANK(Invullen!G35),NA(),IF(Invullen!G35=0,0,(FLOOR(Invullen!G35/100,1)+(Invullen!G35-FLOOR(Invullen!G35/100,1)*100)/60)))</f>
        <v>2.4500000000000002</v>
      </c>
      <c r="O32" s="31">
        <f>IF(ISBLANK(Invullen!F35),NA(),IF(Invullen!F35=0,0,(FLOOR(Invullen!F35/100,1)+(Invullen!F35-FLOOR(Invullen!F35/100,1)*100)/60)))</f>
        <v>51.31666666666667</v>
      </c>
      <c r="P32" s="32" t="str">
        <f>IF(ISBLANK(Invullen!F35),NA(),DegtoICES(O32,N32," "))</f>
        <v>31 F2</v>
      </c>
      <c r="Q32" s="33" t="str">
        <f t="shared" ca="1" si="0"/>
        <v>IVc</v>
      </c>
      <c r="R32" s="41"/>
      <c r="S32" s="38">
        <f>HLOOKUP($S$1,Invullen!$N$3:$AJ$254,T32,FALSE)</f>
        <v>25</v>
      </c>
      <c r="T32" s="38">
        <v>33</v>
      </c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</row>
    <row r="33" spans="11:35" s="30" customFormat="1" ht="24" customHeight="1" x14ac:dyDescent="0.3">
      <c r="K33" s="39"/>
      <c r="M33" s="31" t="e">
        <f>IF(OR(ISBLANK(Invullen!D36),ISBLANK(Invullen!#REF!)),NA(),Invullen!K36+(Invullen!#REF!/60)-Invullen!D36+(Invullen!#REF!/60))</f>
        <v>#REF!</v>
      </c>
      <c r="N33" s="31">
        <f>IF(ISBLANK(Invullen!G36),NA(),IF(Invullen!G36=0,0,(FLOOR(Invullen!G36/100,1)+(Invullen!G36-FLOOR(Invullen!G36/100,1)*100)/60)))</f>
        <v>2.4333333333333336</v>
      </c>
      <c r="O33" s="31">
        <f>IF(ISBLANK(Invullen!F36),NA(),IF(Invullen!F36=0,0,(FLOOR(Invullen!F36/100,1)+(Invullen!F36-FLOOR(Invullen!F36/100,1)*100)/60)))</f>
        <v>51.3</v>
      </c>
      <c r="P33" s="32" t="str">
        <f>IF(ISBLANK(Invullen!F36),NA(),DegtoICES(O33,N33," "))</f>
        <v>31 F2</v>
      </c>
      <c r="Q33" s="33" t="str">
        <f t="shared" ca="1" si="0"/>
        <v>IVc</v>
      </c>
      <c r="R33" s="41"/>
      <c r="S33" s="38">
        <f>HLOOKUP($S$1,Invullen!$N$3:$AJ$254,T33,FALSE)</f>
        <v>45</v>
      </c>
      <c r="T33" s="38">
        <v>34</v>
      </c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</row>
    <row r="34" spans="11:35" s="30" customFormat="1" ht="24" customHeight="1" x14ac:dyDescent="0.3">
      <c r="K34" s="39"/>
      <c r="M34" s="31" t="e">
        <f>IF(OR(ISBLANK(Invullen!D37),ISBLANK(Invullen!#REF!)),NA(),Invullen!K37+(Invullen!#REF!/60)-Invullen!D37+(Invullen!#REF!/60))</f>
        <v>#REF!</v>
      </c>
      <c r="N34" s="31">
        <f>IF(ISBLANK(Invullen!G37),NA(),IF(Invullen!G37=0,0,(FLOOR(Invullen!G37/100,1)+(Invullen!G37-FLOOR(Invullen!G37/100,1)*100)/60)))</f>
        <v>2.4333333333333336</v>
      </c>
      <c r="O34" s="31">
        <f>IF(ISBLANK(Invullen!F37),NA(),IF(Invullen!F37=0,0,(FLOOR(Invullen!F37/100,1)+(Invullen!F37-FLOOR(Invullen!F37/100,1)*100)/60)))</f>
        <v>51.3</v>
      </c>
      <c r="P34" s="32" t="str">
        <f>IF(ISBLANK(Invullen!F37),NA(),DegtoICES(O34,N34," "))</f>
        <v>31 F2</v>
      </c>
      <c r="Q34" s="33" t="str">
        <f t="shared" ref="Q34:Q51" ca="1" si="1">VLOOKUP(P34,Rect,2,FALSE)</f>
        <v>IVc</v>
      </c>
      <c r="R34" s="41"/>
      <c r="S34" s="38">
        <f>HLOOKUP($S$1,Invullen!$N$3:$AJ$254,T34,FALSE)</f>
        <v>35</v>
      </c>
      <c r="T34" s="38">
        <v>35</v>
      </c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</row>
    <row r="35" spans="11:35" s="30" customFormat="1" ht="24" customHeight="1" x14ac:dyDescent="0.3">
      <c r="K35" s="39"/>
      <c r="M35" s="31" t="e">
        <f>IF(OR(ISBLANK(Invullen!D38),ISBLANK(Invullen!#REF!)),NA(),Invullen!K38+(Invullen!#REF!/60)-Invullen!D38+(Invullen!#REF!/60))</f>
        <v>#REF!</v>
      </c>
      <c r="N35" s="31">
        <f>IF(ISBLANK(Invullen!G38),NA(),IF(Invullen!G38=0,0,(FLOOR(Invullen!G38/100,1)+(Invullen!G38-FLOOR(Invullen!G38/100,1)*100)/60)))</f>
        <v>2.4333333333333336</v>
      </c>
      <c r="O35" s="31">
        <f>IF(ISBLANK(Invullen!F38),NA(),IF(Invullen!F38=0,0,(FLOOR(Invullen!F38/100,1)+(Invullen!F38-FLOOR(Invullen!F38/100,1)*100)/60)))</f>
        <v>51.3</v>
      </c>
      <c r="P35" s="32" t="str">
        <f>IF(ISBLANK(Invullen!F38),NA(),DegtoICES(O35,N35," "))</f>
        <v>31 F2</v>
      </c>
      <c r="Q35" s="33" t="str">
        <f t="shared" ca="1" si="1"/>
        <v>IVc</v>
      </c>
      <c r="R35" s="41"/>
      <c r="S35" s="38">
        <f>HLOOKUP($S$1,Invullen!$N$3:$AJ$254,T35,FALSE)</f>
        <v>25</v>
      </c>
      <c r="T35" s="38">
        <v>36</v>
      </c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</row>
    <row r="36" spans="11:35" s="30" customFormat="1" ht="24" customHeight="1" x14ac:dyDescent="0.3">
      <c r="K36" s="39"/>
      <c r="M36" s="31" t="e">
        <f>IF(OR(ISBLANK(Invullen!D39),ISBLANK(Invullen!#REF!)),NA(),Invullen!K39+(Invullen!#REF!/60)-Invullen!D39+(Invullen!#REF!/60))</f>
        <v>#REF!</v>
      </c>
      <c r="N36" s="31">
        <f>IF(ISBLANK(Invullen!G39),NA(),IF(Invullen!G39=0,0,(FLOOR(Invullen!G39/100,1)+(Invullen!G39-FLOOR(Invullen!G39/100,1)*100)/60)))</f>
        <v>2.4333333333333336</v>
      </c>
      <c r="O36" s="31">
        <f>IF(ISBLANK(Invullen!F39),NA(),IF(Invullen!F39=0,0,(FLOOR(Invullen!F39/100,1)+(Invullen!F39-FLOOR(Invullen!F39/100,1)*100)/60)))</f>
        <v>51.3</v>
      </c>
      <c r="P36" s="32" t="str">
        <f>IF(ISBLANK(Invullen!F39),NA(),DegtoICES(O36,N36," "))</f>
        <v>31 F2</v>
      </c>
      <c r="Q36" s="33" t="str">
        <f t="shared" ca="1" si="1"/>
        <v>IVc</v>
      </c>
      <c r="R36" s="41"/>
      <c r="S36" s="38">
        <f>HLOOKUP($S$1,Invullen!$N$3:$AJ$254,T36,FALSE)</f>
        <v>25</v>
      </c>
      <c r="T36" s="38">
        <v>37</v>
      </c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</row>
    <row r="37" spans="11:35" s="30" customFormat="1" ht="24" customHeight="1" x14ac:dyDescent="0.3">
      <c r="K37" s="39"/>
      <c r="M37" s="31" t="e">
        <f>IF(OR(ISBLANK(Invullen!D40),ISBLANK(Invullen!#REF!)),NA(),Invullen!K40+(Invullen!#REF!/60)-Invullen!D40+(Invullen!#REF!/60))</f>
        <v>#REF!</v>
      </c>
      <c r="N37" s="31">
        <f>IF(ISBLANK(Invullen!G40),NA(),IF(Invullen!G40=0,0,(FLOOR(Invullen!G40/100,1)+(Invullen!G40-FLOOR(Invullen!G40/100,1)*100)/60)))</f>
        <v>2.4500000000000002</v>
      </c>
      <c r="O37" s="31">
        <f>IF(ISBLANK(Invullen!F40),NA(),IF(Invullen!F40=0,0,(FLOOR(Invullen!F40/100,1)+(Invullen!F40-FLOOR(Invullen!F40/100,1)*100)/60)))</f>
        <v>51.31666666666667</v>
      </c>
      <c r="P37" s="32" t="str">
        <f>IF(ISBLANK(Invullen!F40),NA(),DegtoICES(O37,N37," "))</f>
        <v>31 F2</v>
      </c>
      <c r="Q37" s="33" t="str">
        <f t="shared" ca="1" si="1"/>
        <v>IVc</v>
      </c>
      <c r="R37" s="41"/>
      <c r="S37" s="38">
        <f>HLOOKUP($S$1,Invullen!$N$3:$AJ$254,T37,FALSE)</f>
        <v>25</v>
      </c>
      <c r="T37" s="38">
        <v>38</v>
      </c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</row>
    <row r="38" spans="11:35" s="30" customFormat="1" ht="24" customHeight="1" x14ac:dyDescent="0.3">
      <c r="K38" s="39"/>
      <c r="M38" s="31" t="e">
        <f>IF(OR(ISBLANK(Invullen!D41),ISBLANK(Invullen!#REF!)),NA(),Invullen!K41+(Invullen!#REF!/60)-Invullen!D41+(Invullen!#REF!/60))</f>
        <v>#REF!</v>
      </c>
      <c r="N38" s="31">
        <f>IF(ISBLANK(Invullen!G41),NA(),IF(Invullen!G41=0,0,(FLOOR(Invullen!G41/100,1)+(Invullen!G41-FLOOR(Invullen!G41/100,1)*100)/60)))</f>
        <v>2.4666666666666668</v>
      </c>
      <c r="O38" s="31">
        <f>IF(ISBLANK(Invullen!F41),NA(),IF(Invullen!F41=0,0,(FLOOR(Invullen!F41/100,1)+(Invullen!F41-FLOOR(Invullen!F41/100,1)*100)/60)))</f>
        <v>51.333333333333336</v>
      </c>
      <c r="P38" s="32" t="str">
        <f>IF(ISBLANK(Invullen!F41),NA(),DegtoICES(O38,N38," "))</f>
        <v>31 F2</v>
      </c>
      <c r="Q38" s="33" t="str">
        <f t="shared" ca="1" si="1"/>
        <v>IVc</v>
      </c>
      <c r="R38" s="41"/>
      <c r="S38" s="38">
        <f>HLOOKUP($S$1,Invullen!$N$3:$AJ$254,T38,FALSE)</f>
        <v>10</v>
      </c>
      <c r="T38" s="38">
        <v>39</v>
      </c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</row>
    <row r="39" spans="11:35" s="30" customFormat="1" ht="24" customHeight="1" x14ac:dyDescent="0.3">
      <c r="K39" s="39"/>
      <c r="M39" s="31" t="e">
        <f>IF(OR(ISBLANK(Invullen!D42),ISBLANK(Invullen!#REF!)),NA(),Invullen!K42+(Invullen!#REF!/60)-Invullen!D42+(Invullen!#REF!/60))</f>
        <v>#REF!</v>
      </c>
      <c r="N39" s="31">
        <f>IF(ISBLANK(Invullen!G42),NA(),IF(Invullen!G42=0,0,(FLOOR(Invullen!G42/100,1)+(Invullen!G42-FLOOR(Invullen!G42/100,1)*100)/60)))</f>
        <v>2.4333333333333336</v>
      </c>
      <c r="O39" s="31">
        <f>IF(ISBLANK(Invullen!F42),NA(),IF(Invullen!F42=0,0,(FLOOR(Invullen!F42/100,1)+(Invullen!F42-FLOOR(Invullen!F42/100,1)*100)/60)))</f>
        <v>51.283333333333331</v>
      </c>
      <c r="P39" s="32" t="str">
        <f>IF(ISBLANK(Invullen!F42),NA(),DegtoICES(O39,N39," "))</f>
        <v>31 F2</v>
      </c>
      <c r="Q39" s="33" t="str">
        <f t="shared" ca="1" si="1"/>
        <v>IVc</v>
      </c>
      <c r="R39" s="41"/>
      <c r="S39" s="38">
        <f>HLOOKUP($S$1,Invullen!$N$3:$AJ$254,T39,FALSE)</f>
        <v>20</v>
      </c>
      <c r="T39" s="38">
        <v>40</v>
      </c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</row>
    <row r="40" spans="11:35" s="30" customFormat="1" ht="24" customHeight="1" x14ac:dyDescent="0.3">
      <c r="K40" s="39"/>
      <c r="M40" s="31" t="e">
        <f>IF(OR(ISBLANK(Invullen!D43),ISBLANK(Invullen!#REF!)),NA(),Invullen!K43+(Invullen!#REF!/60)-Invullen!D43+(Invullen!#REF!/60))</f>
        <v>#REF!</v>
      </c>
      <c r="N40" s="31">
        <f>IF(ISBLANK(Invullen!G43),NA(),IF(Invullen!G43=0,0,(FLOOR(Invullen!G43/100,1)+(Invullen!G43-FLOOR(Invullen!G43/100,1)*100)/60)))</f>
        <v>2.4666666666666668</v>
      </c>
      <c r="O40" s="31">
        <f>IF(ISBLANK(Invullen!F43),NA(),IF(Invullen!F43=0,0,(FLOOR(Invullen!F43/100,1)+(Invullen!F43-FLOOR(Invullen!F43/100,1)*100)/60)))</f>
        <v>51.31666666666667</v>
      </c>
      <c r="P40" s="32" t="str">
        <f>IF(ISBLANK(Invullen!F43),NA(),DegtoICES(O40,N40," "))</f>
        <v>31 F2</v>
      </c>
      <c r="Q40" s="33" t="str">
        <f t="shared" ca="1" si="1"/>
        <v>IVc</v>
      </c>
      <c r="R40" s="41"/>
      <c r="S40" s="38">
        <f>HLOOKUP($S$1,Invullen!$N$3:$AJ$254,T40,FALSE)</f>
        <v>20</v>
      </c>
      <c r="T40" s="38">
        <v>41</v>
      </c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</row>
    <row r="41" spans="11:35" s="30" customFormat="1" ht="24" customHeight="1" x14ac:dyDescent="0.3">
      <c r="K41" s="39"/>
      <c r="M41" s="31" t="e">
        <f>IF(OR(ISBLANK(Invullen!D44),ISBLANK(Invullen!#REF!)),NA(),Invullen!K44+(Invullen!#REF!/60)-Invullen!D44+(Invullen!#REF!/60))</f>
        <v>#REF!</v>
      </c>
      <c r="N41" s="31">
        <f>IF(ISBLANK(Invullen!G44),NA(),IF(Invullen!G44=0,0,(FLOOR(Invullen!G44/100,1)+(Invullen!G44-FLOOR(Invullen!G44/100,1)*100)/60)))</f>
        <v>2.3833333333333333</v>
      </c>
      <c r="O41" s="31">
        <f>IF(ISBLANK(Invullen!F44),NA(),IF(Invullen!F44=0,0,(FLOOR(Invullen!F44/100,1)+(Invullen!F44-FLOOR(Invullen!F44/100,1)*100)/60)))</f>
        <v>51.25</v>
      </c>
      <c r="P41" s="32" t="str">
        <f>IF(ISBLANK(Invullen!F44),NA(),DegtoICES(O41,N41," "))</f>
        <v>31 F2</v>
      </c>
      <c r="Q41" s="33" t="str">
        <f t="shared" ca="1" si="1"/>
        <v>IVc</v>
      </c>
      <c r="R41" s="41"/>
      <c r="S41" s="38">
        <f>HLOOKUP($S$1,Invullen!$N$3:$AJ$254,T41,FALSE)</f>
        <v>25</v>
      </c>
      <c r="T41" s="38">
        <v>42</v>
      </c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</row>
    <row r="42" spans="11:35" s="30" customFormat="1" ht="24" customHeight="1" x14ac:dyDescent="0.3">
      <c r="K42" s="39"/>
      <c r="M42" s="31" t="e">
        <f>IF(OR(ISBLANK(Invullen!D45),ISBLANK(Invullen!#REF!)),NA(),Invullen!K45+(Invullen!#REF!/60)-Invullen!D45+(Invullen!#REF!/60))</f>
        <v>#REF!</v>
      </c>
      <c r="N42" s="31">
        <f>IF(ISBLANK(Invullen!G45),NA(),IF(Invullen!G45=0,0,(FLOOR(Invullen!G45/100,1)+(Invullen!G45-FLOOR(Invullen!G45/100,1)*100)/60)))</f>
        <v>2.4166666666666665</v>
      </c>
      <c r="O42" s="31">
        <f>IF(ISBLANK(Invullen!F45),NA(),IF(Invullen!F45=0,0,(FLOOR(Invullen!F45/100,1)+(Invullen!F45-FLOOR(Invullen!F45/100,1)*100)/60)))</f>
        <v>51.266666666666666</v>
      </c>
      <c r="P42" s="32" t="str">
        <f>IF(ISBLANK(Invullen!F45),NA(),DegtoICES(O42,N42," "))</f>
        <v>31 F2</v>
      </c>
      <c r="Q42" s="33" t="str">
        <f t="shared" ca="1" si="1"/>
        <v>IVc</v>
      </c>
      <c r="R42" s="41"/>
      <c r="S42" s="38">
        <f>HLOOKUP($S$1,Invullen!$N$3:$AJ$254,T42,FALSE)</f>
        <v>25</v>
      </c>
      <c r="T42" s="38">
        <v>43</v>
      </c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</row>
    <row r="43" spans="11:35" s="30" customFormat="1" ht="24" customHeight="1" x14ac:dyDescent="0.3">
      <c r="K43" s="39"/>
      <c r="M43" s="31" t="e">
        <f>IF(OR(ISBLANK(Invullen!D46),ISBLANK(Invullen!#REF!)),NA(),Invullen!K46+(Invullen!#REF!/60)-Invullen!D46+(Invullen!#REF!/60))</f>
        <v>#REF!</v>
      </c>
      <c r="N43" s="31">
        <f>IF(ISBLANK(Invullen!G46),NA(),IF(Invullen!G46=0,0,(FLOOR(Invullen!G46/100,1)+(Invullen!G46-FLOOR(Invullen!G46/100,1)*100)/60)))</f>
        <v>2.4</v>
      </c>
      <c r="O43" s="31">
        <f>IF(ISBLANK(Invullen!F46),NA(),IF(Invullen!F46=0,0,(FLOOR(Invullen!F46/100,1)+(Invullen!F46-FLOOR(Invullen!F46/100,1)*100)/60)))</f>
        <v>51.266666666666666</v>
      </c>
      <c r="P43" s="32" t="str">
        <f>IF(ISBLANK(Invullen!F46),NA(),DegtoICES(O43,N43," "))</f>
        <v>31 F2</v>
      </c>
      <c r="Q43" s="33" t="str">
        <f t="shared" ca="1" si="1"/>
        <v>IVc</v>
      </c>
      <c r="R43" s="41"/>
      <c r="S43" s="38">
        <f>HLOOKUP($S$1,Invullen!$N$3:$AJ$254,T43,FALSE)</f>
        <v>15</v>
      </c>
      <c r="T43" s="38">
        <v>44</v>
      </c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</row>
    <row r="44" spans="11:35" s="30" customFormat="1" ht="24" customHeight="1" x14ac:dyDescent="0.3">
      <c r="K44" s="39"/>
      <c r="M44" s="31" t="e">
        <f>IF(OR(ISBLANK(Invullen!D47),ISBLANK(Invullen!#REF!)),NA(),Invullen!K47+(Invullen!#REF!/60)-Invullen!D47+(Invullen!#REF!/60))</f>
        <v>#REF!</v>
      </c>
      <c r="N44" s="31">
        <f>IF(ISBLANK(Invullen!G47),NA(),IF(Invullen!G47=0,0,(FLOOR(Invullen!G47/100,1)+(Invullen!G47-FLOOR(Invullen!G47/100,1)*100)/60)))</f>
        <v>2.4</v>
      </c>
      <c r="O44" s="31">
        <f>IF(ISBLANK(Invullen!F47),NA(),IF(Invullen!F47=0,0,(FLOOR(Invullen!F47/100,1)+(Invullen!F47-FLOOR(Invullen!F47/100,1)*100)/60)))</f>
        <v>51.283333333333331</v>
      </c>
      <c r="P44" s="32" t="str">
        <f>IF(ISBLANK(Invullen!F47),NA(),DegtoICES(O44,N44," "))</f>
        <v>31 F2</v>
      </c>
      <c r="Q44" s="33" t="str">
        <f t="shared" ca="1" si="1"/>
        <v>IVc</v>
      </c>
      <c r="R44" s="41"/>
      <c r="S44" s="38">
        <f>HLOOKUP($S$1,Invullen!$N$3:$AJ$254,T44,FALSE)</f>
        <v>15</v>
      </c>
      <c r="T44" s="38">
        <v>45</v>
      </c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</row>
    <row r="45" spans="11:35" s="30" customFormat="1" ht="24" customHeight="1" x14ac:dyDescent="0.3">
      <c r="K45" s="39"/>
      <c r="M45" s="31" t="e">
        <f>IF(OR(ISBLANK(Invullen!D48),ISBLANK(Invullen!#REF!)),NA(),Invullen!K48+(Invullen!#REF!/60)-Invullen!D48+(Invullen!#REF!/60))</f>
        <v>#REF!</v>
      </c>
      <c r="N45" s="31">
        <f>IF(ISBLANK(Invullen!G48),NA(),IF(Invullen!G48=0,0,(FLOOR(Invullen!G48/100,1)+(Invullen!G48-FLOOR(Invullen!G48/100,1)*100)/60)))</f>
        <v>2.3666666666666667</v>
      </c>
      <c r="O45" s="31">
        <f>IF(ISBLANK(Invullen!F48),NA(),IF(Invullen!F48=0,0,(FLOOR(Invullen!F48/100,1)+(Invullen!F48-FLOOR(Invullen!F48/100,1)*100)/60)))</f>
        <v>51.233333333333334</v>
      </c>
      <c r="P45" s="32" t="str">
        <f>IF(ISBLANK(Invullen!F48),NA(),DegtoICES(O45,N45," "))</f>
        <v>31 F2</v>
      </c>
      <c r="Q45" s="33" t="str">
        <f t="shared" ca="1" si="1"/>
        <v>IVc</v>
      </c>
      <c r="R45" s="41"/>
      <c r="S45" s="38">
        <f>HLOOKUP($S$1,Invullen!$N$3:$AJ$254,T45,FALSE)</f>
        <v>10</v>
      </c>
      <c r="T45" s="38">
        <v>46</v>
      </c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</row>
    <row r="46" spans="11:35" s="30" customFormat="1" ht="24" customHeight="1" x14ac:dyDescent="0.3">
      <c r="K46" s="39"/>
      <c r="M46" s="31" t="e">
        <f>IF(OR(ISBLANK(Invullen!D49),ISBLANK(Invullen!#REF!)),NA(),Invullen!K50+(Invullen!#REF!/60)-Invullen!D49+(Invullen!#REF!/60))</f>
        <v>#REF!</v>
      </c>
      <c r="N46" s="31">
        <f>IF(ISBLANK(Invullen!G49),NA(),IF(Invullen!G49=0,0,(FLOOR(Invullen!G49/100,1)+(Invullen!G49-FLOOR(Invullen!G49/100,1)*100)/60)))</f>
        <v>2.4166666666666665</v>
      </c>
      <c r="O46" s="31">
        <f>IF(ISBLANK(Invullen!F49),NA(),IF(Invullen!F49=0,0,(FLOOR(Invullen!F49/100,1)+(Invullen!F49-FLOOR(Invullen!F49/100,1)*100)/60)))</f>
        <v>51.283333333333331</v>
      </c>
      <c r="P46" s="32" t="str">
        <f>IF(ISBLANK(Invullen!F49),NA(),DegtoICES(O46,N46," "))</f>
        <v>31 F2</v>
      </c>
      <c r="Q46" s="33" t="str">
        <f t="shared" ca="1" si="1"/>
        <v>IVc</v>
      </c>
      <c r="R46" s="41"/>
      <c r="S46" s="38">
        <f>HLOOKUP($S$1,Invullen!$N$3:$AJ$254,T46,FALSE)</f>
        <v>15</v>
      </c>
      <c r="T46" s="38">
        <v>47</v>
      </c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</row>
    <row r="47" spans="11:35" s="30" customFormat="1" ht="24" customHeight="1" x14ac:dyDescent="0.3">
      <c r="K47" s="39"/>
      <c r="M47" s="31" t="e">
        <f>IF(OR(ISBLANK(Invullen!D50),ISBLANK(Invullen!#REF!)),NA(),Invullen!K51+(Invullen!#REF!/60)-Invullen!D50+(Invullen!#REF!/60))</f>
        <v>#REF!</v>
      </c>
      <c r="N47" s="31">
        <f>IF(ISBLANK(Invullen!G50),NA(),IF(Invullen!G50=0,0,(FLOOR(Invullen!G50/100,1)+(Invullen!G50-FLOOR(Invullen!G50/100,1)*100)/60)))</f>
        <v>2.4833333333333334</v>
      </c>
      <c r="O47" s="31">
        <f>IF(ISBLANK(Invullen!F50),NA(),IF(Invullen!F50=0,0,(FLOOR(Invullen!F50/100,1)+(Invullen!F50-FLOOR(Invullen!F50/100,1)*100)/60)))</f>
        <v>51.31666666666667</v>
      </c>
      <c r="P47" s="32" t="str">
        <f>IF(ISBLANK(Invullen!F50),NA(),DegtoICES(O47,N47," "))</f>
        <v>31 F2</v>
      </c>
      <c r="Q47" s="33" t="str">
        <f t="shared" ca="1" si="1"/>
        <v>IVc</v>
      </c>
      <c r="R47" s="41"/>
      <c r="S47" s="38">
        <f>HLOOKUP($S$1,Invullen!$N$3:$AJ$254,T47,FALSE)</f>
        <v>25</v>
      </c>
      <c r="T47" s="38">
        <v>48</v>
      </c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</row>
    <row r="48" spans="11:35" s="30" customFormat="1" ht="24" customHeight="1" x14ac:dyDescent="0.3">
      <c r="K48" s="39"/>
      <c r="M48" s="31" t="e">
        <f>IF(OR(ISBLANK(Invullen!D51),ISBLANK(Invullen!#REF!)),NA(),Invullen!K52+(Invullen!#REF!/60)-Invullen!D51+(Invullen!#REF!/60))</f>
        <v>#REF!</v>
      </c>
      <c r="N48" s="31">
        <f>IF(ISBLANK(Invullen!G51),NA(),IF(Invullen!G51=0,0,(FLOOR(Invullen!G51/100,1)+(Invullen!G51-FLOOR(Invullen!G51/100,1)*100)/60)))</f>
        <v>2.4666666666666668</v>
      </c>
      <c r="O48" s="31">
        <f>IF(ISBLANK(Invullen!F51),NA(),IF(Invullen!F51=0,0,(FLOOR(Invullen!F51/100,1)+(Invullen!F51-FLOOR(Invullen!F51/100,1)*100)/60)))</f>
        <v>51.3</v>
      </c>
      <c r="P48" s="32" t="str">
        <f>IF(ISBLANK(Invullen!F51),NA(),DegtoICES(O48,N48," "))</f>
        <v>31 F2</v>
      </c>
      <c r="Q48" s="33" t="str">
        <f t="shared" ca="1" si="1"/>
        <v>IVc</v>
      </c>
      <c r="R48" s="41"/>
      <c r="S48" s="38">
        <f>HLOOKUP($S$1,Invullen!$N$3:$AJ$254,T48,FALSE)</f>
        <v>20</v>
      </c>
      <c r="T48" s="38">
        <v>49</v>
      </c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</row>
    <row r="49" spans="11:35" s="30" customFormat="1" ht="24" customHeight="1" x14ac:dyDescent="0.3">
      <c r="K49" s="39"/>
      <c r="M49" s="31" t="e">
        <f>IF(OR(ISBLANK(Invullen!D52),ISBLANK(Invullen!#REF!)),NA(),Invullen!K53+(Invullen!#REF!/60)-Invullen!D52+(Invullen!#REF!/60))</f>
        <v>#REF!</v>
      </c>
      <c r="N49" s="31">
        <f>IF(ISBLANK(Invullen!G52),NA(),IF(Invullen!G52=0,0,(FLOOR(Invullen!G52/100,1)+(Invullen!G52-FLOOR(Invullen!G52/100,1)*100)/60)))</f>
        <v>2.4833333333333334</v>
      </c>
      <c r="O49" s="31">
        <f>IF(ISBLANK(Invullen!F52),NA(),IF(Invullen!F52=0,0,(FLOOR(Invullen!F52/100,1)+(Invullen!F52-FLOOR(Invullen!F52/100,1)*100)/60)))</f>
        <v>51.31666666666667</v>
      </c>
      <c r="P49" s="32" t="str">
        <f>IF(ISBLANK(Invullen!F52),NA(),DegtoICES(O49,N49," "))</f>
        <v>31 F2</v>
      </c>
      <c r="Q49" s="33" t="str">
        <f t="shared" ca="1" si="1"/>
        <v>IVc</v>
      </c>
      <c r="R49" s="41"/>
      <c r="S49" s="38">
        <f>HLOOKUP($S$1,Invullen!$N$3:$AJ$254,T49,FALSE)</f>
        <v>10</v>
      </c>
      <c r="T49" s="38">
        <v>50</v>
      </c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</row>
    <row r="50" spans="11:35" s="30" customFormat="1" ht="24" customHeight="1" x14ac:dyDescent="0.3">
      <c r="K50" s="39"/>
      <c r="M50" s="31" t="e">
        <f>IF(OR(ISBLANK(Invullen!D53),ISBLANK(Invullen!#REF!)),NA(),Invullen!K54+(Invullen!#REF!/60)-Invullen!D53+(Invullen!#REF!/60))</f>
        <v>#REF!</v>
      </c>
      <c r="N50" s="31">
        <f>IF(ISBLANK(Invullen!G53),NA(),IF(Invullen!G53=0,0,(FLOOR(Invullen!G53/100,1)+(Invullen!G53-FLOOR(Invullen!G53/100,1)*100)/60)))</f>
        <v>2.4333333333333336</v>
      </c>
      <c r="O50" s="31">
        <f>IF(ISBLANK(Invullen!F53),NA(),IF(Invullen!F53=0,0,(FLOOR(Invullen!F53/100,1)+(Invullen!F53-FLOOR(Invullen!F53/100,1)*100)/60)))</f>
        <v>51.283333333333331</v>
      </c>
      <c r="P50" s="32" t="str">
        <f>IF(ISBLANK(Invullen!F53),NA(),DegtoICES(O50,N50," "))</f>
        <v>31 F2</v>
      </c>
      <c r="Q50" s="33" t="str">
        <f t="shared" ca="1" si="1"/>
        <v>IVc</v>
      </c>
      <c r="R50" s="41"/>
      <c r="S50" s="38">
        <f>HLOOKUP($S$1,Invullen!$N$3:$AJ$254,T50,FALSE)</f>
        <v>10</v>
      </c>
      <c r="T50" s="38">
        <v>51</v>
      </c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</row>
    <row r="51" spans="11:35" s="30" customFormat="1" ht="24" customHeight="1" x14ac:dyDescent="0.3">
      <c r="K51" s="39"/>
      <c r="M51" s="31" t="e">
        <f>IF(OR(ISBLANK(Invullen!D54),ISBLANK(Invullen!#REF!)),NA(),Invullen!K55+(Invullen!#REF!/60)-Invullen!D54+(Invullen!#REF!/60))</f>
        <v>#REF!</v>
      </c>
      <c r="N51" s="31">
        <f>IF(ISBLANK(Invullen!G54),NA(),IF(Invullen!G54=0,0,(FLOOR(Invullen!G54/100,1)+(Invullen!G54-FLOOR(Invullen!G54/100,1)*100)/60)))</f>
        <v>2.3666666666666667</v>
      </c>
      <c r="O51" s="31">
        <f>IF(ISBLANK(Invullen!F54),NA(),IF(Invullen!F54=0,0,(FLOOR(Invullen!F54/100,1)+(Invullen!F54-FLOOR(Invullen!F54/100,1)*100)/60)))</f>
        <v>51.31666666666667</v>
      </c>
      <c r="P51" s="32" t="str">
        <f>IF(ISBLANK(Invullen!F54),NA(),DegtoICES(O51,N51," "))</f>
        <v>31 F2</v>
      </c>
      <c r="Q51" s="33" t="str">
        <f t="shared" ca="1" si="1"/>
        <v>IVc</v>
      </c>
      <c r="R51" s="41"/>
      <c r="S51" s="38">
        <f>HLOOKUP($S$1,Invullen!$N$3:$AJ$254,T51,FALSE)</f>
        <v>20</v>
      </c>
      <c r="T51" s="38">
        <v>52</v>
      </c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</row>
    <row r="52" spans="11:35" s="30" customFormat="1" ht="24" customHeight="1" x14ac:dyDescent="0.3">
      <c r="K52" s="39"/>
      <c r="M52" s="31" t="e">
        <f>IF(OR(ISBLANK(Invullen!D55),ISBLANK(Invullen!#REF!)),NA(),Invullen!K56+(Invullen!#REF!/60)-Invullen!D55+(Invullen!#REF!/60))</f>
        <v>#REF!</v>
      </c>
      <c r="N52" s="31">
        <f>IF(ISBLANK(Invullen!G55),NA(),IF(Invullen!G55=0,0,(FLOOR(Invullen!G55/100,1)+(Invullen!G55-FLOOR(Invullen!G55/100,1)*100)/60)))</f>
        <v>2.5</v>
      </c>
      <c r="O52" s="31">
        <f>IF(ISBLANK(Invullen!F55),NA(),IF(Invullen!F55=0,0,(FLOOR(Invullen!F55/100,1)+(Invullen!F55-FLOOR(Invullen!F55/100,1)*100)/60)))</f>
        <v>51.3</v>
      </c>
      <c r="P52" s="32" t="str">
        <f>IF(ISBLANK(Invullen!F55),NA(),DegtoICES(O52,N52," "))</f>
        <v>31 F2</v>
      </c>
      <c r="Q52" s="33" t="str">
        <f t="shared" ref="Q52:Q80" ca="1" si="2">VLOOKUP(P52,Rect,2,FALSE)</f>
        <v>IVc</v>
      </c>
      <c r="R52" s="41"/>
      <c r="S52" s="38">
        <f>HLOOKUP($S$1,Invullen!$N$3:$AJ$254,T52,FALSE)</f>
        <v>20</v>
      </c>
      <c r="T52" s="38">
        <v>53</v>
      </c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</row>
    <row r="53" spans="11:35" s="30" customFormat="1" ht="24" customHeight="1" x14ac:dyDescent="0.3">
      <c r="K53" s="39"/>
      <c r="M53" s="31" t="e">
        <f>IF(OR(ISBLANK(Invullen!D56),ISBLANK(Invullen!#REF!)),NA(),Invullen!K57+(Invullen!#REF!/60)-Invullen!D56+(Invullen!#REF!/60))</f>
        <v>#REF!</v>
      </c>
      <c r="N53" s="31">
        <f>IF(ISBLANK(Invullen!G56),NA(),IF(Invullen!G56=0,0,(FLOOR(Invullen!G56/100,1)+(Invullen!G56-FLOOR(Invullen!G56/100,1)*100)/60)))</f>
        <v>2.5</v>
      </c>
      <c r="O53" s="31">
        <f>IF(ISBLANK(Invullen!F56),NA(),IF(Invullen!F56=0,0,(FLOOR(Invullen!F56/100,1)+(Invullen!F56-FLOOR(Invullen!F56/100,1)*100)/60)))</f>
        <v>51.283333333333331</v>
      </c>
      <c r="P53" s="32" t="str">
        <f>IF(ISBLANK(Invullen!F56),NA(),DegtoICES(O53,N53," "))</f>
        <v>31 F2</v>
      </c>
      <c r="Q53" s="33" t="str">
        <f t="shared" ca="1" si="2"/>
        <v>IVc</v>
      </c>
      <c r="R53" s="41"/>
      <c r="S53" s="38">
        <f>HLOOKUP($S$1,Invullen!$N$3:$AJ$254,T53,FALSE)</f>
        <v>20</v>
      </c>
      <c r="T53" s="38">
        <v>54</v>
      </c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</row>
    <row r="54" spans="11:35" s="30" customFormat="1" ht="24" customHeight="1" x14ac:dyDescent="0.3">
      <c r="K54" s="39"/>
      <c r="M54" s="31" t="e">
        <f>IF(OR(ISBLANK(Invullen!D57),ISBLANK(Invullen!#REF!)),NA(),Invullen!K58+(Invullen!#REF!/60)-Invullen!D57+(Invullen!#REF!/60))</f>
        <v>#REF!</v>
      </c>
      <c r="N54" s="31">
        <f>IF(ISBLANK(Invullen!G57),NA(),IF(Invullen!G57=0,0,(FLOOR(Invullen!G57/100,1)+(Invullen!G57-FLOOR(Invullen!G57/100,1)*100)/60)))</f>
        <v>2.5</v>
      </c>
      <c r="O54" s="31">
        <f>IF(ISBLANK(Invullen!F57),NA(),IF(Invullen!F57=0,0,(FLOOR(Invullen!F57/100,1)+(Invullen!F57-FLOOR(Invullen!F57/100,1)*100)/60)))</f>
        <v>51.283333333333331</v>
      </c>
      <c r="P54" s="32" t="str">
        <f>IF(ISBLANK(Invullen!F57),NA(),DegtoICES(O54,N54," "))</f>
        <v>31 F2</v>
      </c>
      <c r="Q54" s="33" t="str">
        <f t="shared" ca="1" si="2"/>
        <v>IVc</v>
      </c>
      <c r="R54" s="41"/>
      <c r="S54" s="38">
        <f>HLOOKUP($S$1,Invullen!$N$3:$AJ$254,T54,FALSE)</f>
        <v>10</v>
      </c>
      <c r="T54" s="38">
        <v>55</v>
      </c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</row>
    <row r="55" spans="11:35" s="30" customFormat="1" ht="24" customHeight="1" x14ac:dyDescent="0.3">
      <c r="K55" s="39"/>
      <c r="M55" s="31" t="e">
        <f>IF(OR(ISBLANK(Invullen!D58),ISBLANK(Invullen!#REF!)),NA(),Invullen!K59+(Invullen!#REF!/60)-Invullen!D58+(Invullen!#REF!/60))</f>
        <v>#REF!</v>
      </c>
      <c r="N55" s="31">
        <f>IF(ISBLANK(Invullen!G58),NA(),IF(Invullen!G58=0,0,(FLOOR(Invullen!G58/100,1)+(Invullen!G58-FLOOR(Invullen!G58/100,1)*100)/60)))</f>
        <v>2.5</v>
      </c>
      <c r="O55" s="31">
        <f>IF(ISBLANK(Invullen!F58),NA(),IF(Invullen!F58=0,0,(FLOOR(Invullen!F58/100,1)+(Invullen!F58-FLOOR(Invullen!F58/100,1)*100)/60)))</f>
        <v>51.283333333333331</v>
      </c>
      <c r="P55" s="32" t="str">
        <f>IF(ISBLANK(Invullen!F58),NA(),DegtoICES(O55,N55," "))</f>
        <v>31 F2</v>
      </c>
      <c r="Q55" s="33" t="str">
        <f t="shared" ca="1" si="2"/>
        <v>IVc</v>
      </c>
      <c r="R55" s="41"/>
      <c r="S55" s="38">
        <f>HLOOKUP($S$1,Invullen!$N$3:$AJ$254,T55,FALSE)</f>
        <v>10</v>
      </c>
      <c r="T55" s="38">
        <v>56</v>
      </c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</row>
    <row r="56" spans="11:35" s="30" customFormat="1" ht="24" customHeight="1" x14ac:dyDescent="0.3">
      <c r="K56" s="39"/>
      <c r="M56" s="31" t="e">
        <f>IF(OR(ISBLANK(Invullen!D59),ISBLANK(Invullen!#REF!)),NA(),Invullen!K60+(Invullen!#REF!/60)-Invullen!D59+(Invullen!#REF!/60))</f>
        <v>#REF!</v>
      </c>
      <c r="N56" s="31">
        <f>IF(ISBLANK(Invullen!G59),NA(),IF(Invullen!G59=0,0,(FLOOR(Invullen!G59/100,1)+(Invullen!G59-FLOOR(Invullen!G59/100,1)*100)/60)))</f>
        <v>2.6666666666666665</v>
      </c>
      <c r="O56" s="31">
        <f>IF(ISBLANK(Invullen!F59),NA(),IF(Invullen!F59=0,0,(FLOOR(Invullen!F59/100,1)+(Invullen!F59-FLOOR(Invullen!F59/100,1)*100)/60)))</f>
        <v>51.333333333333336</v>
      </c>
      <c r="P56" s="32" t="str">
        <f>IF(ISBLANK(Invullen!F59),NA(),DegtoICES(O56,N56," "))</f>
        <v>31 F2</v>
      </c>
      <c r="Q56" s="33" t="str">
        <f t="shared" ca="1" si="2"/>
        <v>IVc</v>
      </c>
      <c r="R56" s="41"/>
      <c r="S56" s="38">
        <f>HLOOKUP($S$1,Invullen!$N$3:$AJ$254,T56,FALSE)</f>
        <v>10</v>
      </c>
      <c r="T56" s="38">
        <v>57</v>
      </c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</row>
    <row r="57" spans="11:35" s="30" customFormat="1" ht="24" customHeight="1" x14ac:dyDescent="0.3">
      <c r="K57" s="39"/>
      <c r="M57" s="31" t="e">
        <f>IF(OR(ISBLANK(Invullen!D60),ISBLANK(Invullen!#REF!)),NA(),Invullen!K61+(Invullen!#REF!/60)-Invullen!D60+(Invullen!#REF!/60))</f>
        <v>#REF!</v>
      </c>
      <c r="N57" s="31">
        <f>IF(ISBLANK(Invullen!G60),NA(),IF(Invullen!G60=0,0,(FLOOR(Invullen!G60/100,1)+(Invullen!G60-FLOOR(Invullen!G60/100,1)*100)/60)))</f>
        <v>2.7833333333333332</v>
      </c>
      <c r="O57" s="31">
        <f>IF(ISBLANK(Invullen!F60),NA(),IF(Invullen!F60=0,0,(FLOOR(Invullen!F60/100,1)+(Invullen!F60-FLOOR(Invullen!F60/100,1)*100)/60)))</f>
        <v>51.4</v>
      </c>
      <c r="P57" s="32" t="str">
        <f>IF(ISBLANK(Invullen!F60),NA(),DegtoICES(O57,N57," "))</f>
        <v>31 F2</v>
      </c>
      <c r="Q57" s="33" t="str">
        <f t="shared" ca="1" si="2"/>
        <v>IVc</v>
      </c>
      <c r="R57" s="41"/>
      <c r="S57" s="38">
        <f>HLOOKUP($S$1,Invullen!$N$3:$AJ$254,T57,FALSE)</f>
        <v>20</v>
      </c>
      <c r="T57" s="38">
        <v>58</v>
      </c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</row>
    <row r="58" spans="11:35" s="30" customFormat="1" ht="24" customHeight="1" x14ac:dyDescent="0.3">
      <c r="K58" s="39"/>
      <c r="M58" s="31" t="e">
        <f>IF(OR(ISBLANK(Invullen!D61),ISBLANK(Invullen!#REF!)),NA(),Invullen!K62+(Invullen!#REF!/60)-Invullen!D61+(Invullen!#REF!/60))</f>
        <v>#REF!</v>
      </c>
      <c r="N58" s="31">
        <f>IF(ISBLANK(Invullen!G61),NA(),IF(Invullen!G61=0,0,(FLOOR(Invullen!G61/100,1)+(Invullen!G61-FLOOR(Invullen!G61/100,1)*100)/60)))</f>
        <v>2.9666666666666668</v>
      </c>
      <c r="O58" s="31">
        <f>IF(ISBLANK(Invullen!F61),NA(),IF(Invullen!F61=0,0,(FLOOR(Invullen!F61/100,1)+(Invullen!F61-FLOOR(Invullen!F61/100,1)*100)/60)))</f>
        <v>51.466666666666669</v>
      </c>
      <c r="P58" s="32" t="str">
        <f>IF(ISBLANK(Invullen!F61),NA(),DegtoICES(O58,N58," "))</f>
        <v>31 F2</v>
      </c>
      <c r="Q58" s="33" t="str">
        <f t="shared" ca="1" si="2"/>
        <v>IVc</v>
      </c>
      <c r="R58" s="41"/>
      <c r="S58" s="38">
        <f>HLOOKUP($S$1,Invullen!$N$3:$AJ$254,T58,FALSE)</f>
        <v>20</v>
      </c>
      <c r="T58" s="38">
        <v>59</v>
      </c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</row>
    <row r="59" spans="11:35" s="30" customFormat="1" ht="24" customHeight="1" x14ac:dyDescent="0.3">
      <c r="K59" s="39"/>
      <c r="M59" s="31" t="e">
        <f>IF(OR(ISBLANK(Invullen!D62),ISBLANK(Invullen!#REF!)),NA(),Invullen!K63+(Invullen!#REF!/60)-Invullen!D62+(Invullen!#REF!/60))</f>
        <v>#REF!</v>
      </c>
      <c r="N59" s="31">
        <f>IF(ISBLANK(Invullen!G62),NA(),IF(Invullen!G62=0,0,(FLOOR(Invullen!G62/100,1)+(Invullen!G62-FLOOR(Invullen!G62/100,1)*100)/60)))</f>
        <v>3.0833333333333335</v>
      </c>
      <c r="O59" s="31">
        <f>IF(ISBLANK(Invullen!F62),NA(),IF(Invullen!F62=0,0,(FLOOR(Invullen!F62/100,1)+(Invullen!F62-FLOOR(Invullen!F62/100,1)*100)/60)))</f>
        <v>51.516666666666666</v>
      </c>
      <c r="P59" s="32" t="str">
        <f>IF(ISBLANK(Invullen!F62),NA(),DegtoICES(O59,N59," "))</f>
        <v>32 F3</v>
      </c>
      <c r="Q59" s="33" t="str">
        <f t="shared" ca="1" si="2"/>
        <v>IVc</v>
      </c>
      <c r="R59" s="41"/>
      <c r="S59" s="38">
        <f>HLOOKUP($S$1,Invullen!$N$3:$AJ$254,T59,FALSE)</f>
        <v>15</v>
      </c>
      <c r="T59" s="38">
        <v>60</v>
      </c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</row>
    <row r="60" spans="11:35" s="30" customFormat="1" ht="24" customHeight="1" x14ac:dyDescent="0.3">
      <c r="K60" s="39"/>
      <c r="M60" s="31" t="e">
        <f>IF(OR(ISBLANK(Invullen!D63),ISBLANK(Invullen!#REF!)),NA(),Invullen!K64+(Invullen!#REF!/60)-Invullen!D63+(Invullen!#REF!/60))</f>
        <v>#REF!</v>
      </c>
      <c r="N60" s="31">
        <f>IF(ISBLANK(Invullen!G63),NA(),IF(Invullen!G63=0,0,(FLOOR(Invullen!G63/100,1)+(Invullen!G63-FLOOR(Invullen!G63/100,1)*100)/60)))</f>
        <v>3</v>
      </c>
      <c r="O60" s="31">
        <f>IF(ISBLANK(Invullen!F63),NA(),IF(Invullen!F63=0,0,(FLOOR(Invullen!F63/100,1)+(Invullen!F63-FLOOR(Invullen!F63/100,1)*100)/60)))</f>
        <v>51.483333333333334</v>
      </c>
      <c r="P60" s="32" t="str">
        <f>IF(ISBLANK(Invullen!F63),NA(),DegtoICES(O60,N60," "))</f>
        <v>31 F3</v>
      </c>
      <c r="Q60" s="33" t="e">
        <f t="shared" ca="1" si="2"/>
        <v>#N/A</v>
      </c>
      <c r="R60" s="41"/>
      <c r="S60" s="38">
        <f>HLOOKUP($S$1,Invullen!$N$3:$AJ$254,T60,FALSE)</f>
        <v>15</v>
      </c>
      <c r="T60" s="38">
        <v>61</v>
      </c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</row>
    <row r="61" spans="11:35" s="30" customFormat="1" ht="24" customHeight="1" x14ac:dyDescent="0.3">
      <c r="K61" s="39"/>
      <c r="M61" s="31" t="e">
        <f>IF(OR(ISBLANK(Invullen!D64),ISBLANK(Invullen!#REF!)),NA(),Invullen!K65+(Invullen!#REF!/60)-Invullen!D64+(Invullen!#REF!/60))</f>
        <v>#REF!</v>
      </c>
      <c r="N61" s="31">
        <f>IF(ISBLANK(Invullen!G64),NA(),IF(Invullen!G64=0,0,(FLOOR(Invullen!G64/100,1)+(Invullen!G64-FLOOR(Invullen!G64/100,1)*100)/60)))</f>
        <v>2.9333333333333336</v>
      </c>
      <c r="O61" s="31">
        <f>IF(ISBLANK(Invullen!F64),NA(),IF(Invullen!F64=0,0,(FLOOR(Invullen!F64/100,1)+(Invullen!F64-FLOOR(Invullen!F64/100,1)*100)/60)))</f>
        <v>51.45</v>
      </c>
      <c r="P61" s="32" t="str">
        <f>IF(ISBLANK(Invullen!F64),NA(),DegtoICES(O61,N61," "))</f>
        <v>31 F2</v>
      </c>
      <c r="Q61" s="33" t="str">
        <f t="shared" ca="1" si="2"/>
        <v>IVc</v>
      </c>
      <c r="R61" s="41"/>
      <c r="S61" s="38">
        <f>HLOOKUP($S$1,Invullen!$N$3:$AJ$254,T61,FALSE)</f>
        <v>15</v>
      </c>
      <c r="T61" s="38">
        <v>62</v>
      </c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</row>
    <row r="62" spans="11:35" s="30" customFormat="1" ht="24" customHeight="1" x14ac:dyDescent="0.3">
      <c r="K62" s="39"/>
      <c r="M62" s="31" t="e">
        <f>IF(OR(ISBLANK(Invullen!D65),ISBLANK(Invullen!#REF!)),NA(),Invullen!K66+(Invullen!#REF!/60)-Invullen!D65+(Invullen!#REF!/60))</f>
        <v>#REF!</v>
      </c>
      <c r="N62" s="31">
        <f>IF(ISBLANK(Invullen!G65),NA(),IF(Invullen!G65=0,0,(FLOOR(Invullen!G65/100,1)+(Invullen!G65-FLOOR(Invullen!G65/100,1)*100)/60)))</f>
        <v>2.9333333333333336</v>
      </c>
      <c r="O62" s="31">
        <f>IF(ISBLANK(Invullen!F65),NA(),IF(Invullen!F65=0,0,(FLOOR(Invullen!F65/100,1)+(Invullen!F65-FLOOR(Invullen!F65/100,1)*100)/60)))</f>
        <v>51.466666666666669</v>
      </c>
      <c r="P62" s="32" t="str">
        <f>IF(ISBLANK(Invullen!F65),NA(),DegtoICES(O62,N62," "))</f>
        <v>31 F2</v>
      </c>
      <c r="Q62" s="33" t="str">
        <f t="shared" ca="1" si="2"/>
        <v>IVc</v>
      </c>
      <c r="R62" s="41"/>
      <c r="S62" s="38">
        <f>HLOOKUP($S$1,Invullen!$N$3:$AJ$254,T62,FALSE)</f>
        <v>15</v>
      </c>
      <c r="T62" s="38">
        <v>63</v>
      </c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</row>
    <row r="63" spans="11:35" s="30" customFormat="1" ht="24" customHeight="1" x14ac:dyDescent="0.3">
      <c r="K63" s="39"/>
      <c r="M63" s="31" t="e">
        <f>IF(OR(ISBLANK(Invullen!D66),ISBLANK(Invullen!#REF!)),NA(),Invullen!K67+(Invullen!#REF!/60)-Invullen!D66+(Invullen!#REF!/60))</f>
        <v>#N/A</v>
      </c>
      <c r="N63" s="31" t="e">
        <f>IF(ISBLANK(Invullen!G66),NA(),IF(Invullen!G66=0,0,(FLOOR(Invullen!G66/100,1)+(Invullen!G66-FLOOR(Invullen!G66/100,1)*100)/60)))</f>
        <v>#N/A</v>
      </c>
      <c r="O63" s="31" t="e">
        <f>IF(ISBLANK(Invullen!F66),NA(),IF(Invullen!F66=0,0,(FLOOR(Invullen!F66/100,1)+(Invullen!F66-FLOOR(Invullen!F66/100,1)*100)/60)))</f>
        <v>#N/A</v>
      </c>
      <c r="P63" s="32" t="e">
        <f>IF(ISBLANK(Invullen!F66),NA(),DegtoICES(O63,N63," "))</f>
        <v>#N/A</v>
      </c>
      <c r="Q63" s="33" t="e">
        <f t="shared" ca="1" si="2"/>
        <v>#N/A</v>
      </c>
      <c r="R63" s="41"/>
      <c r="S63" s="38">
        <f>HLOOKUP($S$1,Invullen!$N$3:$AJ$254,T63,FALSE)</f>
        <v>0</v>
      </c>
      <c r="T63" s="38">
        <v>64</v>
      </c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</row>
    <row r="64" spans="11:35" s="30" customFormat="1" ht="24" customHeight="1" x14ac:dyDescent="0.3">
      <c r="K64" s="39"/>
      <c r="M64" s="31" t="e">
        <f>IF(OR(ISBLANK(Invullen!D67),ISBLANK(Invullen!#REF!)),NA(),Invullen!K68+(Invullen!#REF!/60)-Invullen!D67+(Invullen!#REF!/60))</f>
        <v>#N/A</v>
      </c>
      <c r="N64" s="31" t="e">
        <f>IF(ISBLANK(Invullen!G67),NA(),IF(Invullen!G67=0,0,(FLOOR(Invullen!G67/100,1)+(Invullen!G67-FLOOR(Invullen!G67/100,1)*100)/60)))</f>
        <v>#N/A</v>
      </c>
      <c r="O64" s="31" t="e">
        <f>IF(ISBLANK(Invullen!F67),NA(),IF(Invullen!F67=0,0,(FLOOR(Invullen!F67/100,1)+(Invullen!F67-FLOOR(Invullen!F67/100,1)*100)/60)))</f>
        <v>#N/A</v>
      </c>
      <c r="P64" s="32" t="e">
        <f>IF(ISBLANK(Invullen!F67),NA(),DegtoICES(O64,N64," "))</f>
        <v>#N/A</v>
      </c>
      <c r="Q64" s="33" t="e">
        <f t="shared" ca="1" si="2"/>
        <v>#N/A</v>
      </c>
      <c r="R64" s="41"/>
      <c r="S64" s="38">
        <f>HLOOKUP($S$1,Invullen!$N$3:$AJ$254,T64,FALSE)</f>
        <v>0</v>
      </c>
      <c r="T64" s="38">
        <v>65</v>
      </c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</row>
    <row r="65" spans="11:35" s="30" customFormat="1" ht="24" customHeight="1" x14ac:dyDescent="0.3">
      <c r="K65" s="39"/>
      <c r="M65" s="31" t="e">
        <f>IF(OR(ISBLANK(Invullen!D68),ISBLANK(Invullen!#REF!)),NA(),Invullen!K69+(Invullen!#REF!/60)-Invullen!D68+(Invullen!#REF!/60))</f>
        <v>#N/A</v>
      </c>
      <c r="N65" s="31" t="e">
        <f>IF(ISBLANK(Invullen!G68),NA(),IF(Invullen!G68=0,0,(FLOOR(Invullen!G68/100,1)+(Invullen!G68-FLOOR(Invullen!G68/100,1)*100)/60)))</f>
        <v>#N/A</v>
      </c>
      <c r="O65" s="31" t="e">
        <f>IF(ISBLANK(Invullen!F68),NA(),IF(Invullen!F68=0,0,(FLOOR(Invullen!F68/100,1)+(Invullen!F68-FLOOR(Invullen!F68/100,1)*100)/60)))</f>
        <v>#N/A</v>
      </c>
      <c r="P65" s="32" t="e">
        <f>IF(ISBLANK(Invullen!F68),NA(),DegtoICES(O65,N65," "))</f>
        <v>#N/A</v>
      </c>
      <c r="Q65" s="33" t="e">
        <f t="shared" ca="1" si="2"/>
        <v>#N/A</v>
      </c>
      <c r="R65" s="41"/>
      <c r="S65" s="38">
        <f>HLOOKUP($S$1,Invullen!$N$3:$AJ$254,T65,FALSE)</f>
        <v>0</v>
      </c>
      <c r="T65" s="38">
        <v>66</v>
      </c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</row>
    <row r="66" spans="11:35" s="30" customFormat="1" ht="24" customHeight="1" x14ac:dyDescent="0.3">
      <c r="K66" s="39"/>
      <c r="M66" s="31" t="e">
        <f>IF(OR(ISBLANK(Invullen!D69),ISBLANK(Invullen!#REF!)),NA(),Invullen!K70+(Invullen!#REF!/60)-Invullen!D69+(Invullen!#REF!/60))</f>
        <v>#N/A</v>
      </c>
      <c r="N66" s="31" t="e">
        <f>IF(ISBLANK(Invullen!G69),NA(),IF(Invullen!G69=0,0,(FLOOR(Invullen!G69/100,1)+(Invullen!G69-FLOOR(Invullen!G69/100,1)*100)/60)))</f>
        <v>#N/A</v>
      </c>
      <c r="O66" s="31" t="e">
        <f>IF(ISBLANK(Invullen!F69),NA(),IF(Invullen!F69=0,0,(FLOOR(Invullen!F69/100,1)+(Invullen!F69-FLOOR(Invullen!F69/100,1)*100)/60)))</f>
        <v>#N/A</v>
      </c>
      <c r="P66" s="32" t="e">
        <f>IF(ISBLANK(Invullen!F69),NA(),DegtoICES(O66,N66," "))</f>
        <v>#N/A</v>
      </c>
      <c r="Q66" s="33" t="e">
        <f t="shared" ca="1" si="2"/>
        <v>#N/A</v>
      </c>
      <c r="R66" s="41"/>
      <c r="S66" s="38">
        <f>HLOOKUP($S$1,Invullen!$N$3:$AJ$254,T66,FALSE)</f>
        <v>0</v>
      </c>
      <c r="T66" s="38">
        <v>67</v>
      </c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</row>
    <row r="67" spans="11:35" s="30" customFormat="1" ht="24" customHeight="1" x14ac:dyDescent="0.3">
      <c r="K67" s="39"/>
      <c r="M67" s="31" t="e">
        <f>IF(OR(ISBLANK(Invullen!D70),ISBLANK(Invullen!#REF!)),NA(),Invullen!K71+(Invullen!#REF!/60)-Invullen!D70+(Invullen!#REF!/60))</f>
        <v>#N/A</v>
      </c>
      <c r="N67" s="31" t="e">
        <f>IF(ISBLANK(Invullen!G70),NA(),IF(Invullen!G70=0,0,(FLOOR(Invullen!G70/100,1)+(Invullen!G70-FLOOR(Invullen!G70/100,1)*100)/60)))</f>
        <v>#N/A</v>
      </c>
      <c r="O67" s="31" t="e">
        <f>IF(ISBLANK(Invullen!F70),NA(),IF(Invullen!F70=0,0,(FLOOR(Invullen!F70/100,1)+(Invullen!F70-FLOOR(Invullen!F70/100,1)*100)/60)))</f>
        <v>#N/A</v>
      </c>
      <c r="P67" s="32" t="e">
        <f>IF(ISBLANK(Invullen!F70),NA(),DegtoICES(O67,N67," "))</f>
        <v>#N/A</v>
      </c>
      <c r="Q67" s="33" t="e">
        <f t="shared" ca="1" si="2"/>
        <v>#N/A</v>
      </c>
      <c r="R67" s="41"/>
      <c r="S67" s="38">
        <f>HLOOKUP($S$1,Invullen!$N$3:$AJ$254,T67,FALSE)</f>
        <v>0</v>
      </c>
      <c r="T67" s="38">
        <v>68</v>
      </c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</row>
    <row r="68" spans="11:35" s="30" customFormat="1" ht="24" customHeight="1" x14ac:dyDescent="0.3">
      <c r="K68" s="39"/>
      <c r="M68" s="31" t="e">
        <f>IF(OR(ISBLANK(Invullen!D71),ISBLANK(Invullen!#REF!)),NA(),Invullen!K72+(Invullen!#REF!/60)-Invullen!D71+(Invullen!#REF!/60))</f>
        <v>#N/A</v>
      </c>
      <c r="N68" s="31" t="e">
        <f>IF(ISBLANK(Invullen!G71),NA(),IF(Invullen!G71=0,0,(FLOOR(Invullen!G71/100,1)+(Invullen!G71-FLOOR(Invullen!G71/100,1)*100)/60)))</f>
        <v>#N/A</v>
      </c>
      <c r="O68" s="31" t="e">
        <f>IF(ISBLANK(Invullen!F71),NA(),IF(Invullen!F71=0,0,(FLOOR(Invullen!F71/100,1)+(Invullen!F71-FLOOR(Invullen!F71/100,1)*100)/60)))</f>
        <v>#N/A</v>
      </c>
      <c r="P68" s="32" t="e">
        <f>IF(ISBLANK(Invullen!F71),NA(),DegtoICES(O68,N68," "))</f>
        <v>#N/A</v>
      </c>
      <c r="Q68" s="33" t="e">
        <f t="shared" ca="1" si="2"/>
        <v>#N/A</v>
      </c>
      <c r="R68" s="41"/>
      <c r="S68" s="38">
        <f>HLOOKUP($S$1,Invullen!$N$3:$AJ$254,T68,FALSE)</f>
        <v>0</v>
      </c>
      <c r="T68" s="38">
        <v>69</v>
      </c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</row>
    <row r="69" spans="11:35" s="30" customFormat="1" ht="24" customHeight="1" x14ac:dyDescent="0.3">
      <c r="K69" s="39"/>
      <c r="M69" s="31" t="e">
        <f>IF(OR(ISBLANK(Invullen!D72),ISBLANK(Invullen!#REF!)),NA(),Invullen!K73+(Invullen!#REF!/60)-Invullen!D72+(Invullen!#REF!/60))</f>
        <v>#N/A</v>
      </c>
      <c r="N69" s="31" t="e">
        <f>IF(ISBLANK(Invullen!G72),NA(),IF(Invullen!G72=0,0,(FLOOR(Invullen!G72/100,1)+(Invullen!G72-FLOOR(Invullen!G72/100,1)*100)/60)))</f>
        <v>#N/A</v>
      </c>
      <c r="O69" s="31" t="e">
        <f>IF(ISBLANK(Invullen!F72),NA(),IF(Invullen!F72=0,0,(FLOOR(Invullen!F72/100,1)+(Invullen!F72-FLOOR(Invullen!F72/100,1)*100)/60)))</f>
        <v>#N/A</v>
      </c>
      <c r="P69" s="32" t="e">
        <f>IF(ISBLANK(Invullen!F72),NA(),DegtoICES(O69,N69," "))</f>
        <v>#N/A</v>
      </c>
      <c r="Q69" s="33" t="e">
        <f t="shared" ca="1" si="2"/>
        <v>#N/A</v>
      </c>
      <c r="R69" s="41"/>
      <c r="S69" s="38">
        <f>HLOOKUP($S$1,Invullen!$N$3:$AJ$254,T69,FALSE)</f>
        <v>0</v>
      </c>
      <c r="T69" s="38">
        <v>70</v>
      </c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</row>
    <row r="70" spans="11:35" s="30" customFormat="1" ht="24" customHeight="1" x14ac:dyDescent="0.3">
      <c r="K70" s="39"/>
      <c r="M70" s="31" t="e">
        <f>IF(OR(ISBLANK(Invullen!D73),ISBLANK(Invullen!#REF!)),NA(),Invullen!K74+(Invullen!#REF!/60)-Invullen!D73+(Invullen!#REF!/60))</f>
        <v>#N/A</v>
      </c>
      <c r="N70" s="31" t="e">
        <f>IF(ISBLANK(Invullen!G73),NA(),IF(Invullen!G73=0,0,(FLOOR(Invullen!G73/100,1)+(Invullen!G73-FLOOR(Invullen!G73/100,1)*100)/60)))</f>
        <v>#N/A</v>
      </c>
      <c r="O70" s="31" t="e">
        <f>IF(ISBLANK(Invullen!F73),NA(),IF(Invullen!F73=0,0,(FLOOR(Invullen!F73/100,1)+(Invullen!F73-FLOOR(Invullen!F73/100,1)*100)/60)))</f>
        <v>#N/A</v>
      </c>
      <c r="P70" s="32" t="e">
        <f>IF(ISBLANK(Invullen!F73),NA(),DegtoICES(O70,N70," "))</f>
        <v>#N/A</v>
      </c>
      <c r="Q70" s="33" t="e">
        <f t="shared" ca="1" si="2"/>
        <v>#N/A</v>
      </c>
      <c r="R70" s="41"/>
      <c r="S70" s="38">
        <f>HLOOKUP($S$1,Invullen!$N$3:$AJ$254,T70,FALSE)</f>
        <v>0</v>
      </c>
      <c r="T70" s="38">
        <v>71</v>
      </c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</row>
    <row r="71" spans="11:35" s="30" customFormat="1" ht="24" customHeight="1" x14ac:dyDescent="0.3">
      <c r="K71" s="39"/>
      <c r="M71" s="31" t="e">
        <f>IF(OR(ISBLANK(Invullen!D74),ISBLANK(Invullen!#REF!)),NA(),Invullen!K75+(Invullen!#REF!/60)-Invullen!D74+(Invullen!#REF!/60))</f>
        <v>#N/A</v>
      </c>
      <c r="N71" s="31" t="e">
        <f>IF(ISBLANK(Invullen!G74),NA(),IF(Invullen!G74=0,0,(FLOOR(Invullen!G74/100,1)+(Invullen!G74-FLOOR(Invullen!G74/100,1)*100)/60)))</f>
        <v>#N/A</v>
      </c>
      <c r="O71" s="31" t="e">
        <f>IF(ISBLANK(Invullen!F74),NA(),IF(Invullen!F74=0,0,(FLOOR(Invullen!F74/100,1)+(Invullen!F74-FLOOR(Invullen!F74/100,1)*100)/60)))</f>
        <v>#N/A</v>
      </c>
      <c r="P71" s="32" t="e">
        <f>IF(ISBLANK(Invullen!F74),NA(),DegtoICES(O71,N71," "))</f>
        <v>#N/A</v>
      </c>
      <c r="Q71" s="33" t="e">
        <f t="shared" ca="1" si="2"/>
        <v>#N/A</v>
      </c>
      <c r="R71" s="41"/>
      <c r="S71" s="38">
        <f>HLOOKUP($S$1,Invullen!$N$3:$AJ$254,T71,FALSE)</f>
        <v>0</v>
      </c>
      <c r="T71" s="38">
        <v>72</v>
      </c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</row>
    <row r="72" spans="11:35" s="30" customFormat="1" ht="24" customHeight="1" x14ac:dyDescent="0.3">
      <c r="K72" s="39"/>
      <c r="M72" s="31" t="e">
        <f>IF(OR(ISBLANK(Invullen!D75),ISBLANK(Invullen!#REF!)),NA(),Invullen!K76+(Invullen!#REF!/60)-Invullen!D75+(Invullen!#REF!/60))</f>
        <v>#N/A</v>
      </c>
      <c r="N72" s="31" t="e">
        <f>IF(ISBLANK(Invullen!G75),NA(),IF(Invullen!G75=0,0,(FLOOR(Invullen!G75/100,1)+(Invullen!G75-FLOOR(Invullen!G75/100,1)*100)/60)))</f>
        <v>#N/A</v>
      </c>
      <c r="O72" s="31" t="e">
        <f>IF(ISBLANK(Invullen!F75),NA(),IF(Invullen!F75=0,0,(FLOOR(Invullen!F75/100,1)+(Invullen!F75-FLOOR(Invullen!F75/100,1)*100)/60)))</f>
        <v>#N/A</v>
      </c>
      <c r="P72" s="32" t="e">
        <f>IF(ISBLANK(Invullen!F75),NA(),DegtoICES(O72,N72," "))</f>
        <v>#N/A</v>
      </c>
      <c r="Q72" s="33" t="e">
        <f t="shared" ca="1" si="2"/>
        <v>#N/A</v>
      </c>
      <c r="R72" s="41"/>
      <c r="S72" s="38">
        <f>HLOOKUP($S$1,Invullen!$N$3:$AJ$254,T72,FALSE)</f>
        <v>0</v>
      </c>
      <c r="T72" s="38">
        <v>73</v>
      </c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</row>
    <row r="73" spans="11:35" s="30" customFormat="1" ht="24" customHeight="1" x14ac:dyDescent="0.3">
      <c r="K73" s="39"/>
      <c r="M73" s="31" t="e">
        <f>IF(OR(ISBLANK(Invullen!D76),ISBLANK(Invullen!#REF!)),NA(),Invullen!K77+(Invullen!#REF!/60)-Invullen!D76+(Invullen!#REF!/60))</f>
        <v>#N/A</v>
      </c>
      <c r="N73" s="31" t="e">
        <f>IF(ISBLANK(Invullen!G76),NA(),IF(Invullen!G76=0,0,(FLOOR(Invullen!G76/100,1)+(Invullen!G76-FLOOR(Invullen!G76/100,1)*100)/60)))</f>
        <v>#N/A</v>
      </c>
      <c r="O73" s="31" t="e">
        <f>IF(ISBLANK(Invullen!F76),NA(),IF(Invullen!F76=0,0,(FLOOR(Invullen!F76/100,1)+(Invullen!F76-FLOOR(Invullen!F76/100,1)*100)/60)))</f>
        <v>#N/A</v>
      </c>
      <c r="P73" s="32" t="e">
        <f>IF(ISBLANK(Invullen!F76),NA(),DegtoICES(O73,N73," "))</f>
        <v>#N/A</v>
      </c>
      <c r="Q73" s="33" t="e">
        <f t="shared" ca="1" si="2"/>
        <v>#N/A</v>
      </c>
      <c r="R73" s="41"/>
      <c r="S73" s="38">
        <f>HLOOKUP($S$1,Invullen!$N$3:$AJ$254,T73,FALSE)</f>
        <v>0</v>
      </c>
      <c r="T73" s="38">
        <v>74</v>
      </c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</row>
    <row r="74" spans="11:35" s="30" customFormat="1" ht="24" customHeight="1" x14ac:dyDescent="0.3">
      <c r="K74" s="39"/>
      <c r="M74" s="31" t="e">
        <f>IF(OR(ISBLANK(Invullen!D77),ISBLANK(Invullen!#REF!)),NA(),Invullen!K78+(Invullen!#REF!/60)-Invullen!D77+(Invullen!#REF!/60))</f>
        <v>#N/A</v>
      </c>
      <c r="N74" s="31" t="e">
        <f>IF(ISBLANK(Invullen!G77),NA(),IF(Invullen!G77=0,0,(FLOOR(Invullen!G77/100,1)+(Invullen!G77-FLOOR(Invullen!G77/100,1)*100)/60)))</f>
        <v>#N/A</v>
      </c>
      <c r="O74" s="31" t="e">
        <f>IF(ISBLANK(Invullen!F77),NA(),IF(Invullen!F77=0,0,(FLOOR(Invullen!F77/100,1)+(Invullen!F77-FLOOR(Invullen!F77/100,1)*100)/60)))</f>
        <v>#N/A</v>
      </c>
      <c r="P74" s="32" t="e">
        <f>IF(ISBLANK(Invullen!F77),NA(),DegtoICES(O74,N74," "))</f>
        <v>#N/A</v>
      </c>
      <c r="Q74" s="33" t="e">
        <f t="shared" ca="1" si="2"/>
        <v>#N/A</v>
      </c>
      <c r="R74" s="41"/>
      <c r="S74" s="38">
        <f>HLOOKUP($S$1,Invullen!$N$3:$AJ$254,T74,FALSE)</f>
        <v>0</v>
      </c>
      <c r="T74" s="38">
        <v>75</v>
      </c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</row>
    <row r="75" spans="11:35" s="30" customFormat="1" ht="24" customHeight="1" x14ac:dyDescent="0.3">
      <c r="K75" s="39"/>
      <c r="M75" s="31" t="e">
        <f>IF(OR(ISBLANK(Invullen!D78),ISBLANK(Invullen!#REF!)),NA(),Invullen!K79+(Invullen!#REF!/60)-Invullen!D78+(Invullen!#REF!/60))</f>
        <v>#N/A</v>
      </c>
      <c r="N75" s="31" t="e">
        <f>IF(ISBLANK(Invullen!G78),NA(),IF(Invullen!G78=0,0,(FLOOR(Invullen!G78/100,1)+(Invullen!G78-FLOOR(Invullen!G78/100,1)*100)/60)))</f>
        <v>#N/A</v>
      </c>
      <c r="O75" s="31" t="e">
        <f>IF(ISBLANK(Invullen!F78),NA(),IF(Invullen!F78=0,0,(FLOOR(Invullen!F78/100,1)+(Invullen!F78-FLOOR(Invullen!F78/100,1)*100)/60)))</f>
        <v>#N/A</v>
      </c>
      <c r="P75" s="32" t="e">
        <f>IF(ISBLANK(Invullen!F78),NA(),DegtoICES(O75,N75," "))</f>
        <v>#N/A</v>
      </c>
      <c r="Q75" s="33" t="e">
        <f t="shared" ca="1" si="2"/>
        <v>#N/A</v>
      </c>
      <c r="R75" s="41"/>
      <c r="S75" s="38">
        <f>HLOOKUP($S$1,Invullen!$N$3:$AJ$254,T75,FALSE)</f>
        <v>0</v>
      </c>
      <c r="T75" s="38">
        <v>76</v>
      </c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</row>
    <row r="76" spans="11:35" s="30" customFormat="1" ht="24" customHeight="1" x14ac:dyDescent="0.3">
      <c r="K76" s="39"/>
      <c r="M76" s="31" t="e">
        <f>IF(OR(ISBLANK(Invullen!D79),ISBLANK(Invullen!#REF!)),NA(),Invullen!K80+(Invullen!#REF!/60)-Invullen!D79+(Invullen!#REF!/60))</f>
        <v>#N/A</v>
      </c>
      <c r="N76" s="31" t="e">
        <f>IF(ISBLANK(Invullen!G79),NA(),IF(Invullen!G79=0,0,(FLOOR(Invullen!G79/100,1)+(Invullen!G79-FLOOR(Invullen!G79/100,1)*100)/60)))</f>
        <v>#N/A</v>
      </c>
      <c r="O76" s="31" t="e">
        <f>IF(ISBLANK(Invullen!F79),NA(),IF(Invullen!F79=0,0,(FLOOR(Invullen!F79/100,1)+(Invullen!F79-FLOOR(Invullen!F79/100,1)*100)/60)))</f>
        <v>#N/A</v>
      </c>
      <c r="P76" s="32" t="e">
        <f>IF(ISBLANK(Invullen!F79),NA(),DegtoICES(O76,N76," "))</f>
        <v>#N/A</v>
      </c>
      <c r="Q76" s="33" t="e">
        <f t="shared" ca="1" si="2"/>
        <v>#N/A</v>
      </c>
      <c r="R76" s="41"/>
      <c r="S76" s="38">
        <f>HLOOKUP($S$1,Invullen!$N$3:$AJ$254,T76,FALSE)</f>
        <v>0</v>
      </c>
      <c r="T76" s="38">
        <v>77</v>
      </c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</row>
    <row r="77" spans="11:35" s="30" customFormat="1" ht="24" customHeight="1" x14ac:dyDescent="0.3">
      <c r="K77" s="39"/>
      <c r="M77" s="31" t="e">
        <f>IF(OR(ISBLANK(Invullen!D80),ISBLANK(Invullen!#REF!)),NA(),Invullen!K81+(Invullen!#REF!/60)-Invullen!D80+(Invullen!#REF!/60))</f>
        <v>#N/A</v>
      </c>
      <c r="N77" s="31" t="e">
        <f>IF(ISBLANK(Invullen!G80),NA(),IF(Invullen!G80=0,0,(FLOOR(Invullen!G80/100,1)+(Invullen!G80-FLOOR(Invullen!G80/100,1)*100)/60)))</f>
        <v>#N/A</v>
      </c>
      <c r="O77" s="31" t="e">
        <f>IF(ISBLANK(Invullen!F80),NA(),IF(Invullen!F80=0,0,(FLOOR(Invullen!F80/100,1)+(Invullen!F80-FLOOR(Invullen!F80/100,1)*100)/60)))</f>
        <v>#N/A</v>
      </c>
      <c r="P77" s="32" t="e">
        <f>IF(ISBLANK(Invullen!F80),NA(),DegtoICES(O77,N77," "))</f>
        <v>#N/A</v>
      </c>
      <c r="Q77" s="33" t="e">
        <f t="shared" ca="1" si="2"/>
        <v>#N/A</v>
      </c>
      <c r="R77" s="41"/>
      <c r="S77" s="38">
        <f>HLOOKUP($S$1,Invullen!$N$3:$AJ$254,T77,FALSE)</f>
        <v>0</v>
      </c>
      <c r="T77" s="38">
        <v>78</v>
      </c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</row>
    <row r="78" spans="11:35" s="30" customFormat="1" ht="24" customHeight="1" x14ac:dyDescent="0.3">
      <c r="K78" s="39"/>
      <c r="M78" s="31" t="e">
        <f>IF(OR(ISBLANK(Invullen!D81),ISBLANK(Invullen!#REF!)),NA(),Invullen!K82+(Invullen!#REF!/60)-Invullen!D81+(Invullen!#REF!/60))</f>
        <v>#N/A</v>
      </c>
      <c r="N78" s="31" t="e">
        <f>IF(ISBLANK(Invullen!G81),NA(),IF(Invullen!G81=0,0,(FLOOR(Invullen!G81/100,1)+(Invullen!G81-FLOOR(Invullen!G81/100,1)*100)/60)))</f>
        <v>#N/A</v>
      </c>
      <c r="O78" s="31" t="e">
        <f>IF(ISBLANK(Invullen!F81),NA(),IF(Invullen!F81=0,0,(FLOOR(Invullen!F81/100,1)+(Invullen!F81-FLOOR(Invullen!F81/100,1)*100)/60)))</f>
        <v>#N/A</v>
      </c>
      <c r="P78" s="32" t="e">
        <f>IF(ISBLANK(Invullen!F81),NA(),DegtoICES(O78,N78," "))</f>
        <v>#N/A</v>
      </c>
      <c r="Q78" s="33" t="e">
        <f t="shared" ca="1" si="2"/>
        <v>#N/A</v>
      </c>
      <c r="R78" s="41"/>
      <c r="S78" s="38">
        <f>HLOOKUP($S$1,Invullen!$N$3:$AJ$254,T78,FALSE)</f>
        <v>0</v>
      </c>
      <c r="T78" s="38">
        <v>79</v>
      </c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</row>
    <row r="79" spans="11:35" s="30" customFormat="1" ht="24" customHeight="1" x14ac:dyDescent="0.3">
      <c r="K79" s="39"/>
      <c r="M79" s="31" t="e">
        <f>IF(OR(ISBLANK(Invullen!D82),ISBLANK(Invullen!#REF!)),NA(),Invullen!K83+(Invullen!#REF!/60)-Invullen!D82+(Invullen!#REF!/60))</f>
        <v>#N/A</v>
      </c>
      <c r="N79" s="31" t="e">
        <f>IF(ISBLANK(Invullen!G82),NA(),IF(Invullen!G82=0,0,(FLOOR(Invullen!G82/100,1)+(Invullen!G82-FLOOR(Invullen!G82/100,1)*100)/60)))</f>
        <v>#N/A</v>
      </c>
      <c r="O79" s="31" t="e">
        <f>IF(ISBLANK(Invullen!F82),NA(),IF(Invullen!F82=0,0,(FLOOR(Invullen!F82/100,1)+(Invullen!F82-FLOOR(Invullen!F82/100,1)*100)/60)))</f>
        <v>#N/A</v>
      </c>
      <c r="P79" s="32" t="e">
        <f>IF(ISBLANK(Invullen!F82),NA(),DegtoICES(O79,N79," "))</f>
        <v>#N/A</v>
      </c>
      <c r="Q79" s="33" t="e">
        <f t="shared" ca="1" si="2"/>
        <v>#N/A</v>
      </c>
      <c r="R79" s="41"/>
      <c r="S79" s="38">
        <f>HLOOKUP($S$1,Invullen!$N$3:$AJ$254,T79,FALSE)</f>
        <v>0</v>
      </c>
      <c r="T79" s="38">
        <v>80</v>
      </c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</row>
    <row r="80" spans="11:35" s="30" customFormat="1" ht="24" customHeight="1" x14ac:dyDescent="0.3">
      <c r="K80" s="39"/>
      <c r="M80" s="31" t="e">
        <f>IF(OR(ISBLANK(Invullen!D83),ISBLANK(Invullen!#REF!)),NA(),Invullen!K84+(Invullen!#REF!/60)-Invullen!D83+(Invullen!#REF!/60))</f>
        <v>#N/A</v>
      </c>
      <c r="N80" s="31" t="e">
        <f>IF(ISBLANK(Invullen!G83),NA(),IF(Invullen!G83=0,0,(FLOOR(Invullen!G83/100,1)+(Invullen!G83-FLOOR(Invullen!G83/100,1)*100)/60)))</f>
        <v>#N/A</v>
      </c>
      <c r="O80" s="31" t="e">
        <f>IF(ISBLANK(Invullen!F83),NA(),IF(Invullen!F83=0,0,(FLOOR(Invullen!F83/100,1)+(Invullen!F83-FLOOR(Invullen!F83/100,1)*100)/60)))</f>
        <v>#N/A</v>
      </c>
      <c r="P80" s="32" t="e">
        <f>IF(ISBLANK(Invullen!F83),NA(),DegtoICES(O80,N80," "))</f>
        <v>#N/A</v>
      </c>
      <c r="Q80" s="33" t="e">
        <f t="shared" ca="1" si="2"/>
        <v>#N/A</v>
      </c>
      <c r="R80" s="41"/>
      <c r="S80" s="38">
        <f>HLOOKUP($S$1,Invullen!$N$3:$AJ$254,T80,FALSE)</f>
        <v>0</v>
      </c>
      <c r="T80" s="38">
        <v>81</v>
      </c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</row>
    <row r="81" spans="11:35" s="30" customFormat="1" ht="24" customHeight="1" x14ac:dyDescent="0.3">
      <c r="K81" s="39"/>
      <c r="M81" s="31" t="e">
        <f>IF(OR(ISBLANK(Invullen!D84),ISBLANK(Invullen!#REF!)),NA(),Invullen!K85+(Invullen!#REF!/60)-Invullen!D84+(Invullen!#REF!/60))</f>
        <v>#N/A</v>
      </c>
      <c r="N81" s="31" t="e">
        <f>IF(ISBLANK(Invullen!G84),NA(),IF(Invullen!G84=0,0,(FLOOR(Invullen!G84/100,1)+(Invullen!G84-FLOOR(Invullen!G84/100,1)*100)/60)))</f>
        <v>#N/A</v>
      </c>
      <c r="O81" s="31" t="e">
        <f>IF(ISBLANK(Invullen!F84),NA(),IF(Invullen!F84=0,0,(FLOOR(Invullen!F84/100,1)+(Invullen!F84-FLOOR(Invullen!F84/100,1)*100)/60)))</f>
        <v>#N/A</v>
      </c>
      <c r="P81" s="32" t="e">
        <f>IF(ISBLANK(Invullen!F84),NA(),DegtoICES(O81,N81," "))</f>
        <v>#N/A</v>
      </c>
      <c r="Q81" s="33" t="e">
        <f t="shared" ref="Q81" ca="1" si="3">VLOOKUP(P81,Rect,2,FALSE)</f>
        <v>#N/A</v>
      </c>
      <c r="R81" s="41"/>
      <c r="S81" s="38">
        <f>HLOOKUP($S$1,Invullen!$N$3:$AJ$254,T81,FALSE)</f>
        <v>0</v>
      </c>
      <c r="T81" s="38">
        <v>82</v>
      </c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</row>
    <row r="82" spans="11:35" x14ac:dyDescent="0.3">
      <c r="M82" s="31" t="e">
        <f>IF(OR(ISBLANK(Invullen!D85),ISBLANK(Invullen!#REF!)),NA(),Invullen!K86+(Invullen!#REF!/60)-Invullen!D85+(Invullen!#REF!/60))</f>
        <v>#N/A</v>
      </c>
      <c r="N82" s="31" t="e">
        <f>IF(ISBLANK(Invullen!G85),NA(),IF(Invullen!G85=0,0,(FLOOR(Invullen!G85/100,1)+(Invullen!G85-FLOOR(Invullen!G85/100,1)*100)/60)))</f>
        <v>#N/A</v>
      </c>
      <c r="O82" s="31" t="e">
        <f>IF(ISBLANK(Invullen!F85),NA(),IF(Invullen!F85=0,0,(FLOOR(Invullen!F85/100,1)+(Invullen!F85-FLOOR(Invullen!F85/100,1)*100)/60)))</f>
        <v>#N/A</v>
      </c>
      <c r="P82" s="32" t="e">
        <f>IF(ISBLANK(Invullen!F85),NA(),DegtoICES(O82,N82," "))</f>
        <v>#N/A</v>
      </c>
      <c r="Q82" s="33" t="e">
        <f t="shared" ref="Q82:Q145" ca="1" si="4">VLOOKUP(P82,Rect,2,FALSE)</f>
        <v>#N/A</v>
      </c>
      <c r="R82" s="41"/>
      <c r="S82" s="38">
        <f>HLOOKUP($S$1,Invullen!$N$3:$AJ$254,T82,FALSE)</f>
        <v>0</v>
      </c>
      <c r="T82" s="38">
        <v>83</v>
      </c>
    </row>
    <row r="83" spans="11:35" x14ac:dyDescent="0.3">
      <c r="M83" s="31" t="e">
        <f>IF(OR(ISBLANK(Invullen!D86),ISBLANK(Invullen!#REF!)),NA(),Invullen!K87+(Invullen!#REF!/60)-Invullen!D86+(Invullen!#REF!/60))</f>
        <v>#N/A</v>
      </c>
      <c r="N83" s="31" t="e">
        <f>IF(ISBLANK(Invullen!G86),NA(),IF(Invullen!G86=0,0,(FLOOR(Invullen!G86/100,1)+(Invullen!G86-FLOOR(Invullen!G86/100,1)*100)/60)))</f>
        <v>#N/A</v>
      </c>
      <c r="O83" s="31" t="e">
        <f>IF(ISBLANK(Invullen!F86),NA(),IF(Invullen!F86=0,0,(FLOOR(Invullen!F86/100,1)+(Invullen!F86-FLOOR(Invullen!F86/100,1)*100)/60)))</f>
        <v>#N/A</v>
      </c>
      <c r="P83" s="32" t="e">
        <f>IF(ISBLANK(Invullen!F86),NA(),DegtoICES(O83,N83," "))</f>
        <v>#N/A</v>
      </c>
      <c r="Q83" s="33" t="e">
        <f t="shared" ca="1" si="4"/>
        <v>#N/A</v>
      </c>
      <c r="R83" s="41"/>
      <c r="S83" s="38">
        <f>HLOOKUP($S$1,Invullen!$N$3:$AJ$254,T83,FALSE)</f>
        <v>0</v>
      </c>
      <c r="T83" s="38">
        <v>84</v>
      </c>
    </row>
    <row r="84" spans="11:35" x14ac:dyDescent="0.3">
      <c r="M84" s="31" t="e">
        <f>IF(OR(ISBLANK(Invullen!D87),ISBLANK(Invullen!#REF!)),NA(),Invullen!K88+(Invullen!#REF!/60)-Invullen!D87+(Invullen!#REF!/60))</f>
        <v>#N/A</v>
      </c>
      <c r="N84" s="31" t="e">
        <f>IF(ISBLANK(Invullen!G87),NA(),IF(Invullen!G87=0,0,(FLOOR(Invullen!G87/100,1)+(Invullen!G87-FLOOR(Invullen!G87/100,1)*100)/60)))</f>
        <v>#N/A</v>
      </c>
      <c r="O84" s="31" t="e">
        <f>IF(ISBLANK(Invullen!F87),NA(),IF(Invullen!F87=0,0,(FLOOR(Invullen!F87/100,1)+(Invullen!F87-FLOOR(Invullen!F87/100,1)*100)/60)))</f>
        <v>#N/A</v>
      </c>
      <c r="P84" s="32" t="e">
        <f>IF(ISBLANK(Invullen!F87),NA(),DegtoICES(O84,N84," "))</f>
        <v>#N/A</v>
      </c>
      <c r="Q84" s="33" t="e">
        <f t="shared" ca="1" si="4"/>
        <v>#N/A</v>
      </c>
      <c r="R84" s="41"/>
      <c r="S84" s="38">
        <f>HLOOKUP($S$1,Invullen!$N$3:$AJ$254,T84,FALSE)</f>
        <v>0</v>
      </c>
      <c r="T84" s="38">
        <v>85</v>
      </c>
    </row>
    <row r="85" spans="11:35" x14ac:dyDescent="0.3">
      <c r="M85" s="31" t="e">
        <f>IF(OR(ISBLANK(Invullen!D88),ISBLANK(Invullen!#REF!)),NA(),Invullen!K89+(Invullen!#REF!/60)-Invullen!D88+(Invullen!#REF!/60))</f>
        <v>#N/A</v>
      </c>
      <c r="N85" s="31" t="e">
        <f>IF(ISBLANK(Invullen!G88),NA(),IF(Invullen!G88=0,0,(FLOOR(Invullen!G88/100,1)+(Invullen!G88-FLOOR(Invullen!G88/100,1)*100)/60)))</f>
        <v>#N/A</v>
      </c>
      <c r="O85" s="31" t="e">
        <f>IF(ISBLANK(Invullen!F88),NA(),IF(Invullen!F88=0,0,(FLOOR(Invullen!F88/100,1)+(Invullen!F88-FLOOR(Invullen!F88/100,1)*100)/60)))</f>
        <v>#N/A</v>
      </c>
      <c r="P85" s="32" t="e">
        <f>IF(ISBLANK(Invullen!F88),NA(),DegtoICES(O85,N85," "))</f>
        <v>#N/A</v>
      </c>
      <c r="Q85" s="33" t="e">
        <f t="shared" ca="1" si="4"/>
        <v>#N/A</v>
      </c>
      <c r="R85" s="41"/>
      <c r="S85" s="38">
        <f>HLOOKUP($S$1,Invullen!$N$3:$AJ$254,T85,FALSE)</f>
        <v>0</v>
      </c>
      <c r="T85" s="38">
        <v>86</v>
      </c>
    </row>
    <row r="86" spans="11:35" x14ac:dyDescent="0.3">
      <c r="M86" s="31" t="e">
        <f>IF(OR(ISBLANK(Invullen!D89),ISBLANK(Invullen!#REF!)),NA(),Invullen!K90+(Invullen!#REF!/60)-Invullen!D89+(Invullen!#REF!/60))</f>
        <v>#N/A</v>
      </c>
      <c r="N86" s="31" t="e">
        <f>IF(ISBLANK(Invullen!G89),NA(),IF(Invullen!G89=0,0,(FLOOR(Invullen!G89/100,1)+(Invullen!G89-FLOOR(Invullen!G89/100,1)*100)/60)))</f>
        <v>#N/A</v>
      </c>
      <c r="O86" s="31" t="e">
        <f>IF(ISBLANK(Invullen!F89),NA(),IF(Invullen!F89=0,0,(FLOOR(Invullen!F89/100,1)+(Invullen!F89-FLOOR(Invullen!F89/100,1)*100)/60)))</f>
        <v>#N/A</v>
      </c>
      <c r="P86" s="32" t="e">
        <f>IF(ISBLANK(Invullen!F89),NA(),DegtoICES(O86,N86," "))</f>
        <v>#N/A</v>
      </c>
      <c r="Q86" s="33" t="e">
        <f t="shared" ca="1" si="4"/>
        <v>#N/A</v>
      </c>
      <c r="R86" s="41"/>
      <c r="S86" s="38">
        <f>HLOOKUP($S$1,Invullen!$N$3:$AJ$254,T86,FALSE)</f>
        <v>0</v>
      </c>
      <c r="T86" s="38">
        <v>87</v>
      </c>
    </row>
    <row r="87" spans="11:35" x14ac:dyDescent="0.3">
      <c r="M87" s="31" t="e">
        <f>IF(OR(ISBLANK(Invullen!D90),ISBLANK(Invullen!#REF!)),NA(),Invullen!K91+(Invullen!#REF!/60)-Invullen!D90+(Invullen!#REF!/60))</f>
        <v>#N/A</v>
      </c>
      <c r="N87" s="31" t="e">
        <f>IF(ISBLANK(Invullen!G90),NA(),IF(Invullen!G90=0,0,(FLOOR(Invullen!G90/100,1)+(Invullen!G90-FLOOR(Invullen!G90/100,1)*100)/60)))</f>
        <v>#N/A</v>
      </c>
      <c r="O87" s="31" t="e">
        <f>IF(ISBLANK(Invullen!F90),NA(),IF(Invullen!F90=0,0,(FLOOR(Invullen!F90/100,1)+(Invullen!F90-FLOOR(Invullen!F90/100,1)*100)/60)))</f>
        <v>#N/A</v>
      </c>
      <c r="P87" s="32" t="e">
        <f>IF(ISBLANK(Invullen!F90),NA(),DegtoICES(O87,N87," "))</f>
        <v>#N/A</v>
      </c>
      <c r="Q87" s="33" t="e">
        <f t="shared" ca="1" si="4"/>
        <v>#N/A</v>
      </c>
      <c r="R87" s="41"/>
      <c r="S87" s="38">
        <f>HLOOKUP($S$1,Invullen!$N$3:$AJ$254,T87,FALSE)</f>
        <v>0</v>
      </c>
      <c r="T87" s="38">
        <v>88</v>
      </c>
    </row>
    <row r="88" spans="11:35" x14ac:dyDescent="0.3">
      <c r="M88" s="31" t="e">
        <f>IF(OR(ISBLANK(Invullen!D91),ISBLANK(Invullen!#REF!)),NA(),Invullen!K92+(Invullen!#REF!/60)-Invullen!D91+(Invullen!#REF!/60))</f>
        <v>#N/A</v>
      </c>
      <c r="N88" s="31" t="e">
        <f>IF(ISBLANK(Invullen!G91),NA(),IF(Invullen!G91=0,0,(FLOOR(Invullen!G91/100,1)+(Invullen!G91-FLOOR(Invullen!G91/100,1)*100)/60)))</f>
        <v>#N/A</v>
      </c>
      <c r="O88" s="31" t="e">
        <f>IF(ISBLANK(Invullen!F91),NA(),IF(Invullen!F91=0,0,(FLOOR(Invullen!F91/100,1)+(Invullen!F91-FLOOR(Invullen!F91/100,1)*100)/60)))</f>
        <v>#N/A</v>
      </c>
      <c r="P88" s="32" t="e">
        <f>IF(ISBLANK(Invullen!F91),NA(),DegtoICES(O88,N88," "))</f>
        <v>#N/A</v>
      </c>
      <c r="Q88" s="33" t="e">
        <f t="shared" ca="1" si="4"/>
        <v>#N/A</v>
      </c>
      <c r="R88" s="41"/>
      <c r="S88" s="38">
        <f>HLOOKUP($S$1,Invullen!$N$3:$AJ$254,T88,FALSE)</f>
        <v>0</v>
      </c>
      <c r="T88" s="38">
        <v>89</v>
      </c>
    </row>
    <row r="89" spans="11:35" x14ac:dyDescent="0.3">
      <c r="M89" s="31" t="e">
        <f>IF(OR(ISBLANK(Invullen!D92),ISBLANK(Invullen!#REF!)),NA(),Invullen!K93+(Invullen!#REF!/60)-Invullen!D92+(Invullen!#REF!/60))</f>
        <v>#N/A</v>
      </c>
      <c r="N89" s="31" t="e">
        <f>IF(ISBLANK(Invullen!G92),NA(),IF(Invullen!G92=0,0,(FLOOR(Invullen!G92/100,1)+(Invullen!G92-FLOOR(Invullen!G92/100,1)*100)/60)))</f>
        <v>#N/A</v>
      </c>
      <c r="O89" s="31" t="e">
        <f>IF(ISBLANK(Invullen!F92),NA(),IF(Invullen!F92=0,0,(FLOOR(Invullen!F92/100,1)+(Invullen!F92-FLOOR(Invullen!F92/100,1)*100)/60)))</f>
        <v>#N/A</v>
      </c>
      <c r="P89" s="32" t="e">
        <f>IF(ISBLANK(Invullen!F92),NA(),DegtoICES(O89,N89," "))</f>
        <v>#N/A</v>
      </c>
      <c r="Q89" s="33" t="e">
        <f t="shared" ca="1" si="4"/>
        <v>#N/A</v>
      </c>
      <c r="R89" s="41"/>
      <c r="S89" s="38">
        <f>HLOOKUP($S$1,Invullen!$N$3:$AJ$254,T89,FALSE)</f>
        <v>0</v>
      </c>
      <c r="T89" s="38">
        <v>90</v>
      </c>
    </row>
    <row r="90" spans="11:35" x14ac:dyDescent="0.3">
      <c r="M90" s="31" t="e">
        <f>IF(OR(ISBLANK(Invullen!D93),ISBLANK(Invullen!#REF!)),NA(),Invullen!K94+(Invullen!#REF!/60)-Invullen!D93+(Invullen!#REF!/60))</f>
        <v>#N/A</v>
      </c>
      <c r="N90" s="31" t="e">
        <f>IF(ISBLANK(Invullen!G93),NA(),IF(Invullen!G93=0,0,(FLOOR(Invullen!G93/100,1)+(Invullen!G93-FLOOR(Invullen!G93/100,1)*100)/60)))</f>
        <v>#N/A</v>
      </c>
      <c r="O90" s="31" t="e">
        <f>IF(ISBLANK(Invullen!F93),NA(),IF(Invullen!F93=0,0,(FLOOR(Invullen!F93/100,1)+(Invullen!F93-FLOOR(Invullen!F93/100,1)*100)/60)))</f>
        <v>#N/A</v>
      </c>
      <c r="P90" s="32" t="e">
        <f>IF(ISBLANK(Invullen!F93),NA(),DegtoICES(O90,N90," "))</f>
        <v>#N/A</v>
      </c>
      <c r="Q90" s="33" t="e">
        <f t="shared" ca="1" si="4"/>
        <v>#N/A</v>
      </c>
      <c r="R90" s="41"/>
      <c r="S90" s="38">
        <f>HLOOKUP($S$1,Invullen!$N$3:$AJ$254,T90,FALSE)</f>
        <v>0</v>
      </c>
      <c r="T90" s="38">
        <v>91</v>
      </c>
    </row>
    <row r="91" spans="11:35" x14ac:dyDescent="0.3">
      <c r="M91" s="31" t="e">
        <f>IF(OR(ISBLANK(Invullen!D94),ISBLANK(Invullen!#REF!)),NA(),Invullen!K95+(Invullen!#REF!/60)-Invullen!D94+(Invullen!#REF!/60))</f>
        <v>#N/A</v>
      </c>
      <c r="N91" s="31" t="e">
        <f>IF(ISBLANK(Invullen!G94),NA(),IF(Invullen!G94=0,0,(FLOOR(Invullen!G94/100,1)+(Invullen!G94-FLOOR(Invullen!G94/100,1)*100)/60)))</f>
        <v>#N/A</v>
      </c>
      <c r="O91" s="31" t="e">
        <f>IF(ISBLANK(Invullen!F94),NA(),IF(Invullen!F94=0,0,(FLOOR(Invullen!F94/100,1)+(Invullen!F94-FLOOR(Invullen!F94/100,1)*100)/60)))</f>
        <v>#N/A</v>
      </c>
      <c r="P91" s="32" t="e">
        <f>IF(ISBLANK(Invullen!F94),NA(),DegtoICES(O91,N91," "))</f>
        <v>#N/A</v>
      </c>
      <c r="Q91" s="33" t="e">
        <f t="shared" ca="1" si="4"/>
        <v>#N/A</v>
      </c>
      <c r="R91" s="41"/>
      <c r="S91" s="38">
        <f>HLOOKUP($S$1,Invullen!$N$3:$AJ$254,T91,FALSE)</f>
        <v>0</v>
      </c>
      <c r="T91" s="38">
        <v>92</v>
      </c>
    </row>
    <row r="92" spans="11:35" x14ac:dyDescent="0.3">
      <c r="M92" s="31" t="e">
        <f>IF(OR(ISBLANK(Invullen!D95),ISBLANK(Invullen!#REF!)),NA(),Invullen!K96+(Invullen!#REF!/60)-Invullen!D95+(Invullen!#REF!/60))</f>
        <v>#N/A</v>
      </c>
      <c r="N92" s="31" t="e">
        <f>IF(ISBLANK(Invullen!G95),NA(),IF(Invullen!G95=0,0,(FLOOR(Invullen!G95/100,1)+(Invullen!G95-FLOOR(Invullen!G95/100,1)*100)/60)))</f>
        <v>#N/A</v>
      </c>
      <c r="O92" s="31" t="e">
        <f>IF(ISBLANK(Invullen!F95),NA(),IF(Invullen!F95=0,0,(FLOOR(Invullen!F95/100,1)+(Invullen!F95-FLOOR(Invullen!F95/100,1)*100)/60)))</f>
        <v>#N/A</v>
      </c>
      <c r="P92" s="32" t="e">
        <f>IF(ISBLANK(Invullen!F95),NA(),DegtoICES(O92,N92," "))</f>
        <v>#N/A</v>
      </c>
      <c r="Q92" s="33" t="e">
        <f t="shared" ca="1" si="4"/>
        <v>#N/A</v>
      </c>
      <c r="R92" s="41"/>
      <c r="S92" s="38">
        <f>HLOOKUP($S$1,Invullen!$N$3:$AJ$254,T92,FALSE)</f>
        <v>0</v>
      </c>
      <c r="T92" s="38">
        <v>93</v>
      </c>
    </row>
    <row r="93" spans="11:35" x14ac:dyDescent="0.3">
      <c r="M93" s="31" t="e">
        <f>IF(OR(ISBLANK(Invullen!D96),ISBLANK(Invullen!#REF!)),NA(),Invullen!K97+(Invullen!#REF!/60)-Invullen!D96+(Invullen!#REF!/60))</f>
        <v>#N/A</v>
      </c>
      <c r="N93" s="31" t="e">
        <f>IF(ISBLANK(Invullen!G96),NA(),IF(Invullen!G96=0,0,(FLOOR(Invullen!G96/100,1)+(Invullen!G96-FLOOR(Invullen!G96/100,1)*100)/60)))</f>
        <v>#N/A</v>
      </c>
      <c r="O93" s="31" t="e">
        <f>IF(ISBLANK(Invullen!F96),NA(),IF(Invullen!F96=0,0,(FLOOR(Invullen!F96/100,1)+(Invullen!F96-FLOOR(Invullen!F96/100,1)*100)/60)))</f>
        <v>#N/A</v>
      </c>
      <c r="P93" s="32" t="e">
        <f>IF(ISBLANK(Invullen!F96),NA(),DegtoICES(O93,N93," "))</f>
        <v>#N/A</v>
      </c>
      <c r="Q93" s="33" t="e">
        <f t="shared" ca="1" si="4"/>
        <v>#N/A</v>
      </c>
      <c r="R93" s="41"/>
      <c r="S93" s="38">
        <f>HLOOKUP($S$1,Invullen!$N$3:$AJ$254,T93,FALSE)</f>
        <v>0</v>
      </c>
      <c r="T93" s="38">
        <v>94</v>
      </c>
    </row>
    <row r="94" spans="11:35" x14ac:dyDescent="0.3">
      <c r="M94" s="31" t="e">
        <f>IF(OR(ISBLANK(Invullen!D97),ISBLANK(Invullen!#REF!)),NA(),Invullen!K98+(Invullen!#REF!/60)-Invullen!D97+(Invullen!#REF!/60))</f>
        <v>#N/A</v>
      </c>
      <c r="N94" s="31" t="e">
        <f>IF(ISBLANK(Invullen!G97),NA(),IF(Invullen!G97=0,0,(FLOOR(Invullen!G97/100,1)+(Invullen!G97-FLOOR(Invullen!G97/100,1)*100)/60)))</f>
        <v>#N/A</v>
      </c>
      <c r="O94" s="31" t="e">
        <f>IF(ISBLANK(Invullen!F97),NA(),IF(Invullen!F97=0,0,(FLOOR(Invullen!F97/100,1)+(Invullen!F97-FLOOR(Invullen!F97/100,1)*100)/60)))</f>
        <v>#N/A</v>
      </c>
      <c r="P94" s="32" t="e">
        <f>IF(ISBLANK(Invullen!F97),NA(),DegtoICES(O94,N94," "))</f>
        <v>#N/A</v>
      </c>
      <c r="Q94" s="33" t="e">
        <f t="shared" ca="1" si="4"/>
        <v>#N/A</v>
      </c>
      <c r="R94" s="41"/>
      <c r="S94" s="38">
        <f>HLOOKUP($S$1,Invullen!$N$3:$AJ$254,T94,FALSE)</f>
        <v>0</v>
      </c>
      <c r="T94" s="38">
        <v>95</v>
      </c>
    </row>
    <row r="95" spans="11:35" x14ac:dyDescent="0.3">
      <c r="M95" s="31" t="e">
        <f>IF(OR(ISBLANK(Invullen!D98),ISBLANK(Invullen!#REF!)),NA(),Invullen!K99+(Invullen!#REF!/60)-Invullen!D98+(Invullen!#REF!/60))</f>
        <v>#N/A</v>
      </c>
      <c r="N95" s="31" t="e">
        <f>IF(ISBLANK(Invullen!G98),NA(),IF(Invullen!G98=0,0,(FLOOR(Invullen!G98/100,1)+(Invullen!G98-FLOOR(Invullen!G98/100,1)*100)/60)))</f>
        <v>#N/A</v>
      </c>
      <c r="O95" s="31" t="e">
        <f>IF(ISBLANK(Invullen!F98),NA(),IF(Invullen!F98=0,0,(FLOOR(Invullen!F98/100,1)+(Invullen!F98-FLOOR(Invullen!F98/100,1)*100)/60)))</f>
        <v>#N/A</v>
      </c>
      <c r="P95" s="32" t="e">
        <f>IF(ISBLANK(Invullen!F98),NA(),DegtoICES(O95,N95," "))</f>
        <v>#N/A</v>
      </c>
      <c r="Q95" s="33" t="e">
        <f t="shared" ca="1" si="4"/>
        <v>#N/A</v>
      </c>
      <c r="R95" s="41"/>
      <c r="S95" s="38">
        <f>HLOOKUP($S$1,Invullen!$N$3:$AJ$254,T95,FALSE)</f>
        <v>0</v>
      </c>
      <c r="T95" s="38">
        <v>96</v>
      </c>
    </row>
    <row r="96" spans="11:35" x14ac:dyDescent="0.3">
      <c r="M96" s="31" t="e">
        <f>IF(OR(ISBLANK(Invullen!D99),ISBLANK(Invullen!#REF!)),NA(),Invullen!K100+(Invullen!#REF!/60)-Invullen!D99+(Invullen!#REF!/60))</f>
        <v>#N/A</v>
      </c>
      <c r="N96" s="31" t="e">
        <f>IF(ISBLANK(Invullen!G99),NA(),IF(Invullen!G99=0,0,(FLOOR(Invullen!G99/100,1)+(Invullen!G99-FLOOR(Invullen!G99/100,1)*100)/60)))</f>
        <v>#N/A</v>
      </c>
      <c r="O96" s="31" t="e">
        <f>IF(ISBLANK(Invullen!F99),NA(),IF(Invullen!F99=0,0,(FLOOR(Invullen!F99/100,1)+(Invullen!F99-FLOOR(Invullen!F99/100,1)*100)/60)))</f>
        <v>#N/A</v>
      </c>
      <c r="P96" s="32" t="e">
        <f>IF(ISBLANK(Invullen!F99),NA(),DegtoICES(O96,N96," "))</f>
        <v>#N/A</v>
      </c>
      <c r="Q96" s="33" t="e">
        <f t="shared" ca="1" si="4"/>
        <v>#N/A</v>
      </c>
      <c r="R96" s="41"/>
      <c r="S96" s="38">
        <f>HLOOKUP($S$1,Invullen!$N$3:$AJ$254,T96,FALSE)</f>
        <v>0</v>
      </c>
      <c r="T96" s="38">
        <v>97</v>
      </c>
    </row>
    <row r="97" spans="13:20" x14ac:dyDescent="0.3">
      <c r="M97" s="31" t="e">
        <f>IF(OR(ISBLANK(Invullen!D100),ISBLANK(Invullen!#REF!)),NA(),Invullen!K101+(Invullen!#REF!/60)-Invullen!D100+(Invullen!#REF!/60))</f>
        <v>#N/A</v>
      </c>
      <c r="N97" s="31" t="e">
        <f>IF(ISBLANK(Invullen!G100),NA(),IF(Invullen!G100=0,0,(FLOOR(Invullen!G100/100,1)+(Invullen!G100-FLOOR(Invullen!G100/100,1)*100)/60)))</f>
        <v>#N/A</v>
      </c>
      <c r="O97" s="31" t="e">
        <f>IF(ISBLANK(Invullen!F100),NA(),IF(Invullen!F100=0,0,(FLOOR(Invullen!F100/100,1)+(Invullen!F100-FLOOR(Invullen!F100/100,1)*100)/60)))</f>
        <v>#N/A</v>
      </c>
      <c r="P97" s="32" t="e">
        <f>IF(ISBLANK(Invullen!F100),NA(),DegtoICES(O97,N97," "))</f>
        <v>#N/A</v>
      </c>
      <c r="Q97" s="33" t="e">
        <f t="shared" ca="1" si="4"/>
        <v>#N/A</v>
      </c>
      <c r="R97" s="41"/>
      <c r="S97" s="38">
        <f>HLOOKUP($S$1,Invullen!$N$3:$AJ$254,T97,FALSE)</f>
        <v>0</v>
      </c>
      <c r="T97" s="38">
        <v>98</v>
      </c>
    </row>
    <row r="98" spans="13:20" x14ac:dyDescent="0.3">
      <c r="M98" s="31" t="e">
        <f>IF(OR(ISBLANK(Invullen!D101),ISBLANK(Invullen!#REF!)),NA(),Invullen!K102+(Invullen!#REF!/60)-Invullen!D101+(Invullen!#REF!/60))</f>
        <v>#N/A</v>
      </c>
      <c r="N98" s="31" t="e">
        <f>IF(ISBLANK(Invullen!G101),NA(),IF(Invullen!G101=0,0,(FLOOR(Invullen!G101/100,1)+(Invullen!G101-FLOOR(Invullen!G101/100,1)*100)/60)))</f>
        <v>#N/A</v>
      </c>
      <c r="O98" s="31" t="e">
        <f>IF(ISBLANK(Invullen!F101),NA(),IF(Invullen!F101=0,0,(FLOOR(Invullen!F101/100,1)+(Invullen!F101-FLOOR(Invullen!F101/100,1)*100)/60)))</f>
        <v>#N/A</v>
      </c>
      <c r="P98" s="32" t="e">
        <f>IF(ISBLANK(Invullen!F101),NA(),DegtoICES(O98,N98," "))</f>
        <v>#N/A</v>
      </c>
      <c r="Q98" s="33" t="e">
        <f t="shared" ca="1" si="4"/>
        <v>#N/A</v>
      </c>
      <c r="R98" s="41"/>
      <c r="S98" s="38">
        <f>HLOOKUP($S$1,Invullen!$N$3:$AJ$254,T98,FALSE)</f>
        <v>0</v>
      </c>
      <c r="T98" s="38">
        <v>99</v>
      </c>
    </row>
    <row r="99" spans="13:20" x14ac:dyDescent="0.3">
      <c r="M99" s="31" t="e">
        <f>IF(OR(ISBLANK(Invullen!D102),ISBLANK(Invullen!#REF!)),NA(),Invullen!K103+(Invullen!#REF!/60)-Invullen!D102+(Invullen!#REF!/60))</f>
        <v>#N/A</v>
      </c>
      <c r="N99" s="31" t="e">
        <f>IF(ISBLANK(Invullen!G102),NA(),IF(Invullen!G102=0,0,(FLOOR(Invullen!G102/100,1)+(Invullen!G102-FLOOR(Invullen!G102/100,1)*100)/60)))</f>
        <v>#N/A</v>
      </c>
      <c r="O99" s="31" t="e">
        <f>IF(ISBLANK(Invullen!F102),NA(),IF(Invullen!F102=0,0,(FLOOR(Invullen!F102/100,1)+(Invullen!F102-FLOOR(Invullen!F102/100,1)*100)/60)))</f>
        <v>#N/A</v>
      </c>
      <c r="P99" s="32" t="e">
        <f>IF(ISBLANK(Invullen!F102),NA(),DegtoICES(O99,N99," "))</f>
        <v>#N/A</v>
      </c>
      <c r="Q99" s="33" t="e">
        <f t="shared" ca="1" si="4"/>
        <v>#N/A</v>
      </c>
      <c r="R99" s="41"/>
      <c r="S99" s="38">
        <f>HLOOKUP($S$1,Invullen!$N$3:$AJ$254,T99,FALSE)</f>
        <v>0</v>
      </c>
      <c r="T99" s="38">
        <v>100</v>
      </c>
    </row>
    <row r="100" spans="13:20" x14ac:dyDescent="0.3">
      <c r="M100" s="31" t="e">
        <f>IF(OR(ISBLANK(Invullen!D103),ISBLANK(Invullen!#REF!)),NA(),Invullen!K104+(Invullen!#REF!/60)-Invullen!D103+(Invullen!#REF!/60))</f>
        <v>#N/A</v>
      </c>
      <c r="N100" s="31" t="e">
        <f>IF(ISBLANK(Invullen!G103),NA(),IF(Invullen!G103=0,0,(FLOOR(Invullen!G103/100,1)+(Invullen!G103-FLOOR(Invullen!G103/100,1)*100)/60)))</f>
        <v>#N/A</v>
      </c>
      <c r="O100" s="31" t="e">
        <f>IF(ISBLANK(Invullen!F103),NA(),IF(Invullen!F103=0,0,(FLOOR(Invullen!F103/100,1)+(Invullen!F103-FLOOR(Invullen!F103/100,1)*100)/60)))</f>
        <v>#N/A</v>
      </c>
      <c r="P100" s="32" t="e">
        <f>IF(ISBLANK(Invullen!F103),NA(),DegtoICES(O100,N100," "))</f>
        <v>#N/A</v>
      </c>
      <c r="Q100" s="33" t="e">
        <f t="shared" ca="1" si="4"/>
        <v>#N/A</v>
      </c>
      <c r="R100" s="41"/>
      <c r="S100" s="38">
        <f>HLOOKUP($S$1,Invullen!$N$3:$AJ$254,T100,FALSE)</f>
        <v>0</v>
      </c>
      <c r="T100" s="38">
        <v>101</v>
      </c>
    </row>
    <row r="101" spans="13:20" x14ac:dyDescent="0.3">
      <c r="M101" s="31" t="e">
        <f>IF(OR(ISBLANK(Invullen!D104),ISBLANK(Invullen!#REF!)),NA(),Invullen!K105+(Invullen!#REF!/60)-Invullen!D104+(Invullen!#REF!/60))</f>
        <v>#N/A</v>
      </c>
      <c r="N101" s="31" t="e">
        <f>IF(ISBLANK(Invullen!G104),NA(),IF(Invullen!G104=0,0,(FLOOR(Invullen!G104/100,1)+(Invullen!G104-FLOOR(Invullen!G104/100,1)*100)/60)))</f>
        <v>#N/A</v>
      </c>
      <c r="O101" s="31" t="e">
        <f>IF(ISBLANK(Invullen!F104),NA(),IF(Invullen!F104=0,0,(FLOOR(Invullen!F104/100,1)+(Invullen!F104-FLOOR(Invullen!F104/100,1)*100)/60)))</f>
        <v>#N/A</v>
      </c>
      <c r="P101" s="32" t="e">
        <f>IF(ISBLANK(Invullen!F104),NA(),DegtoICES(O101,N101," "))</f>
        <v>#N/A</v>
      </c>
      <c r="Q101" s="33" t="e">
        <f t="shared" ca="1" si="4"/>
        <v>#N/A</v>
      </c>
      <c r="R101" s="41"/>
      <c r="S101" s="38">
        <f>HLOOKUP($S$1,Invullen!$N$3:$AJ$254,T101,FALSE)</f>
        <v>0</v>
      </c>
      <c r="T101" s="38">
        <v>102</v>
      </c>
    </row>
    <row r="102" spans="13:20" x14ac:dyDescent="0.3">
      <c r="M102" s="31" t="e">
        <f>IF(OR(ISBLANK(Invullen!D105),ISBLANK(Invullen!#REF!)),NA(),Invullen!K106+(Invullen!#REF!/60)-Invullen!D105+(Invullen!#REF!/60))</f>
        <v>#N/A</v>
      </c>
      <c r="N102" s="31" t="e">
        <f>IF(ISBLANK(Invullen!G105),NA(),IF(Invullen!G105=0,0,(FLOOR(Invullen!G105/100,1)+(Invullen!G105-FLOOR(Invullen!G105/100,1)*100)/60)))</f>
        <v>#N/A</v>
      </c>
      <c r="O102" s="31" t="e">
        <f>IF(ISBLANK(Invullen!F105),NA(),IF(Invullen!F105=0,0,(FLOOR(Invullen!F105/100,1)+(Invullen!F105-FLOOR(Invullen!F105/100,1)*100)/60)))</f>
        <v>#N/A</v>
      </c>
      <c r="P102" s="32" t="e">
        <f>IF(ISBLANK(Invullen!F105),NA(),DegtoICES(O102,N102," "))</f>
        <v>#N/A</v>
      </c>
      <c r="Q102" s="33" t="e">
        <f t="shared" ca="1" si="4"/>
        <v>#N/A</v>
      </c>
      <c r="R102" s="41"/>
      <c r="S102" s="38">
        <f>HLOOKUP($S$1,Invullen!$N$3:$AJ$254,T102,FALSE)</f>
        <v>0</v>
      </c>
      <c r="T102" s="38">
        <v>103</v>
      </c>
    </row>
    <row r="103" spans="13:20" x14ac:dyDescent="0.3">
      <c r="M103" s="31" t="e">
        <f>IF(OR(ISBLANK(Invullen!D106),ISBLANK(Invullen!#REF!)),NA(),Invullen!K107+(Invullen!#REF!/60)-Invullen!D106+(Invullen!#REF!/60))</f>
        <v>#N/A</v>
      </c>
      <c r="N103" s="31" t="e">
        <f>IF(ISBLANK(Invullen!G106),NA(),IF(Invullen!G106=0,0,(FLOOR(Invullen!G106/100,1)+(Invullen!G106-FLOOR(Invullen!G106/100,1)*100)/60)))</f>
        <v>#N/A</v>
      </c>
      <c r="O103" s="31" t="e">
        <f>IF(ISBLANK(Invullen!F106),NA(),IF(Invullen!F106=0,0,(FLOOR(Invullen!F106/100,1)+(Invullen!F106-FLOOR(Invullen!F106/100,1)*100)/60)))</f>
        <v>#N/A</v>
      </c>
      <c r="P103" s="32" t="e">
        <f>IF(ISBLANK(Invullen!F106),NA(),DegtoICES(O103,N103," "))</f>
        <v>#N/A</v>
      </c>
      <c r="Q103" s="33" t="e">
        <f t="shared" ca="1" si="4"/>
        <v>#N/A</v>
      </c>
      <c r="R103" s="41"/>
      <c r="S103" s="38">
        <f>HLOOKUP($S$1,Invullen!$N$3:$AJ$254,T103,FALSE)</f>
        <v>0</v>
      </c>
      <c r="T103" s="38">
        <v>104</v>
      </c>
    </row>
    <row r="104" spans="13:20" x14ac:dyDescent="0.3">
      <c r="M104" s="31" t="e">
        <f>IF(OR(ISBLANK(Invullen!D107),ISBLANK(Invullen!#REF!)),NA(),Invullen!K108+(Invullen!#REF!/60)-Invullen!D107+(Invullen!#REF!/60))</f>
        <v>#N/A</v>
      </c>
      <c r="N104" s="31" t="e">
        <f>IF(ISBLANK(Invullen!G107),NA(),IF(Invullen!G107=0,0,(FLOOR(Invullen!G107/100,1)+(Invullen!G107-FLOOR(Invullen!G107/100,1)*100)/60)))</f>
        <v>#N/A</v>
      </c>
      <c r="O104" s="31" t="e">
        <f>IF(ISBLANK(Invullen!F107),NA(),IF(Invullen!F107=0,0,(FLOOR(Invullen!F107/100,1)+(Invullen!F107-FLOOR(Invullen!F107/100,1)*100)/60)))</f>
        <v>#N/A</v>
      </c>
      <c r="P104" s="32" t="e">
        <f>IF(ISBLANK(Invullen!F107),NA(),DegtoICES(O104,N104," "))</f>
        <v>#N/A</v>
      </c>
      <c r="Q104" s="33" t="e">
        <f t="shared" ca="1" si="4"/>
        <v>#N/A</v>
      </c>
      <c r="R104" s="41"/>
      <c r="S104" s="38">
        <f>HLOOKUP($S$1,Invullen!$N$3:$AJ$254,T104,FALSE)</f>
        <v>0</v>
      </c>
      <c r="T104" s="38">
        <v>105</v>
      </c>
    </row>
    <row r="105" spans="13:20" x14ac:dyDescent="0.3">
      <c r="M105" s="31" t="e">
        <f>IF(OR(ISBLANK(Invullen!D108),ISBLANK(Invullen!#REF!)),NA(),Invullen!K109+(Invullen!#REF!/60)-Invullen!D108+(Invullen!#REF!/60))</f>
        <v>#N/A</v>
      </c>
      <c r="N105" s="31" t="e">
        <f>IF(ISBLANK(Invullen!G108),NA(),IF(Invullen!G108=0,0,(FLOOR(Invullen!G108/100,1)+(Invullen!G108-FLOOR(Invullen!G108/100,1)*100)/60)))</f>
        <v>#N/A</v>
      </c>
      <c r="O105" s="31" t="e">
        <f>IF(ISBLANK(Invullen!F108),NA(),IF(Invullen!F108=0,0,(FLOOR(Invullen!F108/100,1)+(Invullen!F108-FLOOR(Invullen!F108/100,1)*100)/60)))</f>
        <v>#N/A</v>
      </c>
      <c r="P105" s="32" t="e">
        <f>IF(ISBLANK(Invullen!F108),NA(),DegtoICES(O105,N105," "))</f>
        <v>#N/A</v>
      </c>
      <c r="Q105" s="33" t="e">
        <f t="shared" ca="1" si="4"/>
        <v>#N/A</v>
      </c>
      <c r="R105" s="41"/>
      <c r="S105" s="38">
        <f>HLOOKUP($S$1,Invullen!$N$3:$AJ$254,T105,FALSE)</f>
        <v>0</v>
      </c>
      <c r="T105" s="38">
        <v>106</v>
      </c>
    </row>
    <row r="106" spans="13:20" x14ac:dyDescent="0.3">
      <c r="M106" s="31" t="e">
        <f>IF(OR(ISBLANK(Invullen!D109),ISBLANK(Invullen!#REF!)),NA(),Invullen!K110+(Invullen!#REF!/60)-Invullen!D109+(Invullen!#REF!/60))</f>
        <v>#N/A</v>
      </c>
      <c r="N106" s="31" t="e">
        <f>IF(ISBLANK(Invullen!G109),NA(),IF(Invullen!G109=0,0,(FLOOR(Invullen!G109/100,1)+(Invullen!G109-FLOOR(Invullen!G109/100,1)*100)/60)))</f>
        <v>#N/A</v>
      </c>
      <c r="O106" s="31" t="e">
        <f>IF(ISBLANK(Invullen!F109),NA(),IF(Invullen!F109=0,0,(FLOOR(Invullen!F109/100,1)+(Invullen!F109-FLOOR(Invullen!F109/100,1)*100)/60)))</f>
        <v>#N/A</v>
      </c>
      <c r="P106" s="32" t="e">
        <f>IF(ISBLANK(Invullen!F109),NA(),DegtoICES(O106,N106," "))</f>
        <v>#N/A</v>
      </c>
      <c r="Q106" s="33" t="e">
        <f t="shared" ca="1" si="4"/>
        <v>#N/A</v>
      </c>
      <c r="R106" s="41"/>
      <c r="S106" s="38">
        <f>HLOOKUP($S$1,Invullen!$N$3:$AJ$254,T106,FALSE)</f>
        <v>0</v>
      </c>
      <c r="T106" s="38">
        <v>107</v>
      </c>
    </row>
    <row r="107" spans="13:20" x14ac:dyDescent="0.3">
      <c r="M107" s="31" t="e">
        <f>IF(OR(ISBLANK(Invullen!D110),ISBLANK(Invullen!#REF!)),NA(),Invullen!K111+(Invullen!#REF!/60)-Invullen!D110+(Invullen!#REF!/60))</f>
        <v>#N/A</v>
      </c>
      <c r="N107" s="31" t="e">
        <f>IF(ISBLANK(Invullen!G110),NA(),IF(Invullen!G110=0,0,(FLOOR(Invullen!G110/100,1)+(Invullen!G110-FLOOR(Invullen!G110/100,1)*100)/60)))</f>
        <v>#N/A</v>
      </c>
      <c r="O107" s="31" t="e">
        <f>IF(ISBLANK(Invullen!F110),NA(),IF(Invullen!F110=0,0,(FLOOR(Invullen!F110/100,1)+(Invullen!F110-FLOOR(Invullen!F110/100,1)*100)/60)))</f>
        <v>#N/A</v>
      </c>
      <c r="P107" s="32" t="e">
        <f>IF(ISBLANK(Invullen!F110),NA(),DegtoICES(O107,N107," "))</f>
        <v>#N/A</v>
      </c>
      <c r="Q107" s="33" t="e">
        <f t="shared" ca="1" si="4"/>
        <v>#N/A</v>
      </c>
      <c r="R107" s="41"/>
      <c r="S107" s="38">
        <f>HLOOKUP($S$1,Invullen!$N$3:$AJ$254,T107,FALSE)</f>
        <v>0</v>
      </c>
      <c r="T107" s="38">
        <v>108</v>
      </c>
    </row>
    <row r="108" spans="13:20" x14ac:dyDescent="0.3">
      <c r="M108" s="31" t="e">
        <f>IF(OR(ISBLANK(Invullen!D111),ISBLANK(Invullen!#REF!)),NA(),Invullen!K112+(Invullen!#REF!/60)-Invullen!D111+(Invullen!#REF!/60))</f>
        <v>#N/A</v>
      </c>
      <c r="N108" s="31" t="e">
        <f>IF(ISBLANK(Invullen!G111),NA(),IF(Invullen!G111=0,0,(FLOOR(Invullen!G111/100,1)+(Invullen!G111-FLOOR(Invullen!G111/100,1)*100)/60)))</f>
        <v>#N/A</v>
      </c>
      <c r="O108" s="31" t="e">
        <f>IF(ISBLANK(Invullen!F111),NA(),IF(Invullen!F111=0,0,(FLOOR(Invullen!F111/100,1)+(Invullen!F111-FLOOR(Invullen!F111/100,1)*100)/60)))</f>
        <v>#N/A</v>
      </c>
      <c r="P108" s="32" t="e">
        <f>IF(ISBLANK(Invullen!F111),NA(),DegtoICES(O108,N108," "))</f>
        <v>#N/A</v>
      </c>
      <c r="Q108" s="33" t="e">
        <f t="shared" ca="1" si="4"/>
        <v>#N/A</v>
      </c>
      <c r="R108" s="41"/>
      <c r="S108" s="38">
        <f>HLOOKUP($S$1,Invullen!$N$3:$AJ$254,T108,FALSE)</f>
        <v>0</v>
      </c>
      <c r="T108" s="38">
        <v>109</v>
      </c>
    </row>
    <row r="109" spans="13:20" x14ac:dyDescent="0.3">
      <c r="M109" s="31" t="e">
        <f>IF(OR(ISBLANK(Invullen!D112),ISBLANK(Invullen!#REF!)),NA(),Invullen!K113+(Invullen!#REF!/60)-Invullen!D112+(Invullen!#REF!/60))</f>
        <v>#N/A</v>
      </c>
      <c r="N109" s="31" t="e">
        <f>IF(ISBLANK(Invullen!G112),NA(),IF(Invullen!G112=0,0,(FLOOR(Invullen!G112/100,1)+(Invullen!G112-FLOOR(Invullen!G112/100,1)*100)/60)))</f>
        <v>#N/A</v>
      </c>
      <c r="O109" s="31" t="e">
        <f>IF(ISBLANK(Invullen!F112),NA(),IF(Invullen!F112=0,0,(FLOOR(Invullen!F112/100,1)+(Invullen!F112-FLOOR(Invullen!F112/100,1)*100)/60)))</f>
        <v>#N/A</v>
      </c>
      <c r="P109" s="32" t="e">
        <f>IF(ISBLANK(Invullen!F112),NA(),DegtoICES(O109,N109," "))</f>
        <v>#N/A</v>
      </c>
      <c r="Q109" s="33" t="e">
        <f t="shared" ca="1" si="4"/>
        <v>#N/A</v>
      </c>
      <c r="R109" s="41"/>
      <c r="S109" s="38">
        <f>HLOOKUP($S$1,Invullen!$N$3:$AJ$254,T109,FALSE)</f>
        <v>0</v>
      </c>
      <c r="T109" s="38">
        <v>110</v>
      </c>
    </row>
    <row r="110" spans="13:20" x14ac:dyDescent="0.3">
      <c r="M110" s="31" t="e">
        <f>IF(OR(ISBLANK(Invullen!D113),ISBLANK(Invullen!#REF!)),NA(),Invullen!K114+(Invullen!#REF!/60)-Invullen!D113+(Invullen!#REF!/60))</f>
        <v>#N/A</v>
      </c>
      <c r="N110" s="31" t="e">
        <f>IF(ISBLANK(Invullen!G113),NA(),IF(Invullen!G113=0,0,(FLOOR(Invullen!G113/100,1)+(Invullen!G113-FLOOR(Invullen!G113/100,1)*100)/60)))</f>
        <v>#N/A</v>
      </c>
      <c r="O110" s="31" t="e">
        <f>IF(ISBLANK(Invullen!F113),NA(),IF(Invullen!F113=0,0,(FLOOR(Invullen!F113/100,1)+(Invullen!F113-FLOOR(Invullen!F113/100,1)*100)/60)))</f>
        <v>#N/A</v>
      </c>
      <c r="P110" s="32" t="e">
        <f>IF(ISBLANK(Invullen!F113),NA(),DegtoICES(O110,N110," "))</f>
        <v>#N/A</v>
      </c>
      <c r="Q110" s="33" t="e">
        <f t="shared" ca="1" si="4"/>
        <v>#N/A</v>
      </c>
      <c r="R110" s="41"/>
      <c r="S110" s="38">
        <f>HLOOKUP($S$1,Invullen!$N$3:$AJ$254,T110,FALSE)</f>
        <v>0</v>
      </c>
      <c r="T110" s="38">
        <v>111</v>
      </c>
    </row>
    <row r="111" spans="13:20" x14ac:dyDescent="0.3">
      <c r="M111" s="31" t="e">
        <f>IF(OR(ISBLANK(Invullen!D114),ISBLANK(Invullen!#REF!)),NA(),Invullen!K115+(Invullen!#REF!/60)-Invullen!D114+(Invullen!#REF!/60))</f>
        <v>#N/A</v>
      </c>
      <c r="N111" s="31" t="e">
        <f>IF(ISBLANK(Invullen!G114),NA(),IF(Invullen!G114=0,0,(FLOOR(Invullen!G114/100,1)+(Invullen!G114-FLOOR(Invullen!G114/100,1)*100)/60)))</f>
        <v>#N/A</v>
      </c>
      <c r="O111" s="31" t="e">
        <f>IF(ISBLANK(Invullen!F114),NA(),IF(Invullen!F114=0,0,(FLOOR(Invullen!F114/100,1)+(Invullen!F114-FLOOR(Invullen!F114/100,1)*100)/60)))</f>
        <v>#N/A</v>
      </c>
      <c r="P111" s="32" t="e">
        <f>IF(ISBLANK(Invullen!F114),NA(),DegtoICES(O111,N111," "))</f>
        <v>#N/A</v>
      </c>
      <c r="Q111" s="33" t="e">
        <f t="shared" ca="1" si="4"/>
        <v>#N/A</v>
      </c>
      <c r="R111" s="41"/>
      <c r="S111" s="38">
        <f>HLOOKUP($S$1,Invullen!$N$3:$AJ$254,T111,FALSE)</f>
        <v>0</v>
      </c>
      <c r="T111" s="38">
        <v>112</v>
      </c>
    </row>
    <row r="112" spans="13:20" x14ac:dyDescent="0.3">
      <c r="M112" s="31" t="e">
        <f>IF(OR(ISBLANK(Invullen!D115),ISBLANK(Invullen!#REF!)),NA(),Invullen!K116+(Invullen!#REF!/60)-Invullen!D115+(Invullen!#REF!/60))</f>
        <v>#N/A</v>
      </c>
      <c r="N112" s="31" t="e">
        <f>IF(ISBLANK(Invullen!G115),NA(),IF(Invullen!G115=0,0,(FLOOR(Invullen!G115/100,1)+(Invullen!G115-FLOOR(Invullen!G115/100,1)*100)/60)))</f>
        <v>#N/A</v>
      </c>
      <c r="O112" s="31" t="e">
        <f>IF(ISBLANK(Invullen!F115),NA(),IF(Invullen!F115=0,0,(FLOOR(Invullen!F115/100,1)+(Invullen!F115-FLOOR(Invullen!F115/100,1)*100)/60)))</f>
        <v>#N/A</v>
      </c>
      <c r="P112" s="32" t="e">
        <f>IF(ISBLANK(Invullen!F115),NA(),DegtoICES(O112,N112," "))</f>
        <v>#N/A</v>
      </c>
      <c r="Q112" s="33" t="e">
        <f t="shared" ca="1" si="4"/>
        <v>#N/A</v>
      </c>
      <c r="R112" s="41"/>
      <c r="S112" s="38">
        <f>HLOOKUP($S$1,Invullen!$N$3:$AJ$254,T112,FALSE)</f>
        <v>0</v>
      </c>
      <c r="T112" s="38">
        <v>113</v>
      </c>
    </row>
    <row r="113" spans="13:20" x14ac:dyDescent="0.3">
      <c r="M113" s="31" t="e">
        <f>IF(OR(ISBLANK(Invullen!D116),ISBLANK(Invullen!#REF!)),NA(),Invullen!K117+(Invullen!#REF!/60)-Invullen!D116+(Invullen!#REF!/60))</f>
        <v>#N/A</v>
      </c>
      <c r="N113" s="31" t="e">
        <f>IF(ISBLANK(Invullen!G116),NA(),IF(Invullen!G116=0,0,(FLOOR(Invullen!G116/100,1)+(Invullen!G116-FLOOR(Invullen!G116/100,1)*100)/60)))</f>
        <v>#N/A</v>
      </c>
      <c r="O113" s="31" t="e">
        <f>IF(ISBLANK(Invullen!F116),NA(),IF(Invullen!F116=0,0,(FLOOR(Invullen!F116/100,1)+(Invullen!F116-FLOOR(Invullen!F116/100,1)*100)/60)))</f>
        <v>#N/A</v>
      </c>
      <c r="P113" s="32" t="e">
        <f>IF(ISBLANK(Invullen!F116),NA(),DegtoICES(O113,N113," "))</f>
        <v>#N/A</v>
      </c>
      <c r="Q113" s="33" t="e">
        <f t="shared" ca="1" si="4"/>
        <v>#N/A</v>
      </c>
      <c r="R113" s="41"/>
      <c r="S113" s="38">
        <f>HLOOKUP($S$1,Invullen!$N$3:$AJ$254,T113,FALSE)</f>
        <v>0</v>
      </c>
      <c r="T113" s="38">
        <v>114</v>
      </c>
    </row>
    <row r="114" spans="13:20" x14ac:dyDescent="0.3">
      <c r="M114" s="31" t="e">
        <f>IF(OR(ISBLANK(Invullen!D117),ISBLANK(Invullen!#REF!)),NA(),Invullen!K118+(Invullen!#REF!/60)-Invullen!D117+(Invullen!#REF!/60))</f>
        <v>#N/A</v>
      </c>
      <c r="N114" s="31" t="e">
        <f>IF(ISBLANK(Invullen!G117),NA(),IF(Invullen!G117=0,0,(FLOOR(Invullen!G117/100,1)+(Invullen!G117-FLOOR(Invullen!G117/100,1)*100)/60)))</f>
        <v>#N/A</v>
      </c>
      <c r="O114" s="31" t="e">
        <f>IF(ISBLANK(Invullen!F117),NA(),IF(Invullen!F117=0,0,(FLOOR(Invullen!F117/100,1)+(Invullen!F117-FLOOR(Invullen!F117/100,1)*100)/60)))</f>
        <v>#N/A</v>
      </c>
      <c r="P114" s="32" t="e">
        <f>IF(ISBLANK(Invullen!F117),NA(),DegtoICES(O114,N114," "))</f>
        <v>#N/A</v>
      </c>
      <c r="Q114" s="33" t="e">
        <f t="shared" ca="1" si="4"/>
        <v>#N/A</v>
      </c>
      <c r="R114" s="41"/>
      <c r="S114" s="38">
        <f>HLOOKUP($S$1,Invullen!$N$3:$AJ$254,T114,FALSE)</f>
        <v>0</v>
      </c>
      <c r="T114" s="38">
        <v>115</v>
      </c>
    </row>
    <row r="115" spans="13:20" x14ac:dyDescent="0.3">
      <c r="M115" s="31" t="e">
        <f>IF(OR(ISBLANK(Invullen!D118),ISBLANK(Invullen!#REF!)),NA(),Invullen!K119+(Invullen!#REF!/60)-Invullen!D118+(Invullen!#REF!/60))</f>
        <v>#N/A</v>
      </c>
      <c r="N115" s="31" t="e">
        <f>IF(ISBLANK(Invullen!G118),NA(),IF(Invullen!G118=0,0,(FLOOR(Invullen!G118/100,1)+(Invullen!G118-FLOOR(Invullen!G118/100,1)*100)/60)))</f>
        <v>#N/A</v>
      </c>
      <c r="O115" s="31" t="e">
        <f>IF(ISBLANK(Invullen!F118),NA(),IF(Invullen!F118=0,0,(FLOOR(Invullen!F118/100,1)+(Invullen!F118-FLOOR(Invullen!F118/100,1)*100)/60)))</f>
        <v>#N/A</v>
      </c>
      <c r="P115" s="32" t="e">
        <f>IF(ISBLANK(Invullen!F118),NA(),DegtoICES(O115,N115," "))</f>
        <v>#N/A</v>
      </c>
      <c r="Q115" s="33" t="e">
        <f t="shared" ca="1" si="4"/>
        <v>#N/A</v>
      </c>
      <c r="R115" s="41"/>
      <c r="S115" s="38">
        <f>HLOOKUP($S$1,Invullen!$N$3:$AJ$254,T115,FALSE)</f>
        <v>0</v>
      </c>
      <c r="T115" s="38">
        <v>116</v>
      </c>
    </row>
    <row r="116" spans="13:20" x14ac:dyDescent="0.3">
      <c r="M116" s="31" t="e">
        <f>IF(OR(ISBLANK(Invullen!D119),ISBLANK(Invullen!#REF!)),NA(),Invullen!K120+(Invullen!#REF!/60)-Invullen!D119+(Invullen!#REF!/60))</f>
        <v>#N/A</v>
      </c>
      <c r="N116" s="31" t="e">
        <f>IF(ISBLANK(Invullen!G119),NA(),IF(Invullen!G119=0,0,(FLOOR(Invullen!G119/100,1)+(Invullen!G119-FLOOR(Invullen!G119/100,1)*100)/60)))</f>
        <v>#N/A</v>
      </c>
      <c r="O116" s="31" t="e">
        <f>IF(ISBLANK(Invullen!F119),NA(),IF(Invullen!F119=0,0,(FLOOR(Invullen!F119/100,1)+(Invullen!F119-FLOOR(Invullen!F119/100,1)*100)/60)))</f>
        <v>#N/A</v>
      </c>
      <c r="P116" s="32" t="e">
        <f>IF(ISBLANK(Invullen!F119),NA(),DegtoICES(O116,N116," "))</f>
        <v>#N/A</v>
      </c>
      <c r="Q116" s="33" t="e">
        <f t="shared" ca="1" si="4"/>
        <v>#N/A</v>
      </c>
      <c r="R116" s="41"/>
      <c r="S116" s="38">
        <f>HLOOKUP($S$1,Invullen!$N$3:$AJ$254,T116,FALSE)</f>
        <v>0</v>
      </c>
      <c r="T116" s="38">
        <v>117</v>
      </c>
    </row>
    <row r="117" spans="13:20" x14ac:dyDescent="0.3">
      <c r="M117" s="31" t="e">
        <f>IF(OR(ISBLANK(Invullen!D120),ISBLANK(Invullen!#REF!)),NA(),Invullen!K121+(Invullen!#REF!/60)-Invullen!D120+(Invullen!#REF!/60))</f>
        <v>#N/A</v>
      </c>
      <c r="N117" s="31" t="e">
        <f>IF(ISBLANK(Invullen!G120),NA(),IF(Invullen!G120=0,0,(FLOOR(Invullen!G120/100,1)+(Invullen!G120-FLOOR(Invullen!G120/100,1)*100)/60)))</f>
        <v>#N/A</v>
      </c>
      <c r="O117" s="31" t="e">
        <f>IF(ISBLANK(Invullen!F120),NA(),IF(Invullen!F120=0,0,(FLOOR(Invullen!F120/100,1)+(Invullen!F120-FLOOR(Invullen!F120/100,1)*100)/60)))</f>
        <v>#N/A</v>
      </c>
      <c r="P117" s="32" t="e">
        <f>IF(ISBLANK(Invullen!F120),NA(),DegtoICES(O117,N117," "))</f>
        <v>#N/A</v>
      </c>
      <c r="Q117" s="33" t="e">
        <f t="shared" ca="1" si="4"/>
        <v>#N/A</v>
      </c>
      <c r="R117" s="41"/>
      <c r="S117" s="38">
        <f>HLOOKUP($S$1,Invullen!$N$3:$AJ$254,T117,FALSE)</f>
        <v>0</v>
      </c>
      <c r="T117" s="38">
        <v>118</v>
      </c>
    </row>
    <row r="118" spans="13:20" x14ac:dyDescent="0.3">
      <c r="M118" s="31" t="e">
        <f>IF(OR(ISBLANK(Invullen!D121),ISBLANK(Invullen!#REF!)),NA(),Invullen!K122+(Invullen!#REF!/60)-Invullen!D121+(Invullen!#REF!/60))</f>
        <v>#N/A</v>
      </c>
      <c r="N118" s="31" t="e">
        <f>IF(ISBLANK(Invullen!G121),NA(),IF(Invullen!G121=0,0,(FLOOR(Invullen!G121/100,1)+(Invullen!G121-FLOOR(Invullen!G121/100,1)*100)/60)))</f>
        <v>#N/A</v>
      </c>
      <c r="O118" s="31" t="e">
        <f>IF(ISBLANK(Invullen!F121),NA(),IF(Invullen!F121=0,0,(FLOOR(Invullen!F121/100,1)+(Invullen!F121-FLOOR(Invullen!F121/100,1)*100)/60)))</f>
        <v>#N/A</v>
      </c>
      <c r="P118" s="32" t="e">
        <f>IF(ISBLANK(Invullen!F121),NA(),DegtoICES(O118,N118," "))</f>
        <v>#N/A</v>
      </c>
      <c r="Q118" s="33" t="e">
        <f t="shared" ca="1" si="4"/>
        <v>#N/A</v>
      </c>
      <c r="R118" s="41"/>
      <c r="S118" s="38">
        <f>HLOOKUP($S$1,Invullen!$N$3:$AJ$254,T118,FALSE)</f>
        <v>0</v>
      </c>
      <c r="T118" s="38">
        <v>119</v>
      </c>
    </row>
    <row r="119" spans="13:20" x14ac:dyDescent="0.3">
      <c r="M119" s="31" t="e">
        <f>IF(OR(ISBLANK(Invullen!D122),ISBLANK(Invullen!#REF!)),NA(),Invullen!K123+(Invullen!#REF!/60)-Invullen!D122+(Invullen!#REF!/60))</f>
        <v>#N/A</v>
      </c>
      <c r="N119" s="31" t="e">
        <f>IF(ISBLANK(Invullen!G122),NA(),IF(Invullen!G122=0,0,(FLOOR(Invullen!G122/100,1)+(Invullen!G122-FLOOR(Invullen!G122/100,1)*100)/60)))</f>
        <v>#N/A</v>
      </c>
      <c r="O119" s="31" t="e">
        <f>IF(ISBLANK(Invullen!F122),NA(),IF(Invullen!F122=0,0,(FLOOR(Invullen!F122/100,1)+(Invullen!F122-FLOOR(Invullen!F122/100,1)*100)/60)))</f>
        <v>#N/A</v>
      </c>
      <c r="P119" s="32" t="e">
        <f>IF(ISBLANK(Invullen!F122),NA(),DegtoICES(O119,N119," "))</f>
        <v>#N/A</v>
      </c>
      <c r="Q119" s="33" t="e">
        <f t="shared" ca="1" si="4"/>
        <v>#N/A</v>
      </c>
      <c r="R119" s="41"/>
      <c r="S119" s="38">
        <f>HLOOKUP($S$1,Invullen!$N$3:$AJ$254,T119,FALSE)</f>
        <v>0</v>
      </c>
      <c r="T119" s="38">
        <v>120</v>
      </c>
    </row>
    <row r="120" spans="13:20" x14ac:dyDescent="0.3">
      <c r="M120" s="31" t="e">
        <f>IF(OR(ISBLANK(Invullen!D123),ISBLANK(Invullen!#REF!)),NA(),Invullen!K124+(Invullen!#REF!/60)-Invullen!D123+(Invullen!#REF!/60))</f>
        <v>#N/A</v>
      </c>
      <c r="N120" s="31" t="e">
        <f>IF(ISBLANK(Invullen!G123),NA(),IF(Invullen!G123=0,0,(FLOOR(Invullen!G123/100,1)+(Invullen!G123-FLOOR(Invullen!G123/100,1)*100)/60)))</f>
        <v>#N/A</v>
      </c>
      <c r="O120" s="31" t="e">
        <f>IF(ISBLANK(Invullen!F123),NA(),IF(Invullen!F123=0,0,(FLOOR(Invullen!F123/100,1)+(Invullen!F123-FLOOR(Invullen!F123/100,1)*100)/60)))</f>
        <v>#N/A</v>
      </c>
      <c r="P120" s="32" t="e">
        <f>IF(ISBLANK(Invullen!F123),NA(),DegtoICES(O120,N120," "))</f>
        <v>#N/A</v>
      </c>
      <c r="Q120" s="33" t="e">
        <f t="shared" ca="1" si="4"/>
        <v>#N/A</v>
      </c>
      <c r="R120" s="41"/>
      <c r="S120" s="38">
        <f>HLOOKUP($S$1,Invullen!$N$3:$AJ$254,T120,FALSE)</f>
        <v>0</v>
      </c>
      <c r="T120" s="38">
        <v>121</v>
      </c>
    </row>
    <row r="121" spans="13:20" x14ac:dyDescent="0.3">
      <c r="M121" s="31" t="e">
        <f>IF(OR(ISBLANK(Invullen!D124),ISBLANK(Invullen!#REF!)),NA(),Invullen!K125+(Invullen!#REF!/60)-Invullen!D124+(Invullen!#REF!/60))</f>
        <v>#N/A</v>
      </c>
      <c r="N121" s="31" t="e">
        <f>IF(ISBLANK(Invullen!G124),NA(),IF(Invullen!G124=0,0,(FLOOR(Invullen!G124/100,1)+(Invullen!G124-FLOOR(Invullen!G124/100,1)*100)/60)))</f>
        <v>#N/A</v>
      </c>
      <c r="O121" s="31" t="e">
        <f>IF(ISBLANK(Invullen!F124),NA(),IF(Invullen!F124=0,0,(FLOOR(Invullen!F124/100,1)+(Invullen!F124-FLOOR(Invullen!F124/100,1)*100)/60)))</f>
        <v>#N/A</v>
      </c>
      <c r="P121" s="32" t="e">
        <f>IF(ISBLANK(Invullen!F124),NA(),DegtoICES(O121,N121," "))</f>
        <v>#N/A</v>
      </c>
      <c r="Q121" s="33" t="e">
        <f t="shared" ca="1" si="4"/>
        <v>#N/A</v>
      </c>
      <c r="R121" s="41"/>
      <c r="S121" s="38">
        <f>HLOOKUP($S$1,Invullen!$N$3:$AJ$254,T121,FALSE)</f>
        <v>0</v>
      </c>
      <c r="T121" s="38">
        <v>122</v>
      </c>
    </row>
    <row r="122" spans="13:20" x14ac:dyDescent="0.3">
      <c r="M122" s="31" t="e">
        <f>IF(OR(ISBLANK(Invullen!D125),ISBLANK(Invullen!#REF!)),NA(),Invullen!K126+(Invullen!#REF!/60)-Invullen!D125+(Invullen!#REF!/60))</f>
        <v>#N/A</v>
      </c>
      <c r="N122" s="31" t="e">
        <f>IF(ISBLANK(Invullen!G125),NA(),IF(Invullen!G125=0,0,(FLOOR(Invullen!G125/100,1)+(Invullen!G125-FLOOR(Invullen!G125/100,1)*100)/60)))</f>
        <v>#N/A</v>
      </c>
      <c r="O122" s="31" t="e">
        <f>IF(ISBLANK(Invullen!F125),NA(),IF(Invullen!F125=0,0,(FLOOR(Invullen!F125/100,1)+(Invullen!F125-FLOOR(Invullen!F125/100,1)*100)/60)))</f>
        <v>#N/A</v>
      </c>
      <c r="P122" s="32" t="e">
        <f>IF(ISBLANK(Invullen!F125),NA(),DegtoICES(O122,N122," "))</f>
        <v>#N/A</v>
      </c>
      <c r="Q122" s="33" t="e">
        <f t="shared" ca="1" si="4"/>
        <v>#N/A</v>
      </c>
      <c r="R122" s="41"/>
      <c r="S122" s="38">
        <f>HLOOKUP($S$1,Invullen!$N$3:$AJ$254,T122,FALSE)</f>
        <v>0</v>
      </c>
      <c r="T122" s="38">
        <v>123</v>
      </c>
    </row>
    <row r="123" spans="13:20" x14ac:dyDescent="0.3">
      <c r="M123" s="31" t="e">
        <f>IF(OR(ISBLANK(Invullen!D126),ISBLANK(Invullen!#REF!)),NA(),Invullen!K127+(Invullen!#REF!/60)-Invullen!D126+(Invullen!#REF!/60))</f>
        <v>#N/A</v>
      </c>
      <c r="N123" s="31" t="e">
        <f>IF(ISBLANK(Invullen!G126),NA(),IF(Invullen!G126=0,0,(FLOOR(Invullen!G126/100,1)+(Invullen!G126-FLOOR(Invullen!G126/100,1)*100)/60)))</f>
        <v>#N/A</v>
      </c>
      <c r="O123" s="31" t="e">
        <f>IF(ISBLANK(Invullen!F126),NA(),IF(Invullen!F126=0,0,(FLOOR(Invullen!F126/100,1)+(Invullen!F126-FLOOR(Invullen!F126/100,1)*100)/60)))</f>
        <v>#N/A</v>
      </c>
      <c r="P123" s="32" t="e">
        <f>IF(ISBLANK(Invullen!F126),NA(),DegtoICES(O123,N123," "))</f>
        <v>#N/A</v>
      </c>
      <c r="Q123" s="33" t="e">
        <f t="shared" ca="1" si="4"/>
        <v>#N/A</v>
      </c>
      <c r="R123" s="41"/>
      <c r="S123" s="38">
        <f>HLOOKUP($S$1,Invullen!$N$3:$AJ$254,T123,FALSE)</f>
        <v>0</v>
      </c>
      <c r="T123" s="38">
        <v>124</v>
      </c>
    </row>
    <row r="124" spans="13:20" x14ac:dyDescent="0.3">
      <c r="M124" s="31" t="e">
        <f>IF(OR(ISBLANK(Invullen!D127),ISBLANK(Invullen!#REF!)),NA(),Invullen!K128+(Invullen!#REF!/60)-Invullen!D127+(Invullen!#REF!/60))</f>
        <v>#N/A</v>
      </c>
      <c r="N124" s="31" t="e">
        <f>IF(ISBLANK(Invullen!G127),NA(),IF(Invullen!G127=0,0,(FLOOR(Invullen!G127/100,1)+(Invullen!G127-FLOOR(Invullen!G127/100,1)*100)/60)))</f>
        <v>#N/A</v>
      </c>
      <c r="O124" s="31" t="e">
        <f>IF(ISBLANK(Invullen!F127),NA(),IF(Invullen!F127=0,0,(FLOOR(Invullen!F127/100,1)+(Invullen!F127-FLOOR(Invullen!F127/100,1)*100)/60)))</f>
        <v>#N/A</v>
      </c>
      <c r="P124" s="32" t="e">
        <f>IF(ISBLANK(Invullen!F127),NA(),DegtoICES(O124,N124," "))</f>
        <v>#N/A</v>
      </c>
      <c r="Q124" s="33" t="e">
        <f t="shared" ca="1" si="4"/>
        <v>#N/A</v>
      </c>
      <c r="R124" s="41"/>
      <c r="S124" s="38">
        <f>HLOOKUP($S$1,Invullen!$N$3:$AJ$254,T124,FALSE)</f>
        <v>0</v>
      </c>
      <c r="T124" s="38">
        <v>125</v>
      </c>
    </row>
    <row r="125" spans="13:20" x14ac:dyDescent="0.3">
      <c r="M125" s="31" t="e">
        <f>IF(OR(ISBLANK(Invullen!D128),ISBLANK(Invullen!#REF!)),NA(),Invullen!K129+(Invullen!#REF!/60)-Invullen!D128+(Invullen!#REF!/60))</f>
        <v>#N/A</v>
      </c>
      <c r="N125" s="31" t="e">
        <f>IF(ISBLANK(Invullen!G128),NA(),IF(Invullen!G128=0,0,(FLOOR(Invullen!G128/100,1)+(Invullen!G128-FLOOR(Invullen!G128/100,1)*100)/60)))</f>
        <v>#N/A</v>
      </c>
      <c r="O125" s="31" t="e">
        <f>IF(ISBLANK(Invullen!F128),NA(),IF(Invullen!F128=0,0,(FLOOR(Invullen!F128/100,1)+(Invullen!F128-FLOOR(Invullen!F128/100,1)*100)/60)))</f>
        <v>#N/A</v>
      </c>
      <c r="P125" s="32" t="e">
        <f>IF(ISBLANK(Invullen!F128),NA(),DegtoICES(O125,N125," "))</f>
        <v>#N/A</v>
      </c>
      <c r="Q125" s="33" t="e">
        <f t="shared" ca="1" si="4"/>
        <v>#N/A</v>
      </c>
      <c r="R125" s="41"/>
      <c r="S125" s="38">
        <f>HLOOKUP($S$1,Invullen!$N$3:$AJ$254,T125,FALSE)</f>
        <v>0</v>
      </c>
      <c r="T125" s="38">
        <v>126</v>
      </c>
    </row>
    <row r="126" spans="13:20" x14ac:dyDescent="0.3">
      <c r="M126" s="31" t="e">
        <f>IF(OR(ISBLANK(Invullen!D129),ISBLANK(Invullen!#REF!)),NA(),Invullen!K130+(Invullen!#REF!/60)-Invullen!D129+(Invullen!#REF!/60))</f>
        <v>#N/A</v>
      </c>
      <c r="N126" s="31" t="e">
        <f>IF(ISBLANK(Invullen!G129),NA(),IF(Invullen!G129=0,0,(FLOOR(Invullen!G129/100,1)+(Invullen!G129-FLOOR(Invullen!G129/100,1)*100)/60)))</f>
        <v>#N/A</v>
      </c>
      <c r="O126" s="31" t="e">
        <f>IF(ISBLANK(Invullen!F129),NA(),IF(Invullen!F129=0,0,(FLOOR(Invullen!F129/100,1)+(Invullen!F129-FLOOR(Invullen!F129/100,1)*100)/60)))</f>
        <v>#N/A</v>
      </c>
      <c r="P126" s="32" t="e">
        <f>IF(ISBLANK(Invullen!F129),NA(),DegtoICES(O126,N126," "))</f>
        <v>#N/A</v>
      </c>
      <c r="Q126" s="33" t="e">
        <f t="shared" ca="1" si="4"/>
        <v>#N/A</v>
      </c>
      <c r="R126" s="41"/>
      <c r="S126" s="38">
        <f>HLOOKUP($S$1,Invullen!$N$3:$AJ$254,T126,FALSE)</f>
        <v>0</v>
      </c>
      <c r="T126" s="38">
        <v>127</v>
      </c>
    </row>
    <row r="127" spans="13:20" x14ac:dyDescent="0.3">
      <c r="M127" s="31" t="e">
        <f>IF(OR(ISBLANK(Invullen!D130),ISBLANK(Invullen!#REF!)),NA(),Invullen!K131+(Invullen!#REF!/60)-Invullen!D130+(Invullen!#REF!/60))</f>
        <v>#N/A</v>
      </c>
      <c r="N127" s="31" t="e">
        <f>IF(ISBLANK(Invullen!G130),NA(),IF(Invullen!G130=0,0,(FLOOR(Invullen!G130/100,1)+(Invullen!G130-FLOOR(Invullen!G130/100,1)*100)/60)))</f>
        <v>#N/A</v>
      </c>
      <c r="O127" s="31" t="e">
        <f>IF(ISBLANK(Invullen!F130),NA(),IF(Invullen!F130=0,0,(FLOOR(Invullen!F130/100,1)+(Invullen!F130-FLOOR(Invullen!F130/100,1)*100)/60)))</f>
        <v>#N/A</v>
      </c>
      <c r="P127" s="32" t="e">
        <f>IF(ISBLANK(Invullen!F130),NA(),DegtoICES(O127,N127," "))</f>
        <v>#N/A</v>
      </c>
      <c r="Q127" s="33" t="e">
        <f t="shared" ca="1" si="4"/>
        <v>#N/A</v>
      </c>
      <c r="R127" s="41"/>
      <c r="S127" s="38">
        <f>HLOOKUP($S$1,Invullen!$N$3:$AJ$254,T127,FALSE)</f>
        <v>0</v>
      </c>
      <c r="T127" s="38">
        <v>128</v>
      </c>
    </row>
    <row r="128" spans="13:20" x14ac:dyDescent="0.3">
      <c r="M128" s="31" t="e">
        <f>IF(OR(ISBLANK(Invullen!D131),ISBLANK(Invullen!#REF!)),NA(),Invullen!K132+(Invullen!#REF!/60)-Invullen!D131+(Invullen!#REF!/60))</f>
        <v>#N/A</v>
      </c>
      <c r="N128" s="31" t="e">
        <f>IF(ISBLANK(Invullen!G131),NA(),IF(Invullen!G131=0,0,(FLOOR(Invullen!G131/100,1)+(Invullen!G131-FLOOR(Invullen!G131/100,1)*100)/60)))</f>
        <v>#N/A</v>
      </c>
      <c r="O128" s="31" t="e">
        <f>IF(ISBLANK(Invullen!F131),NA(),IF(Invullen!F131=0,0,(FLOOR(Invullen!F131/100,1)+(Invullen!F131-FLOOR(Invullen!F131/100,1)*100)/60)))</f>
        <v>#N/A</v>
      </c>
      <c r="P128" s="32" t="e">
        <f>IF(ISBLANK(Invullen!F131),NA(),DegtoICES(O128,N128," "))</f>
        <v>#N/A</v>
      </c>
      <c r="Q128" s="33" t="e">
        <f t="shared" ca="1" si="4"/>
        <v>#N/A</v>
      </c>
      <c r="R128" s="41"/>
      <c r="S128" s="38">
        <f>HLOOKUP($S$1,Invullen!$N$3:$AJ$254,T128,FALSE)</f>
        <v>0</v>
      </c>
      <c r="T128" s="38">
        <v>129</v>
      </c>
    </row>
    <row r="129" spans="13:20" x14ac:dyDescent="0.3">
      <c r="M129" s="31" t="e">
        <f>IF(OR(ISBLANK(Invullen!D132),ISBLANK(Invullen!#REF!)),NA(),Invullen!K133+(Invullen!#REF!/60)-Invullen!D132+(Invullen!#REF!/60))</f>
        <v>#N/A</v>
      </c>
      <c r="N129" s="31" t="e">
        <f>IF(ISBLANK(Invullen!G132),NA(),IF(Invullen!G132=0,0,(FLOOR(Invullen!G132/100,1)+(Invullen!G132-FLOOR(Invullen!G132/100,1)*100)/60)))</f>
        <v>#N/A</v>
      </c>
      <c r="O129" s="31" t="e">
        <f>IF(ISBLANK(Invullen!F132),NA(),IF(Invullen!F132=0,0,(FLOOR(Invullen!F132/100,1)+(Invullen!F132-FLOOR(Invullen!F132/100,1)*100)/60)))</f>
        <v>#N/A</v>
      </c>
      <c r="P129" s="32" t="e">
        <f>IF(ISBLANK(Invullen!F132),NA(),DegtoICES(O129,N129," "))</f>
        <v>#N/A</v>
      </c>
      <c r="Q129" s="33" t="e">
        <f t="shared" ca="1" si="4"/>
        <v>#N/A</v>
      </c>
      <c r="R129" s="41"/>
      <c r="S129" s="38">
        <f>HLOOKUP($S$1,Invullen!$N$3:$AJ$254,T129,FALSE)</f>
        <v>0</v>
      </c>
      <c r="T129" s="38">
        <v>130</v>
      </c>
    </row>
    <row r="130" spans="13:20" x14ac:dyDescent="0.3">
      <c r="M130" s="31" t="e">
        <f>IF(OR(ISBLANK(Invullen!D133),ISBLANK(Invullen!#REF!)),NA(),Invullen!K134+(Invullen!#REF!/60)-Invullen!D133+(Invullen!#REF!/60))</f>
        <v>#N/A</v>
      </c>
      <c r="N130" s="31" t="e">
        <f>IF(ISBLANK(Invullen!G133),NA(),IF(Invullen!G133=0,0,(FLOOR(Invullen!G133/100,1)+(Invullen!G133-FLOOR(Invullen!G133/100,1)*100)/60)))</f>
        <v>#N/A</v>
      </c>
      <c r="O130" s="31" t="e">
        <f>IF(ISBLANK(Invullen!F133),NA(),IF(Invullen!F133=0,0,(FLOOR(Invullen!F133/100,1)+(Invullen!F133-FLOOR(Invullen!F133/100,1)*100)/60)))</f>
        <v>#N/A</v>
      </c>
      <c r="P130" s="32" t="e">
        <f>IF(ISBLANK(Invullen!F133),NA(),DegtoICES(O130,N130," "))</f>
        <v>#N/A</v>
      </c>
      <c r="Q130" s="33" t="e">
        <f t="shared" ca="1" si="4"/>
        <v>#N/A</v>
      </c>
      <c r="R130" s="41"/>
      <c r="S130" s="38">
        <f>HLOOKUP($S$1,Invullen!$N$3:$AJ$254,T130,FALSE)</f>
        <v>0</v>
      </c>
      <c r="T130" s="38">
        <v>131</v>
      </c>
    </row>
    <row r="131" spans="13:20" x14ac:dyDescent="0.3">
      <c r="M131" s="31" t="e">
        <f>IF(OR(ISBLANK(Invullen!D134),ISBLANK(Invullen!#REF!)),NA(),Invullen!K135+(Invullen!#REF!/60)-Invullen!D134+(Invullen!#REF!/60))</f>
        <v>#N/A</v>
      </c>
      <c r="N131" s="31" t="e">
        <f>IF(ISBLANK(Invullen!G134),NA(),IF(Invullen!G134=0,0,(FLOOR(Invullen!G134/100,1)+(Invullen!G134-FLOOR(Invullen!G134/100,1)*100)/60)))</f>
        <v>#N/A</v>
      </c>
      <c r="O131" s="31" t="e">
        <f>IF(ISBLANK(Invullen!F134),NA(),IF(Invullen!F134=0,0,(FLOOR(Invullen!F134/100,1)+(Invullen!F134-FLOOR(Invullen!F134/100,1)*100)/60)))</f>
        <v>#N/A</v>
      </c>
      <c r="P131" s="32" t="e">
        <f>IF(ISBLANK(Invullen!F134),NA(),DegtoICES(O131,N131," "))</f>
        <v>#N/A</v>
      </c>
      <c r="Q131" s="33" t="e">
        <f t="shared" ca="1" si="4"/>
        <v>#N/A</v>
      </c>
      <c r="R131" s="41"/>
      <c r="S131" s="38">
        <f>HLOOKUP($S$1,Invullen!$N$3:$AJ$254,T131,FALSE)</f>
        <v>0</v>
      </c>
      <c r="T131" s="38">
        <v>132</v>
      </c>
    </row>
    <row r="132" spans="13:20" x14ac:dyDescent="0.3">
      <c r="M132" s="31" t="e">
        <f>IF(OR(ISBLANK(Invullen!D135),ISBLANK(Invullen!#REF!)),NA(),Invullen!K136+(Invullen!#REF!/60)-Invullen!D135+(Invullen!#REF!/60))</f>
        <v>#N/A</v>
      </c>
      <c r="N132" s="31" t="e">
        <f>IF(ISBLANK(Invullen!G135),NA(),IF(Invullen!G135=0,0,(FLOOR(Invullen!G135/100,1)+(Invullen!G135-FLOOR(Invullen!G135/100,1)*100)/60)))</f>
        <v>#N/A</v>
      </c>
      <c r="O132" s="31" t="e">
        <f>IF(ISBLANK(Invullen!F135),NA(),IF(Invullen!F135=0,0,(FLOOR(Invullen!F135/100,1)+(Invullen!F135-FLOOR(Invullen!F135/100,1)*100)/60)))</f>
        <v>#N/A</v>
      </c>
      <c r="P132" s="32" t="e">
        <f>IF(ISBLANK(Invullen!F135),NA(),DegtoICES(O132,N132," "))</f>
        <v>#N/A</v>
      </c>
      <c r="Q132" s="33" t="e">
        <f t="shared" ca="1" si="4"/>
        <v>#N/A</v>
      </c>
      <c r="R132" s="41"/>
      <c r="S132" s="38">
        <f>HLOOKUP($S$1,Invullen!$N$3:$AJ$254,T132,FALSE)</f>
        <v>0</v>
      </c>
      <c r="T132" s="38">
        <v>133</v>
      </c>
    </row>
    <row r="133" spans="13:20" x14ac:dyDescent="0.3">
      <c r="M133" s="31" t="e">
        <f>IF(OR(ISBLANK(Invullen!D136),ISBLANK(Invullen!#REF!)),NA(),Invullen!K137+(Invullen!#REF!/60)-Invullen!D136+(Invullen!#REF!/60))</f>
        <v>#N/A</v>
      </c>
      <c r="N133" s="31" t="e">
        <f>IF(ISBLANK(Invullen!G136),NA(),IF(Invullen!G136=0,0,(FLOOR(Invullen!G136/100,1)+(Invullen!G136-FLOOR(Invullen!G136/100,1)*100)/60)))</f>
        <v>#N/A</v>
      </c>
      <c r="O133" s="31" t="e">
        <f>IF(ISBLANK(Invullen!F136),NA(),IF(Invullen!F136=0,0,(FLOOR(Invullen!F136/100,1)+(Invullen!F136-FLOOR(Invullen!F136/100,1)*100)/60)))</f>
        <v>#N/A</v>
      </c>
      <c r="P133" s="32" t="e">
        <f>IF(ISBLANK(Invullen!F136),NA(),DegtoICES(O133,N133," "))</f>
        <v>#N/A</v>
      </c>
      <c r="Q133" s="33" t="e">
        <f t="shared" ca="1" si="4"/>
        <v>#N/A</v>
      </c>
      <c r="R133" s="41"/>
      <c r="S133" s="38">
        <f>HLOOKUP($S$1,Invullen!$N$3:$AJ$254,T133,FALSE)</f>
        <v>0</v>
      </c>
      <c r="T133" s="38">
        <v>134</v>
      </c>
    </row>
    <row r="134" spans="13:20" x14ac:dyDescent="0.3">
      <c r="M134" s="31" t="e">
        <f>IF(OR(ISBLANK(Invullen!D137),ISBLANK(Invullen!#REF!)),NA(),Invullen!K138+(Invullen!#REF!/60)-Invullen!D137+(Invullen!#REF!/60))</f>
        <v>#N/A</v>
      </c>
      <c r="N134" s="31" t="e">
        <f>IF(ISBLANK(Invullen!G137),NA(),IF(Invullen!G137=0,0,(FLOOR(Invullen!G137/100,1)+(Invullen!G137-FLOOR(Invullen!G137/100,1)*100)/60)))</f>
        <v>#N/A</v>
      </c>
      <c r="O134" s="31" t="e">
        <f>IF(ISBLANK(Invullen!F137),NA(),IF(Invullen!F137=0,0,(FLOOR(Invullen!F137/100,1)+(Invullen!F137-FLOOR(Invullen!F137/100,1)*100)/60)))</f>
        <v>#N/A</v>
      </c>
      <c r="P134" s="32" t="e">
        <f>IF(ISBLANK(Invullen!F137),NA(),DegtoICES(O134,N134," "))</f>
        <v>#N/A</v>
      </c>
      <c r="Q134" s="33" t="e">
        <f t="shared" ca="1" si="4"/>
        <v>#N/A</v>
      </c>
      <c r="R134" s="41"/>
      <c r="S134" s="38">
        <f>HLOOKUP($S$1,Invullen!$N$3:$AJ$254,T134,FALSE)</f>
        <v>0</v>
      </c>
      <c r="T134" s="38">
        <v>135</v>
      </c>
    </row>
    <row r="135" spans="13:20" x14ac:dyDescent="0.3">
      <c r="M135" s="31" t="e">
        <f>IF(OR(ISBLANK(Invullen!D138),ISBLANK(Invullen!#REF!)),NA(),Invullen!K139+(Invullen!#REF!/60)-Invullen!D138+(Invullen!#REF!/60))</f>
        <v>#N/A</v>
      </c>
      <c r="N135" s="31" t="e">
        <f>IF(ISBLANK(Invullen!G138),NA(),IF(Invullen!G138=0,0,(FLOOR(Invullen!G138/100,1)+(Invullen!G138-FLOOR(Invullen!G138/100,1)*100)/60)))</f>
        <v>#N/A</v>
      </c>
      <c r="O135" s="31" t="e">
        <f>IF(ISBLANK(Invullen!F138),NA(),IF(Invullen!F138=0,0,(FLOOR(Invullen!F138/100,1)+(Invullen!F138-FLOOR(Invullen!F138/100,1)*100)/60)))</f>
        <v>#N/A</v>
      </c>
      <c r="P135" s="32" t="e">
        <f>IF(ISBLANK(Invullen!F138),NA(),DegtoICES(O135,N135," "))</f>
        <v>#N/A</v>
      </c>
      <c r="Q135" s="33" t="e">
        <f t="shared" ca="1" si="4"/>
        <v>#N/A</v>
      </c>
      <c r="R135" s="41"/>
      <c r="S135" s="38">
        <f>HLOOKUP($S$1,Invullen!$N$3:$AJ$254,T135,FALSE)</f>
        <v>0</v>
      </c>
      <c r="T135" s="38">
        <v>136</v>
      </c>
    </row>
    <row r="136" spans="13:20" x14ac:dyDescent="0.3">
      <c r="M136" s="31" t="e">
        <f>IF(OR(ISBLANK(Invullen!D139),ISBLANK(Invullen!#REF!)),NA(),Invullen!K140+(Invullen!#REF!/60)-Invullen!D139+(Invullen!#REF!/60))</f>
        <v>#N/A</v>
      </c>
      <c r="N136" s="31" t="e">
        <f>IF(ISBLANK(Invullen!G139),NA(),IF(Invullen!G139=0,0,(FLOOR(Invullen!G139/100,1)+(Invullen!G139-FLOOR(Invullen!G139/100,1)*100)/60)))</f>
        <v>#N/A</v>
      </c>
      <c r="O136" s="31" t="e">
        <f>IF(ISBLANK(Invullen!F139),NA(),IF(Invullen!F139=0,0,(FLOOR(Invullen!F139/100,1)+(Invullen!F139-FLOOR(Invullen!F139/100,1)*100)/60)))</f>
        <v>#N/A</v>
      </c>
      <c r="P136" s="32" t="e">
        <f>IF(ISBLANK(Invullen!F139),NA(),DegtoICES(O136,N136," "))</f>
        <v>#N/A</v>
      </c>
      <c r="Q136" s="33" t="e">
        <f t="shared" ca="1" si="4"/>
        <v>#N/A</v>
      </c>
      <c r="R136" s="41"/>
      <c r="S136" s="38">
        <f>HLOOKUP($S$1,Invullen!$N$3:$AJ$254,T136,FALSE)</f>
        <v>0</v>
      </c>
      <c r="T136" s="38">
        <v>137</v>
      </c>
    </row>
    <row r="137" spans="13:20" x14ac:dyDescent="0.3">
      <c r="M137" s="31" t="e">
        <f>IF(OR(ISBLANK(Invullen!D140),ISBLANK(Invullen!#REF!)),NA(),Invullen!K141+(Invullen!#REF!/60)-Invullen!D140+(Invullen!#REF!/60))</f>
        <v>#N/A</v>
      </c>
      <c r="N137" s="31" t="e">
        <f>IF(ISBLANK(Invullen!G140),NA(),IF(Invullen!G140=0,0,(FLOOR(Invullen!G140/100,1)+(Invullen!G140-FLOOR(Invullen!G140/100,1)*100)/60)))</f>
        <v>#N/A</v>
      </c>
      <c r="O137" s="31" t="e">
        <f>IF(ISBLANK(Invullen!F140),NA(),IF(Invullen!F140=0,0,(FLOOR(Invullen!F140/100,1)+(Invullen!F140-FLOOR(Invullen!F140/100,1)*100)/60)))</f>
        <v>#N/A</v>
      </c>
      <c r="P137" s="32" t="e">
        <f>IF(ISBLANK(Invullen!F140),NA(),DegtoICES(O137,N137," "))</f>
        <v>#N/A</v>
      </c>
      <c r="Q137" s="33" t="e">
        <f t="shared" ca="1" si="4"/>
        <v>#N/A</v>
      </c>
      <c r="R137" s="41"/>
      <c r="S137" s="38">
        <f>HLOOKUP($S$1,Invullen!$N$3:$AJ$254,T137,FALSE)</f>
        <v>0</v>
      </c>
      <c r="T137" s="38">
        <v>138</v>
      </c>
    </row>
    <row r="138" spans="13:20" x14ac:dyDescent="0.3">
      <c r="M138" s="31" t="e">
        <f>IF(OR(ISBLANK(Invullen!D141),ISBLANK(Invullen!#REF!)),NA(),Invullen!K142+(Invullen!#REF!/60)-Invullen!D141+(Invullen!#REF!/60))</f>
        <v>#N/A</v>
      </c>
      <c r="N138" s="31" t="e">
        <f>IF(ISBLANK(Invullen!G141),NA(),IF(Invullen!G141=0,0,(FLOOR(Invullen!G141/100,1)+(Invullen!G141-FLOOR(Invullen!G141/100,1)*100)/60)))</f>
        <v>#N/A</v>
      </c>
      <c r="O138" s="31" t="e">
        <f>IF(ISBLANK(Invullen!F141),NA(),IF(Invullen!F141=0,0,(FLOOR(Invullen!F141/100,1)+(Invullen!F141-FLOOR(Invullen!F141/100,1)*100)/60)))</f>
        <v>#N/A</v>
      </c>
      <c r="P138" s="32" t="e">
        <f>IF(ISBLANK(Invullen!F141),NA(),DegtoICES(O138,N138," "))</f>
        <v>#N/A</v>
      </c>
      <c r="Q138" s="33" t="e">
        <f t="shared" ca="1" si="4"/>
        <v>#N/A</v>
      </c>
      <c r="R138" s="41"/>
      <c r="S138" s="38">
        <f>HLOOKUP($S$1,Invullen!$N$3:$AJ$254,T138,FALSE)</f>
        <v>0</v>
      </c>
      <c r="T138" s="38">
        <v>139</v>
      </c>
    </row>
    <row r="139" spans="13:20" x14ac:dyDescent="0.3">
      <c r="M139" s="31" t="e">
        <f>IF(OR(ISBLANK(Invullen!D142),ISBLANK(Invullen!#REF!)),NA(),Invullen!K143+(Invullen!#REF!/60)-Invullen!D142+(Invullen!#REF!/60))</f>
        <v>#N/A</v>
      </c>
      <c r="N139" s="31" t="e">
        <f>IF(ISBLANK(Invullen!G142),NA(),IF(Invullen!G142=0,0,(FLOOR(Invullen!G142/100,1)+(Invullen!G142-FLOOR(Invullen!G142/100,1)*100)/60)))</f>
        <v>#N/A</v>
      </c>
      <c r="O139" s="31" t="e">
        <f>IF(ISBLANK(Invullen!F142),NA(),IF(Invullen!F142=0,0,(FLOOR(Invullen!F142/100,1)+(Invullen!F142-FLOOR(Invullen!F142/100,1)*100)/60)))</f>
        <v>#N/A</v>
      </c>
      <c r="P139" s="32" t="e">
        <f>IF(ISBLANK(Invullen!F142),NA(),DegtoICES(O139,N139," "))</f>
        <v>#N/A</v>
      </c>
      <c r="Q139" s="33" t="e">
        <f t="shared" ca="1" si="4"/>
        <v>#N/A</v>
      </c>
      <c r="R139" s="41"/>
      <c r="S139" s="38">
        <f>HLOOKUP($S$1,Invullen!$N$3:$AJ$254,T139,FALSE)</f>
        <v>0</v>
      </c>
      <c r="T139" s="38">
        <v>140</v>
      </c>
    </row>
    <row r="140" spans="13:20" x14ac:dyDescent="0.3">
      <c r="M140" s="31" t="e">
        <f>IF(OR(ISBLANK(Invullen!D143),ISBLANK(Invullen!#REF!)),NA(),Invullen!K144+(Invullen!#REF!/60)-Invullen!D143+(Invullen!#REF!/60))</f>
        <v>#N/A</v>
      </c>
      <c r="N140" s="31" t="e">
        <f>IF(ISBLANK(Invullen!G143),NA(),IF(Invullen!G143=0,0,(FLOOR(Invullen!G143/100,1)+(Invullen!G143-FLOOR(Invullen!G143/100,1)*100)/60)))</f>
        <v>#N/A</v>
      </c>
      <c r="O140" s="31" t="e">
        <f>IF(ISBLANK(Invullen!F143),NA(),IF(Invullen!F143=0,0,(FLOOR(Invullen!F143/100,1)+(Invullen!F143-FLOOR(Invullen!F143/100,1)*100)/60)))</f>
        <v>#N/A</v>
      </c>
      <c r="P140" s="32" t="e">
        <f>IF(ISBLANK(Invullen!F143),NA(),DegtoICES(O140,N140," "))</f>
        <v>#N/A</v>
      </c>
      <c r="Q140" s="33" t="e">
        <f t="shared" ca="1" si="4"/>
        <v>#N/A</v>
      </c>
      <c r="R140" s="41"/>
      <c r="S140" s="38">
        <f>HLOOKUP($S$1,Invullen!$N$3:$AJ$254,T140,FALSE)</f>
        <v>0</v>
      </c>
      <c r="T140" s="38">
        <v>141</v>
      </c>
    </row>
    <row r="141" spans="13:20" x14ac:dyDescent="0.3">
      <c r="M141" s="31" t="e">
        <f>IF(OR(ISBLANK(Invullen!D144),ISBLANK(Invullen!#REF!)),NA(),Invullen!K145+(Invullen!#REF!/60)-Invullen!D144+(Invullen!#REF!/60))</f>
        <v>#N/A</v>
      </c>
      <c r="N141" s="31" t="e">
        <f>IF(ISBLANK(Invullen!G144),NA(),IF(Invullen!G144=0,0,(FLOOR(Invullen!G144/100,1)+(Invullen!G144-FLOOR(Invullen!G144/100,1)*100)/60)))</f>
        <v>#N/A</v>
      </c>
      <c r="O141" s="31" t="e">
        <f>IF(ISBLANK(Invullen!F144),NA(),IF(Invullen!F144=0,0,(FLOOR(Invullen!F144/100,1)+(Invullen!F144-FLOOR(Invullen!F144/100,1)*100)/60)))</f>
        <v>#N/A</v>
      </c>
      <c r="P141" s="32" t="e">
        <f>IF(ISBLANK(Invullen!F144),NA(),DegtoICES(O141,N141," "))</f>
        <v>#N/A</v>
      </c>
      <c r="Q141" s="33" t="e">
        <f t="shared" ca="1" si="4"/>
        <v>#N/A</v>
      </c>
      <c r="R141" s="41"/>
      <c r="S141" s="38">
        <f>HLOOKUP($S$1,Invullen!$N$3:$AJ$254,T141,FALSE)</f>
        <v>0</v>
      </c>
      <c r="T141" s="38">
        <v>142</v>
      </c>
    </row>
    <row r="142" spans="13:20" x14ac:dyDescent="0.3">
      <c r="M142" s="31" t="e">
        <f>IF(OR(ISBLANK(Invullen!D145),ISBLANK(Invullen!#REF!)),NA(),Invullen!K146+(Invullen!#REF!/60)-Invullen!D145+(Invullen!#REF!/60))</f>
        <v>#N/A</v>
      </c>
      <c r="N142" s="31" t="e">
        <f>IF(ISBLANK(Invullen!G145),NA(),IF(Invullen!G145=0,0,(FLOOR(Invullen!G145/100,1)+(Invullen!G145-FLOOR(Invullen!G145/100,1)*100)/60)))</f>
        <v>#N/A</v>
      </c>
      <c r="O142" s="31" t="e">
        <f>IF(ISBLANK(Invullen!F145),NA(),IF(Invullen!F145=0,0,(FLOOR(Invullen!F145/100,1)+(Invullen!F145-FLOOR(Invullen!F145/100,1)*100)/60)))</f>
        <v>#N/A</v>
      </c>
      <c r="P142" s="32" t="e">
        <f>IF(ISBLANK(Invullen!F145),NA(),DegtoICES(O142,N142," "))</f>
        <v>#N/A</v>
      </c>
      <c r="Q142" s="33" t="e">
        <f t="shared" ca="1" si="4"/>
        <v>#N/A</v>
      </c>
      <c r="R142" s="41"/>
      <c r="S142" s="38">
        <f>HLOOKUP($S$1,Invullen!$N$3:$AJ$254,T142,FALSE)</f>
        <v>0</v>
      </c>
      <c r="T142" s="38">
        <v>143</v>
      </c>
    </row>
    <row r="143" spans="13:20" x14ac:dyDescent="0.3">
      <c r="M143" s="31" t="e">
        <f>IF(OR(ISBLANK(Invullen!D146),ISBLANK(Invullen!#REF!)),NA(),Invullen!K147+(Invullen!#REF!/60)-Invullen!D146+(Invullen!#REF!/60))</f>
        <v>#N/A</v>
      </c>
      <c r="N143" s="31" t="e">
        <f>IF(ISBLANK(Invullen!G146),NA(),IF(Invullen!G146=0,0,(FLOOR(Invullen!G146/100,1)+(Invullen!G146-FLOOR(Invullen!G146/100,1)*100)/60)))</f>
        <v>#N/A</v>
      </c>
      <c r="O143" s="31" t="e">
        <f>IF(ISBLANK(Invullen!F146),NA(),IF(Invullen!F146=0,0,(FLOOR(Invullen!F146/100,1)+(Invullen!F146-FLOOR(Invullen!F146/100,1)*100)/60)))</f>
        <v>#N/A</v>
      </c>
      <c r="P143" s="32" t="e">
        <f>IF(ISBLANK(Invullen!F146),NA(),DegtoICES(O143,N143," "))</f>
        <v>#N/A</v>
      </c>
      <c r="Q143" s="33" t="e">
        <f t="shared" ca="1" si="4"/>
        <v>#N/A</v>
      </c>
      <c r="R143" s="41"/>
      <c r="S143" s="38">
        <f>HLOOKUP($S$1,Invullen!$N$3:$AJ$254,T143,FALSE)</f>
        <v>0</v>
      </c>
      <c r="T143" s="38">
        <v>144</v>
      </c>
    </row>
    <row r="144" spans="13:20" x14ac:dyDescent="0.3">
      <c r="M144" s="31" t="e">
        <f>IF(OR(ISBLANK(Invullen!D147),ISBLANK(Invullen!#REF!)),NA(),Invullen!K148+(Invullen!#REF!/60)-Invullen!D147+(Invullen!#REF!/60))</f>
        <v>#N/A</v>
      </c>
      <c r="N144" s="31" t="e">
        <f>IF(ISBLANK(Invullen!G147),NA(),IF(Invullen!G147=0,0,(FLOOR(Invullen!G147/100,1)+(Invullen!G147-FLOOR(Invullen!G147/100,1)*100)/60)))</f>
        <v>#N/A</v>
      </c>
      <c r="O144" s="31" t="e">
        <f>IF(ISBLANK(Invullen!F147),NA(),IF(Invullen!F147=0,0,(FLOOR(Invullen!F147/100,1)+(Invullen!F147-FLOOR(Invullen!F147/100,1)*100)/60)))</f>
        <v>#N/A</v>
      </c>
      <c r="P144" s="32" t="e">
        <f>IF(ISBLANK(Invullen!F147),NA(),DegtoICES(O144,N144," "))</f>
        <v>#N/A</v>
      </c>
      <c r="Q144" s="33" t="e">
        <f t="shared" ca="1" si="4"/>
        <v>#N/A</v>
      </c>
      <c r="R144" s="41"/>
      <c r="S144" s="38">
        <f>HLOOKUP($S$1,Invullen!$N$3:$AJ$254,T144,FALSE)</f>
        <v>0</v>
      </c>
      <c r="T144" s="38">
        <v>145</v>
      </c>
    </row>
    <row r="145" spans="13:20" x14ac:dyDescent="0.3">
      <c r="M145" s="31" t="e">
        <f>IF(OR(ISBLANK(Invullen!D148),ISBLANK(Invullen!#REF!)),NA(),Invullen!K149+(Invullen!#REF!/60)-Invullen!D148+(Invullen!#REF!/60))</f>
        <v>#N/A</v>
      </c>
      <c r="N145" s="31" t="e">
        <f>IF(ISBLANK(Invullen!G148),NA(),IF(Invullen!G148=0,0,(FLOOR(Invullen!G148/100,1)+(Invullen!G148-FLOOR(Invullen!G148/100,1)*100)/60)))</f>
        <v>#N/A</v>
      </c>
      <c r="O145" s="31" t="e">
        <f>IF(ISBLANK(Invullen!F148),NA(),IF(Invullen!F148=0,0,(FLOOR(Invullen!F148/100,1)+(Invullen!F148-FLOOR(Invullen!F148/100,1)*100)/60)))</f>
        <v>#N/A</v>
      </c>
      <c r="P145" s="32" t="e">
        <f>IF(ISBLANK(Invullen!F148),NA(),DegtoICES(O145,N145," "))</f>
        <v>#N/A</v>
      </c>
      <c r="Q145" s="33" t="e">
        <f t="shared" ca="1" si="4"/>
        <v>#N/A</v>
      </c>
      <c r="R145" s="41"/>
      <c r="S145" s="38">
        <f>HLOOKUP($S$1,Invullen!$N$3:$AJ$254,T145,FALSE)</f>
        <v>0</v>
      </c>
      <c r="T145" s="38">
        <v>146</v>
      </c>
    </row>
    <row r="146" spans="13:20" x14ac:dyDescent="0.3">
      <c r="M146" s="31" t="e">
        <f>IF(OR(ISBLANK(Invullen!D149),ISBLANK(Invullen!#REF!)),NA(),Invullen!K150+(Invullen!#REF!/60)-Invullen!D149+(Invullen!#REF!/60))</f>
        <v>#N/A</v>
      </c>
      <c r="N146" s="31" t="e">
        <f>IF(ISBLANK(Invullen!G149),NA(),IF(Invullen!G149=0,0,(FLOOR(Invullen!G149/100,1)+(Invullen!G149-FLOOR(Invullen!G149/100,1)*100)/60)))</f>
        <v>#N/A</v>
      </c>
      <c r="O146" s="31" t="e">
        <f>IF(ISBLANK(Invullen!F149),NA(),IF(Invullen!F149=0,0,(FLOOR(Invullen!F149/100,1)+(Invullen!F149-FLOOR(Invullen!F149/100,1)*100)/60)))</f>
        <v>#N/A</v>
      </c>
      <c r="P146" s="32" t="e">
        <f>IF(ISBLANK(Invullen!F149),NA(),DegtoICES(O146,N146," "))</f>
        <v>#N/A</v>
      </c>
      <c r="Q146" s="33" t="e">
        <f t="shared" ref="Q146:Q209" ca="1" si="5">VLOOKUP(P146,Rect,2,FALSE)</f>
        <v>#N/A</v>
      </c>
      <c r="R146" s="41"/>
      <c r="S146" s="38">
        <f>HLOOKUP($S$1,Invullen!$N$3:$AJ$254,T146,FALSE)</f>
        <v>0</v>
      </c>
      <c r="T146" s="38">
        <v>147</v>
      </c>
    </row>
    <row r="147" spans="13:20" x14ac:dyDescent="0.3">
      <c r="M147" s="31" t="e">
        <f>IF(OR(ISBLANK(Invullen!D150),ISBLANK(Invullen!#REF!)),NA(),Invullen!K151+(Invullen!#REF!/60)-Invullen!D150+(Invullen!#REF!/60))</f>
        <v>#N/A</v>
      </c>
      <c r="N147" s="31" t="e">
        <f>IF(ISBLANK(Invullen!G150),NA(),IF(Invullen!G150=0,0,(FLOOR(Invullen!G150/100,1)+(Invullen!G150-FLOOR(Invullen!G150/100,1)*100)/60)))</f>
        <v>#N/A</v>
      </c>
      <c r="O147" s="31" t="e">
        <f>IF(ISBLANK(Invullen!F150),NA(),IF(Invullen!F150=0,0,(FLOOR(Invullen!F150/100,1)+(Invullen!F150-FLOOR(Invullen!F150/100,1)*100)/60)))</f>
        <v>#N/A</v>
      </c>
      <c r="P147" s="32" t="e">
        <f>IF(ISBLANK(Invullen!F150),NA(),DegtoICES(O147,N147," "))</f>
        <v>#N/A</v>
      </c>
      <c r="Q147" s="33" t="e">
        <f t="shared" ca="1" si="5"/>
        <v>#N/A</v>
      </c>
      <c r="R147" s="41"/>
      <c r="S147" s="38">
        <f>HLOOKUP($S$1,Invullen!$N$3:$AJ$254,T147,FALSE)</f>
        <v>0</v>
      </c>
      <c r="T147" s="38">
        <v>148</v>
      </c>
    </row>
    <row r="148" spans="13:20" x14ac:dyDescent="0.3">
      <c r="M148" s="31" t="e">
        <f>IF(OR(ISBLANK(Invullen!D151),ISBLANK(Invullen!#REF!)),NA(),Invullen!K152+(Invullen!#REF!/60)-Invullen!D151+(Invullen!#REF!/60))</f>
        <v>#N/A</v>
      </c>
      <c r="N148" s="31" t="e">
        <f>IF(ISBLANK(Invullen!G151),NA(),IF(Invullen!G151=0,0,(FLOOR(Invullen!G151/100,1)+(Invullen!G151-FLOOR(Invullen!G151/100,1)*100)/60)))</f>
        <v>#N/A</v>
      </c>
      <c r="O148" s="31" t="e">
        <f>IF(ISBLANK(Invullen!F151),NA(),IF(Invullen!F151=0,0,(FLOOR(Invullen!F151/100,1)+(Invullen!F151-FLOOR(Invullen!F151/100,1)*100)/60)))</f>
        <v>#N/A</v>
      </c>
      <c r="P148" s="32" t="e">
        <f>IF(ISBLANK(Invullen!F151),NA(),DegtoICES(O148,N148," "))</f>
        <v>#N/A</v>
      </c>
      <c r="Q148" s="33" t="e">
        <f t="shared" ca="1" si="5"/>
        <v>#N/A</v>
      </c>
      <c r="R148" s="41"/>
      <c r="S148" s="38">
        <f>HLOOKUP($S$1,Invullen!$N$3:$AJ$254,T148,FALSE)</f>
        <v>0</v>
      </c>
      <c r="T148" s="38">
        <v>149</v>
      </c>
    </row>
    <row r="149" spans="13:20" x14ac:dyDescent="0.3">
      <c r="M149" s="31" t="e">
        <f>IF(OR(ISBLANK(Invullen!D152),ISBLANK(Invullen!#REF!)),NA(),Invullen!K153+(Invullen!#REF!/60)-Invullen!D152+(Invullen!#REF!/60))</f>
        <v>#N/A</v>
      </c>
      <c r="N149" s="31" t="e">
        <f>IF(ISBLANK(Invullen!G152),NA(),IF(Invullen!G152=0,0,(FLOOR(Invullen!G152/100,1)+(Invullen!G152-FLOOR(Invullen!G152/100,1)*100)/60)))</f>
        <v>#N/A</v>
      </c>
      <c r="O149" s="31" t="e">
        <f>IF(ISBLANK(Invullen!F152),NA(),IF(Invullen!F152=0,0,(FLOOR(Invullen!F152/100,1)+(Invullen!F152-FLOOR(Invullen!F152/100,1)*100)/60)))</f>
        <v>#N/A</v>
      </c>
      <c r="P149" s="32" t="e">
        <f>IF(ISBLANK(Invullen!F152),NA(),DegtoICES(O149,N149," "))</f>
        <v>#N/A</v>
      </c>
      <c r="Q149" s="33" t="e">
        <f t="shared" ca="1" si="5"/>
        <v>#N/A</v>
      </c>
      <c r="R149" s="41"/>
      <c r="S149" s="38">
        <f>HLOOKUP($S$1,Invullen!$N$3:$AJ$254,T149,FALSE)</f>
        <v>0</v>
      </c>
      <c r="T149" s="38">
        <v>150</v>
      </c>
    </row>
    <row r="150" spans="13:20" x14ac:dyDescent="0.3">
      <c r="M150" s="31" t="e">
        <f>IF(OR(ISBLANK(Invullen!D153),ISBLANK(Invullen!#REF!)),NA(),Invullen!K154+(Invullen!#REF!/60)-Invullen!D153+(Invullen!#REF!/60))</f>
        <v>#N/A</v>
      </c>
      <c r="N150" s="31" t="e">
        <f>IF(ISBLANK(Invullen!G153),NA(),IF(Invullen!G153=0,0,(FLOOR(Invullen!G153/100,1)+(Invullen!G153-FLOOR(Invullen!G153/100,1)*100)/60)))</f>
        <v>#N/A</v>
      </c>
      <c r="O150" s="31" t="e">
        <f>IF(ISBLANK(Invullen!F153),NA(),IF(Invullen!F153=0,0,(FLOOR(Invullen!F153/100,1)+(Invullen!F153-FLOOR(Invullen!F153/100,1)*100)/60)))</f>
        <v>#N/A</v>
      </c>
      <c r="P150" s="32" t="e">
        <f>IF(ISBLANK(Invullen!F153),NA(),DegtoICES(O150,N150," "))</f>
        <v>#N/A</v>
      </c>
      <c r="Q150" s="33" t="e">
        <f t="shared" ca="1" si="5"/>
        <v>#N/A</v>
      </c>
      <c r="R150" s="41"/>
      <c r="S150" s="38">
        <f>HLOOKUP($S$1,Invullen!$N$3:$AJ$254,T150,FALSE)</f>
        <v>0</v>
      </c>
      <c r="T150" s="38">
        <v>151</v>
      </c>
    </row>
    <row r="151" spans="13:20" x14ac:dyDescent="0.3">
      <c r="M151" s="31" t="e">
        <f>IF(OR(ISBLANK(Invullen!D154),ISBLANK(Invullen!#REF!)),NA(),Invullen!K155+(Invullen!#REF!/60)-Invullen!D154+(Invullen!#REF!/60))</f>
        <v>#N/A</v>
      </c>
      <c r="N151" s="31" t="e">
        <f>IF(ISBLANK(Invullen!G154),NA(),IF(Invullen!G154=0,0,(FLOOR(Invullen!G154/100,1)+(Invullen!G154-FLOOR(Invullen!G154/100,1)*100)/60)))</f>
        <v>#N/A</v>
      </c>
      <c r="O151" s="31" t="e">
        <f>IF(ISBLANK(Invullen!F154),NA(),IF(Invullen!F154=0,0,(FLOOR(Invullen!F154/100,1)+(Invullen!F154-FLOOR(Invullen!F154/100,1)*100)/60)))</f>
        <v>#N/A</v>
      </c>
      <c r="P151" s="32" t="e">
        <f>IF(ISBLANK(Invullen!F154),NA(),DegtoICES(O151,N151," "))</f>
        <v>#N/A</v>
      </c>
      <c r="Q151" s="33" t="e">
        <f t="shared" ca="1" si="5"/>
        <v>#N/A</v>
      </c>
      <c r="R151" s="41"/>
      <c r="S151" s="38">
        <f>HLOOKUP($S$1,Invullen!$N$3:$AJ$254,T151,FALSE)</f>
        <v>0</v>
      </c>
      <c r="T151" s="38">
        <v>152</v>
      </c>
    </row>
    <row r="152" spans="13:20" x14ac:dyDescent="0.3">
      <c r="M152" s="31" t="e">
        <f>IF(OR(ISBLANK(Invullen!D155),ISBLANK(Invullen!#REF!)),NA(),Invullen!K156+(Invullen!#REF!/60)-Invullen!D155+(Invullen!#REF!/60))</f>
        <v>#N/A</v>
      </c>
      <c r="N152" s="31" t="e">
        <f>IF(ISBLANK(Invullen!G155),NA(),IF(Invullen!G155=0,0,(FLOOR(Invullen!G155/100,1)+(Invullen!G155-FLOOR(Invullen!G155/100,1)*100)/60)))</f>
        <v>#N/A</v>
      </c>
      <c r="O152" s="31" t="e">
        <f>IF(ISBLANK(Invullen!F155),NA(),IF(Invullen!F155=0,0,(FLOOR(Invullen!F155/100,1)+(Invullen!F155-FLOOR(Invullen!F155/100,1)*100)/60)))</f>
        <v>#N/A</v>
      </c>
      <c r="P152" s="32" t="e">
        <f>IF(ISBLANK(Invullen!F155),NA(),DegtoICES(O152,N152," "))</f>
        <v>#N/A</v>
      </c>
      <c r="Q152" s="33" t="e">
        <f t="shared" ca="1" si="5"/>
        <v>#N/A</v>
      </c>
      <c r="R152" s="41"/>
      <c r="S152" s="38">
        <f>HLOOKUP($S$1,Invullen!$N$3:$AJ$254,T152,FALSE)</f>
        <v>0</v>
      </c>
      <c r="T152" s="38">
        <v>153</v>
      </c>
    </row>
    <row r="153" spans="13:20" x14ac:dyDescent="0.3">
      <c r="M153" s="31" t="e">
        <f>IF(OR(ISBLANK(Invullen!D156),ISBLANK(Invullen!#REF!)),NA(),Invullen!K157+(Invullen!#REF!/60)-Invullen!D156+(Invullen!#REF!/60))</f>
        <v>#N/A</v>
      </c>
      <c r="N153" s="31" t="e">
        <f>IF(ISBLANK(Invullen!G156),NA(),IF(Invullen!G156=0,0,(FLOOR(Invullen!G156/100,1)+(Invullen!G156-FLOOR(Invullen!G156/100,1)*100)/60)))</f>
        <v>#N/A</v>
      </c>
      <c r="O153" s="31" t="e">
        <f>IF(ISBLANK(Invullen!F156),NA(),IF(Invullen!F156=0,0,(FLOOR(Invullen!F156/100,1)+(Invullen!F156-FLOOR(Invullen!F156/100,1)*100)/60)))</f>
        <v>#N/A</v>
      </c>
      <c r="P153" s="32" t="e">
        <f>IF(ISBLANK(Invullen!F156),NA(),DegtoICES(O153,N153," "))</f>
        <v>#N/A</v>
      </c>
      <c r="Q153" s="33" t="e">
        <f t="shared" ca="1" si="5"/>
        <v>#N/A</v>
      </c>
      <c r="R153" s="41"/>
      <c r="S153" s="38">
        <f>HLOOKUP($S$1,Invullen!$N$3:$AJ$254,T153,FALSE)</f>
        <v>0</v>
      </c>
      <c r="T153" s="38">
        <v>154</v>
      </c>
    </row>
    <row r="154" spans="13:20" x14ac:dyDescent="0.3">
      <c r="M154" s="31" t="e">
        <f>IF(OR(ISBLANK(Invullen!D157),ISBLANK(Invullen!#REF!)),NA(),Invullen!K158+(Invullen!#REF!/60)-Invullen!D157+(Invullen!#REF!/60))</f>
        <v>#N/A</v>
      </c>
      <c r="N154" s="31" t="e">
        <f>IF(ISBLANK(Invullen!G157),NA(),IF(Invullen!G157=0,0,(FLOOR(Invullen!G157/100,1)+(Invullen!G157-FLOOR(Invullen!G157/100,1)*100)/60)))</f>
        <v>#N/A</v>
      </c>
      <c r="O154" s="31" t="e">
        <f>IF(ISBLANK(Invullen!F157),NA(),IF(Invullen!F157=0,0,(FLOOR(Invullen!F157/100,1)+(Invullen!F157-FLOOR(Invullen!F157/100,1)*100)/60)))</f>
        <v>#N/A</v>
      </c>
      <c r="P154" s="32" t="e">
        <f>IF(ISBLANK(Invullen!F157),NA(),DegtoICES(O154,N154," "))</f>
        <v>#N/A</v>
      </c>
      <c r="Q154" s="33" t="e">
        <f t="shared" ca="1" si="5"/>
        <v>#N/A</v>
      </c>
      <c r="R154" s="41"/>
      <c r="S154" s="38">
        <f>HLOOKUP($S$1,Invullen!$N$3:$AJ$254,T154,FALSE)</f>
        <v>0</v>
      </c>
      <c r="T154" s="38">
        <v>155</v>
      </c>
    </row>
    <row r="155" spans="13:20" x14ac:dyDescent="0.3">
      <c r="M155" s="31" t="e">
        <f>IF(OR(ISBLANK(Invullen!D158),ISBLANK(Invullen!#REF!)),NA(),Invullen!K159+(Invullen!#REF!/60)-Invullen!D158+(Invullen!#REF!/60))</f>
        <v>#N/A</v>
      </c>
      <c r="N155" s="31" t="e">
        <f>IF(ISBLANK(Invullen!G158),NA(),IF(Invullen!G158=0,0,(FLOOR(Invullen!G158/100,1)+(Invullen!G158-FLOOR(Invullen!G158/100,1)*100)/60)))</f>
        <v>#N/A</v>
      </c>
      <c r="O155" s="31" t="e">
        <f>IF(ISBLANK(Invullen!F158),NA(),IF(Invullen!F158=0,0,(FLOOR(Invullen!F158/100,1)+(Invullen!F158-FLOOR(Invullen!F158/100,1)*100)/60)))</f>
        <v>#N/A</v>
      </c>
      <c r="P155" s="32" t="e">
        <f>IF(ISBLANK(Invullen!F158),NA(),DegtoICES(O155,N155," "))</f>
        <v>#N/A</v>
      </c>
      <c r="Q155" s="33" t="e">
        <f t="shared" ca="1" si="5"/>
        <v>#N/A</v>
      </c>
      <c r="R155" s="41"/>
      <c r="S155" s="38">
        <f>HLOOKUP($S$1,Invullen!$N$3:$AJ$254,T155,FALSE)</f>
        <v>0</v>
      </c>
      <c r="T155" s="38">
        <v>156</v>
      </c>
    </row>
    <row r="156" spans="13:20" x14ac:dyDescent="0.3">
      <c r="M156" s="31" t="e">
        <f>IF(OR(ISBLANK(Invullen!D159),ISBLANK(Invullen!#REF!)),NA(),Invullen!K160+(Invullen!#REF!/60)-Invullen!D159+(Invullen!#REF!/60))</f>
        <v>#N/A</v>
      </c>
      <c r="N156" s="31" t="e">
        <f>IF(ISBLANK(Invullen!G159),NA(),IF(Invullen!G159=0,0,(FLOOR(Invullen!G159/100,1)+(Invullen!G159-FLOOR(Invullen!G159/100,1)*100)/60)))</f>
        <v>#N/A</v>
      </c>
      <c r="O156" s="31" t="e">
        <f>IF(ISBLANK(Invullen!F159),NA(),IF(Invullen!F159=0,0,(FLOOR(Invullen!F159/100,1)+(Invullen!F159-FLOOR(Invullen!F159/100,1)*100)/60)))</f>
        <v>#N/A</v>
      </c>
      <c r="P156" s="32" t="e">
        <f>IF(ISBLANK(Invullen!F159),NA(),DegtoICES(O156,N156," "))</f>
        <v>#N/A</v>
      </c>
      <c r="Q156" s="33" t="e">
        <f t="shared" ca="1" si="5"/>
        <v>#N/A</v>
      </c>
      <c r="R156" s="41"/>
      <c r="S156" s="38">
        <f>HLOOKUP($S$1,Invullen!$N$3:$AJ$254,T156,FALSE)</f>
        <v>0</v>
      </c>
      <c r="T156" s="38">
        <v>157</v>
      </c>
    </row>
    <row r="157" spans="13:20" x14ac:dyDescent="0.3">
      <c r="M157" s="31" t="e">
        <f>IF(OR(ISBLANK(Invullen!D160),ISBLANK(Invullen!#REF!)),NA(),Invullen!K161+(Invullen!#REF!/60)-Invullen!D160+(Invullen!#REF!/60))</f>
        <v>#N/A</v>
      </c>
      <c r="N157" s="31" t="e">
        <f>IF(ISBLANK(Invullen!G160),NA(),IF(Invullen!G160=0,0,(FLOOR(Invullen!G160/100,1)+(Invullen!G160-FLOOR(Invullen!G160/100,1)*100)/60)))</f>
        <v>#N/A</v>
      </c>
      <c r="O157" s="31" t="e">
        <f>IF(ISBLANK(Invullen!F160),NA(),IF(Invullen!F160=0,0,(FLOOR(Invullen!F160/100,1)+(Invullen!F160-FLOOR(Invullen!F160/100,1)*100)/60)))</f>
        <v>#N/A</v>
      </c>
      <c r="P157" s="32" t="e">
        <f>IF(ISBLANK(Invullen!F160),NA(),DegtoICES(O157,N157," "))</f>
        <v>#N/A</v>
      </c>
      <c r="Q157" s="33" t="e">
        <f t="shared" ca="1" si="5"/>
        <v>#N/A</v>
      </c>
      <c r="R157" s="41"/>
      <c r="S157" s="38">
        <f>HLOOKUP($S$1,Invullen!$N$3:$AJ$254,T157,FALSE)</f>
        <v>0</v>
      </c>
      <c r="T157" s="38">
        <v>158</v>
      </c>
    </row>
    <row r="158" spans="13:20" x14ac:dyDescent="0.3">
      <c r="M158" s="31" t="e">
        <f>IF(OR(ISBLANK(Invullen!D161),ISBLANK(Invullen!#REF!)),NA(),Invullen!K162+(Invullen!#REF!/60)-Invullen!D161+(Invullen!#REF!/60))</f>
        <v>#N/A</v>
      </c>
      <c r="N158" s="31" t="e">
        <f>IF(ISBLANK(Invullen!G161),NA(),IF(Invullen!G161=0,0,(FLOOR(Invullen!G161/100,1)+(Invullen!G161-FLOOR(Invullen!G161/100,1)*100)/60)))</f>
        <v>#N/A</v>
      </c>
      <c r="O158" s="31" t="e">
        <f>IF(ISBLANK(Invullen!F161),NA(),IF(Invullen!F161=0,0,(FLOOR(Invullen!F161/100,1)+(Invullen!F161-FLOOR(Invullen!F161/100,1)*100)/60)))</f>
        <v>#N/A</v>
      </c>
      <c r="P158" s="32" t="e">
        <f>IF(ISBLANK(Invullen!F161),NA(),DegtoICES(O158,N158," "))</f>
        <v>#N/A</v>
      </c>
      <c r="Q158" s="33" t="e">
        <f t="shared" ca="1" si="5"/>
        <v>#N/A</v>
      </c>
      <c r="R158" s="41"/>
      <c r="S158" s="38">
        <f>HLOOKUP($S$1,Invullen!$N$3:$AJ$254,T158,FALSE)</f>
        <v>0</v>
      </c>
      <c r="T158" s="38">
        <v>159</v>
      </c>
    </row>
    <row r="159" spans="13:20" x14ac:dyDescent="0.3">
      <c r="M159" s="31" t="e">
        <f>IF(OR(ISBLANK(Invullen!D162),ISBLANK(Invullen!#REF!)),NA(),Invullen!K163+(Invullen!#REF!/60)-Invullen!D162+(Invullen!#REF!/60))</f>
        <v>#N/A</v>
      </c>
      <c r="N159" s="31" t="e">
        <f>IF(ISBLANK(Invullen!G162),NA(),IF(Invullen!G162=0,0,(FLOOR(Invullen!G162/100,1)+(Invullen!G162-FLOOR(Invullen!G162/100,1)*100)/60)))</f>
        <v>#N/A</v>
      </c>
      <c r="O159" s="31" t="e">
        <f>IF(ISBLANK(Invullen!F162),NA(),IF(Invullen!F162=0,0,(FLOOR(Invullen!F162/100,1)+(Invullen!F162-FLOOR(Invullen!F162/100,1)*100)/60)))</f>
        <v>#N/A</v>
      </c>
      <c r="P159" s="32" t="e">
        <f>IF(ISBLANK(Invullen!F162),NA(),DegtoICES(O159,N159," "))</f>
        <v>#N/A</v>
      </c>
      <c r="Q159" s="33" t="e">
        <f t="shared" ca="1" si="5"/>
        <v>#N/A</v>
      </c>
      <c r="R159" s="41"/>
      <c r="S159" s="38">
        <f>HLOOKUP($S$1,Invullen!$N$3:$AJ$254,T159,FALSE)</f>
        <v>0</v>
      </c>
      <c r="T159" s="38">
        <v>160</v>
      </c>
    </row>
    <row r="160" spans="13:20" x14ac:dyDescent="0.3">
      <c r="M160" s="31" t="e">
        <f>IF(OR(ISBLANK(Invullen!D163),ISBLANK(Invullen!#REF!)),NA(),Invullen!K164+(Invullen!#REF!/60)-Invullen!D163+(Invullen!#REF!/60))</f>
        <v>#N/A</v>
      </c>
      <c r="N160" s="31" t="e">
        <f>IF(ISBLANK(Invullen!G163),NA(),IF(Invullen!G163=0,0,(FLOOR(Invullen!G163/100,1)+(Invullen!G163-FLOOR(Invullen!G163/100,1)*100)/60)))</f>
        <v>#N/A</v>
      </c>
      <c r="O160" s="31" t="e">
        <f>IF(ISBLANK(Invullen!F163),NA(),IF(Invullen!F163=0,0,(FLOOR(Invullen!F163/100,1)+(Invullen!F163-FLOOR(Invullen!F163/100,1)*100)/60)))</f>
        <v>#N/A</v>
      </c>
      <c r="P160" s="32" t="e">
        <f>IF(ISBLANK(Invullen!F163),NA(),DegtoICES(O160,N160," "))</f>
        <v>#N/A</v>
      </c>
      <c r="Q160" s="33" t="e">
        <f t="shared" ca="1" si="5"/>
        <v>#N/A</v>
      </c>
      <c r="R160" s="41"/>
      <c r="S160" s="38">
        <f>HLOOKUP($S$1,Invullen!$N$3:$AJ$254,T160,FALSE)</f>
        <v>0</v>
      </c>
      <c r="T160" s="38">
        <v>161</v>
      </c>
    </row>
    <row r="161" spans="13:20" x14ac:dyDescent="0.3">
      <c r="M161" s="31" t="e">
        <f>IF(OR(ISBLANK(Invullen!D164),ISBLANK(Invullen!#REF!)),NA(),Invullen!K165+(Invullen!#REF!/60)-Invullen!D164+(Invullen!#REF!/60))</f>
        <v>#N/A</v>
      </c>
      <c r="N161" s="31" t="e">
        <f>IF(ISBLANK(Invullen!G164),NA(),IF(Invullen!G164=0,0,(FLOOR(Invullen!G164/100,1)+(Invullen!G164-FLOOR(Invullen!G164/100,1)*100)/60)))</f>
        <v>#N/A</v>
      </c>
      <c r="O161" s="31" t="e">
        <f>IF(ISBLANK(Invullen!F164),NA(),IF(Invullen!F164=0,0,(FLOOR(Invullen!F164/100,1)+(Invullen!F164-FLOOR(Invullen!F164/100,1)*100)/60)))</f>
        <v>#N/A</v>
      </c>
      <c r="P161" s="32" t="e">
        <f>IF(ISBLANK(Invullen!F164),NA(),DegtoICES(O161,N161," "))</f>
        <v>#N/A</v>
      </c>
      <c r="Q161" s="33" t="e">
        <f t="shared" ca="1" si="5"/>
        <v>#N/A</v>
      </c>
      <c r="R161" s="41"/>
      <c r="S161" s="38">
        <f>HLOOKUP($S$1,Invullen!$N$3:$AJ$254,T161,FALSE)</f>
        <v>0</v>
      </c>
      <c r="T161" s="38">
        <v>162</v>
      </c>
    </row>
    <row r="162" spans="13:20" x14ac:dyDescent="0.3">
      <c r="M162" s="31" t="e">
        <f>IF(OR(ISBLANK(Invullen!D165),ISBLANK(Invullen!#REF!)),NA(),Invullen!K166+(Invullen!#REF!/60)-Invullen!D165+(Invullen!#REF!/60))</f>
        <v>#N/A</v>
      </c>
      <c r="N162" s="31" t="e">
        <f>IF(ISBLANK(Invullen!G165),NA(),IF(Invullen!G165=0,0,(FLOOR(Invullen!G165/100,1)+(Invullen!G165-FLOOR(Invullen!G165/100,1)*100)/60)))</f>
        <v>#N/A</v>
      </c>
      <c r="O162" s="31" t="e">
        <f>IF(ISBLANK(Invullen!F165),NA(),IF(Invullen!F165=0,0,(FLOOR(Invullen!F165/100,1)+(Invullen!F165-FLOOR(Invullen!F165/100,1)*100)/60)))</f>
        <v>#N/A</v>
      </c>
      <c r="P162" s="32" t="e">
        <f>IF(ISBLANK(Invullen!F165),NA(),DegtoICES(O162,N162," "))</f>
        <v>#N/A</v>
      </c>
      <c r="Q162" s="33" t="e">
        <f t="shared" ca="1" si="5"/>
        <v>#N/A</v>
      </c>
      <c r="R162" s="41"/>
      <c r="S162" s="38">
        <f>HLOOKUP($S$1,Invullen!$N$3:$AJ$254,T162,FALSE)</f>
        <v>0</v>
      </c>
      <c r="T162" s="38">
        <v>163</v>
      </c>
    </row>
    <row r="163" spans="13:20" x14ac:dyDescent="0.3">
      <c r="M163" s="31" t="e">
        <f>IF(OR(ISBLANK(Invullen!D166),ISBLANK(Invullen!#REF!)),NA(),Invullen!K167+(Invullen!#REF!/60)-Invullen!D166+(Invullen!#REF!/60))</f>
        <v>#N/A</v>
      </c>
      <c r="N163" s="31" t="e">
        <f>IF(ISBLANK(Invullen!G166),NA(),IF(Invullen!G166=0,0,(FLOOR(Invullen!G166/100,1)+(Invullen!G166-FLOOR(Invullen!G166/100,1)*100)/60)))</f>
        <v>#N/A</v>
      </c>
      <c r="O163" s="31" t="e">
        <f>IF(ISBLANK(Invullen!F166),NA(),IF(Invullen!F166=0,0,(FLOOR(Invullen!F166/100,1)+(Invullen!F166-FLOOR(Invullen!F166/100,1)*100)/60)))</f>
        <v>#N/A</v>
      </c>
      <c r="P163" s="32" t="e">
        <f>IF(ISBLANK(Invullen!F166),NA(),DegtoICES(O163,N163," "))</f>
        <v>#N/A</v>
      </c>
      <c r="Q163" s="33" t="e">
        <f t="shared" ca="1" si="5"/>
        <v>#N/A</v>
      </c>
      <c r="R163" s="41"/>
      <c r="S163" s="38">
        <f>HLOOKUP($S$1,Invullen!$N$3:$AJ$254,T163,FALSE)</f>
        <v>0</v>
      </c>
      <c r="T163" s="38">
        <v>164</v>
      </c>
    </row>
    <row r="164" spans="13:20" x14ac:dyDescent="0.3">
      <c r="M164" s="31" t="e">
        <f>IF(OR(ISBLANK(Invullen!D167),ISBLANK(Invullen!#REF!)),NA(),Invullen!K168+(Invullen!#REF!/60)-Invullen!D167+(Invullen!#REF!/60))</f>
        <v>#N/A</v>
      </c>
      <c r="N164" s="31" t="e">
        <f>IF(ISBLANK(Invullen!G167),NA(),IF(Invullen!G167=0,0,(FLOOR(Invullen!G167/100,1)+(Invullen!G167-FLOOR(Invullen!G167/100,1)*100)/60)))</f>
        <v>#N/A</v>
      </c>
      <c r="O164" s="31" t="e">
        <f>IF(ISBLANK(Invullen!F167),NA(),IF(Invullen!F167=0,0,(FLOOR(Invullen!F167/100,1)+(Invullen!F167-FLOOR(Invullen!F167/100,1)*100)/60)))</f>
        <v>#N/A</v>
      </c>
      <c r="P164" s="32" t="e">
        <f>IF(ISBLANK(Invullen!F167),NA(),DegtoICES(O164,N164," "))</f>
        <v>#N/A</v>
      </c>
      <c r="Q164" s="33" t="e">
        <f t="shared" ca="1" si="5"/>
        <v>#N/A</v>
      </c>
      <c r="R164" s="41"/>
      <c r="S164" s="38">
        <f>HLOOKUP($S$1,Invullen!$N$3:$AJ$254,T164,FALSE)</f>
        <v>0</v>
      </c>
      <c r="T164" s="38">
        <v>165</v>
      </c>
    </row>
    <row r="165" spans="13:20" x14ac:dyDescent="0.3">
      <c r="M165" s="31" t="e">
        <f>IF(OR(ISBLANK(Invullen!D168),ISBLANK(Invullen!#REF!)),NA(),Invullen!K169+(Invullen!#REF!/60)-Invullen!D168+(Invullen!#REF!/60))</f>
        <v>#N/A</v>
      </c>
      <c r="N165" s="31" t="e">
        <f>IF(ISBLANK(Invullen!G168),NA(),IF(Invullen!G168=0,0,(FLOOR(Invullen!G168/100,1)+(Invullen!G168-FLOOR(Invullen!G168/100,1)*100)/60)))</f>
        <v>#N/A</v>
      </c>
      <c r="O165" s="31" t="e">
        <f>IF(ISBLANK(Invullen!F168),NA(),IF(Invullen!F168=0,0,(FLOOR(Invullen!F168/100,1)+(Invullen!F168-FLOOR(Invullen!F168/100,1)*100)/60)))</f>
        <v>#N/A</v>
      </c>
      <c r="P165" s="32" t="e">
        <f>IF(ISBLANK(Invullen!F168),NA(),DegtoICES(O165,N165," "))</f>
        <v>#N/A</v>
      </c>
      <c r="Q165" s="33" t="e">
        <f t="shared" ca="1" si="5"/>
        <v>#N/A</v>
      </c>
      <c r="R165" s="41"/>
      <c r="S165" s="38">
        <f>HLOOKUP($S$1,Invullen!$N$3:$AJ$254,T165,FALSE)</f>
        <v>0</v>
      </c>
      <c r="T165" s="38">
        <v>166</v>
      </c>
    </row>
    <row r="166" spans="13:20" x14ac:dyDescent="0.3">
      <c r="M166" s="31" t="e">
        <f>IF(OR(ISBLANK(Invullen!D169),ISBLANK(Invullen!#REF!)),NA(),Invullen!K170+(Invullen!#REF!/60)-Invullen!D169+(Invullen!#REF!/60))</f>
        <v>#N/A</v>
      </c>
      <c r="N166" s="31" t="e">
        <f>IF(ISBLANK(Invullen!G169),NA(),IF(Invullen!G169=0,0,(FLOOR(Invullen!G169/100,1)+(Invullen!G169-FLOOR(Invullen!G169/100,1)*100)/60)))</f>
        <v>#N/A</v>
      </c>
      <c r="O166" s="31" t="e">
        <f>IF(ISBLANK(Invullen!F169),NA(),IF(Invullen!F169=0,0,(FLOOR(Invullen!F169/100,1)+(Invullen!F169-FLOOR(Invullen!F169/100,1)*100)/60)))</f>
        <v>#N/A</v>
      </c>
      <c r="P166" s="32" t="e">
        <f>IF(ISBLANK(Invullen!F169),NA(),DegtoICES(O166,N166," "))</f>
        <v>#N/A</v>
      </c>
      <c r="Q166" s="33" t="e">
        <f t="shared" ca="1" si="5"/>
        <v>#N/A</v>
      </c>
      <c r="R166" s="41"/>
      <c r="S166" s="38">
        <f>HLOOKUP($S$1,Invullen!$N$3:$AJ$254,T166,FALSE)</f>
        <v>0</v>
      </c>
      <c r="T166" s="38">
        <v>167</v>
      </c>
    </row>
    <row r="167" spans="13:20" x14ac:dyDescent="0.3">
      <c r="M167" s="31" t="e">
        <f>IF(OR(ISBLANK(Invullen!D170),ISBLANK(Invullen!#REF!)),NA(),Invullen!K171+(Invullen!#REF!/60)-Invullen!D170+(Invullen!#REF!/60))</f>
        <v>#N/A</v>
      </c>
      <c r="N167" s="31" t="e">
        <f>IF(ISBLANK(Invullen!G170),NA(),IF(Invullen!G170=0,0,(FLOOR(Invullen!G170/100,1)+(Invullen!G170-FLOOR(Invullen!G170/100,1)*100)/60)))</f>
        <v>#N/A</v>
      </c>
      <c r="O167" s="31" t="e">
        <f>IF(ISBLANK(Invullen!F170),NA(),IF(Invullen!F170=0,0,(FLOOR(Invullen!F170/100,1)+(Invullen!F170-FLOOR(Invullen!F170/100,1)*100)/60)))</f>
        <v>#N/A</v>
      </c>
      <c r="P167" s="32" t="e">
        <f>IF(ISBLANK(Invullen!F170),NA(),DegtoICES(O167,N167," "))</f>
        <v>#N/A</v>
      </c>
      <c r="Q167" s="33" t="e">
        <f t="shared" ca="1" si="5"/>
        <v>#N/A</v>
      </c>
      <c r="R167" s="41"/>
      <c r="S167" s="38">
        <f>HLOOKUP($S$1,Invullen!$N$3:$AJ$254,T167,FALSE)</f>
        <v>0</v>
      </c>
      <c r="T167" s="38">
        <v>168</v>
      </c>
    </row>
    <row r="168" spans="13:20" x14ac:dyDescent="0.3">
      <c r="M168" s="31" t="e">
        <f>IF(OR(ISBLANK(Invullen!D171),ISBLANK(Invullen!#REF!)),NA(),Invullen!K172+(Invullen!#REF!/60)-Invullen!D171+(Invullen!#REF!/60))</f>
        <v>#N/A</v>
      </c>
      <c r="N168" s="31" t="e">
        <f>IF(ISBLANK(Invullen!G171),NA(),IF(Invullen!G171=0,0,(FLOOR(Invullen!G171/100,1)+(Invullen!G171-FLOOR(Invullen!G171/100,1)*100)/60)))</f>
        <v>#N/A</v>
      </c>
      <c r="O168" s="31" t="e">
        <f>IF(ISBLANK(Invullen!F171),NA(),IF(Invullen!F171=0,0,(FLOOR(Invullen!F171/100,1)+(Invullen!F171-FLOOR(Invullen!F171/100,1)*100)/60)))</f>
        <v>#N/A</v>
      </c>
      <c r="P168" s="32" t="e">
        <f>IF(ISBLANK(Invullen!F171),NA(),DegtoICES(O168,N168," "))</f>
        <v>#N/A</v>
      </c>
      <c r="Q168" s="33" t="e">
        <f t="shared" ca="1" si="5"/>
        <v>#N/A</v>
      </c>
      <c r="R168" s="41"/>
      <c r="S168" s="38">
        <f>HLOOKUP($S$1,Invullen!$N$3:$AJ$254,T168,FALSE)</f>
        <v>0</v>
      </c>
      <c r="T168" s="38">
        <v>169</v>
      </c>
    </row>
    <row r="169" spans="13:20" x14ac:dyDescent="0.3">
      <c r="M169" s="31" t="e">
        <f>IF(OR(ISBLANK(Invullen!D172),ISBLANK(Invullen!#REF!)),NA(),Invullen!K173+(Invullen!#REF!/60)-Invullen!D172+(Invullen!#REF!/60))</f>
        <v>#N/A</v>
      </c>
      <c r="N169" s="31" t="e">
        <f>IF(ISBLANK(Invullen!G172),NA(),IF(Invullen!G172=0,0,(FLOOR(Invullen!G172/100,1)+(Invullen!G172-FLOOR(Invullen!G172/100,1)*100)/60)))</f>
        <v>#N/A</v>
      </c>
      <c r="O169" s="31" t="e">
        <f>IF(ISBLANK(Invullen!F172),NA(),IF(Invullen!F172=0,0,(FLOOR(Invullen!F172/100,1)+(Invullen!F172-FLOOR(Invullen!F172/100,1)*100)/60)))</f>
        <v>#N/A</v>
      </c>
      <c r="P169" s="32" t="e">
        <f>IF(ISBLANK(Invullen!F172),NA(),DegtoICES(O169,N169," "))</f>
        <v>#N/A</v>
      </c>
      <c r="Q169" s="33" t="e">
        <f t="shared" ca="1" si="5"/>
        <v>#N/A</v>
      </c>
      <c r="R169" s="41"/>
      <c r="S169" s="38">
        <f>HLOOKUP($S$1,Invullen!$N$3:$AJ$254,T169,FALSE)</f>
        <v>0</v>
      </c>
      <c r="T169" s="38">
        <v>170</v>
      </c>
    </row>
    <row r="170" spans="13:20" x14ac:dyDescent="0.3">
      <c r="M170" s="31" t="e">
        <f>IF(OR(ISBLANK(Invullen!D173),ISBLANK(Invullen!#REF!)),NA(),Invullen!K174+(Invullen!#REF!/60)-Invullen!D173+(Invullen!#REF!/60))</f>
        <v>#N/A</v>
      </c>
      <c r="N170" s="31" t="e">
        <f>IF(ISBLANK(Invullen!G173),NA(),IF(Invullen!G173=0,0,(FLOOR(Invullen!G173/100,1)+(Invullen!G173-FLOOR(Invullen!G173/100,1)*100)/60)))</f>
        <v>#N/A</v>
      </c>
      <c r="O170" s="31" t="e">
        <f>IF(ISBLANK(Invullen!F173),NA(),IF(Invullen!F173=0,0,(FLOOR(Invullen!F173/100,1)+(Invullen!F173-FLOOR(Invullen!F173/100,1)*100)/60)))</f>
        <v>#N/A</v>
      </c>
      <c r="P170" s="32" t="e">
        <f>IF(ISBLANK(Invullen!F173),NA(),DegtoICES(O170,N170," "))</f>
        <v>#N/A</v>
      </c>
      <c r="Q170" s="33" t="e">
        <f t="shared" ca="1" si="5"/>
        <v>#N/A</v>
      </c>
      <c r="R170" s="41"/>
      <c r="S170" s="38">
        <f>HLOOKUP($S$1,Invullen!$N$3:$AJ$254,T170,FALSE)</f>
        <v>0</v>
      </c>
      <c r="T170" s="38">
        <v>171</v>
      </c>
    </row>
    <row r="171" spans="13:20" x14ac:dyDescent="0.3">
      <c r="M171" s="31" t="e">
        <f>IF(OR(ISBLANK(Invullen!D174),ISBLANK(Invullen!#REF!)),NA(),Invullen!K175+(Invullen!#REF!/60)-Invullen!D174+(Invullen!#REF!/60))</f>
        <v>#N/A</v>
      </c>
      <c r="N171" s="31" t="e">
        <f>IF(ISBLANK(Invullen!G174),NA(),IF(Invullen!G174=0,0,(FLOOR(Invullen!G174/100,1)+(Invullen!G174-FLOOR(Invullen!G174/100,1)*100)/60)))</f>
        <v>#N/A</v>
      </c>
      <c r="O171" s="31" t="e">
        <f>IF(ISBLANK(Invullen!F174),NA(),IF(Invullen!F174=0,0,(FLOOR(Invullen!F174/100,1)+(Invullen!F174-FLOOR(Invullen!F174/100,1)*100)/60)))</f>
        <v>#N/A</v>
      </c>
      <c r="P171" s="32" t="e">
        <f>IF(ISBLANK(Invullen!F174),NA(),DegtoICES(O171,N171," "))</f>
        <v>#N/A</v>
      </c>
      <c r="Q171" s="33" t="e">
        <f t="shared" ca="1" si="5"/>
        <v>#N/A</v>
      </c>
      <c r="R171" s="41"/>
      <c r="S171" s="38">
        <f>HLOOKUP($S$1,Invullen!$N$3:$AJ$254,T171,FALSE)</f>
        <v>0</v>
      </c>
      <c r="T171" s="38">
        <v>172</v>
      </c>
    </row>
    <row r="172" spans="13:20" x14ac:dyDescent="0.3">
      <c r="M172" s="31" t="e">
        <f>IF(OR(ISBLANK(Invullen!D175),ISBLANK(Invullen!#REF!)),NA(),Invullen!K176+(Invullen!#REF!/60)-Invullen!D175+(Invullen!#REF!/60))</f>
        <v>#N/A</v>
      </c>
      <c r="N172" s="31" t="e">
        <f>IF(ISBLANK(Invullen!G175),NA(),IF(Invullen!G175=0,0,(FLOOR(Invullen!G175/100,1)+(Invullen!G175-FLOOR(Invullen!G175/100,1)*100)/60)))</f>
        <v>#N/A</v>
      </c>
      <c r="O172" s="31" t="e">
        <f>IF(ISBLANK(Invullen!F175),NA(),IF(Invullen!F175=0,0,(FLOOR(Invullen!F175/100,1)+(Invullen!F175-FLOOR(Invullen!F175/100,1)*100)/60)))</f>
        <v>#N/A</v>
      </c>
      <c r="P172" s="32" t="e">
        <f>IF(ISBLANK(Invullen!F175),NA(),DegtoICES(O172,N172," "))</f>
        <v>#N/A</v>
      </c>
      <c r="Q172" s="33" t="e">
        <f t="shared" ca="1" si="5"/>
        <v>#N/A</v>
      </c>
      <c r="R172" s="41"/>
      <c r="S172" s="38">
        <f>HLOOKUP($S$1,Invullen!$N$3:$AJ$254,T172,FALSE)</f>
        <v>0</v>
      </c>
      <c r="T172" s="38">
        <v>173</v>
      </c>
    </row>
    <row r="173" spans="13:20" x14ac:dyDescent="0.3">
      <c r="M173" s="31" t="e">
        <f>IF(OR(ISBLANK(Invullen!D176),ISBLANK(Invullen!#REF!)),NA(),Invullen!K177+(Invullen!#REF!/60)-Invullen!D176+(Invullen!#REF!/60))</f>
        <v>#N/A</v>
      </c>
      <c r="N173" s="31" t="e">
        <f>IF(ISBLANK(Invullen!G176),NA(),IF(Invullen!G176=0,0,(FLOOR(Invullen!G176/100,1)+(Invullen!G176-FLOOR(Invullen!G176/100,1)*100)/60)))</f>
        <v>#N/A</v>
      </c>
      <c r="O173" s="31" t="e">
        <f>IF(ISBLANK(Invullen!F176),NA(),IF(Invullen!F176=0,0,(FLOOR(Invullen!F176/100,1)+(Invullen!F176-FLOOR(Invullen!F176/100,1)*100)/60)))</f>
        <v>#N/A</v>
      </c>
      <c r="P173" s="32" t="e">
        <f>IF(ISBLANK(Invullen!F176),NA(),DegtoICES(O173,N173," "))</f>
        <v>#N/A</v>
      </c>
      <c r="Q173" s="33" t="e">
        <f t="shared" ca="1" si="5"/>
        <v>#N/A</v>
      </c>
      <c r="R173" s="41"/>
      <c r="S173" s="38">
        <f>HLOOKUP($S$1,Invullen!$N$3:$AJ$254,T173,FALSE)</f>
        <v>0</v>
      </c>
      <c r="T173" s="38">
        <v>174</v>
      </c>
    </row>
    <row r="174" spans="13:20" x14ac:dyDescent="0.3">
      <c r="M174" s="31" t="e">
        <f>IF(OR(ISBLANK(Invullen!D177),ISBLANK(Invullen!#REF!)),NA(),Invullen!K178+(Invullen!#REF!/60)-Invullen!D177+(Invullen!#REF!/60))</f>
        <v>#N/A</v>
      </c>
      <c r="N174" s="31" t="e">
        <f>IF(ISBLANK(Invullen!G177),NA(),IF(Invullen!G177=0,0,(FLOOR(Invullen!G177/100,1)+(Invullen!G177-FLOOR(Invullen!G177/100,1)*100)/60)))</f>
        <v>#N/A</v>
      </c>
      <c r="O174" s="31" t="e">
        <f>IF(ISBLANK(Invullen!F177),NA(),IF(Invullen!F177=0,0,(FLOOR(Invullen!F177/100,1)+(Invullen!F177-FLOOR(Invullen!F177/100,1)*100)/60)))</f>
        <v>#N/A</v>
      </c>
      <c r="P174" s="32" t="e">
        <f>IF(ISBLANK(Invullen!F177),NA(),DegtoICES(O174,N174," "))</f>
        <v>#N/A</v>
      </c>
      <c r="Q174" s="33" t="e">
        <f t="shared" ca="1" si="5"/>
        <v>#N/A</v>
      </c>
      <c r="R174" s="41"/>
      <c r="S174" s="38">
        <f>HLOOKUP($S$1,Invullen!$N$3:$AJ$254,T174,FALSE)</f>
        <v>0</v>
      </c>
      <c r="T174" s="38">
        <v>175</v>
      </c>
    </row>
    <row r="175" spans="13:20" x14ac:dyDescent="0.3">
      <c r="M175" s="31" t="e">
        <f>IF(OR(ISBLANK(Invullen!D178),ISBLANK(Invullen!#REF!)),NA(),Invullen!K179+(Invullen!#REF!/60)-Invullen!D178+(Invullen!#REF!/60))</f>
        <v>#N/A</v>
      </c>
      <c r="N175" s="31" t="e">
        <f>IF(ISBLANK(Invullen!G178),NA(),IF(Invullen!G178=0,0,(FLOOR(Invullen!G178/100,1)+(Invullen!G178-FLOOR(Invullen!G178/100,1)*100)/60)))</f>
        <v>#N/A</v>
      </c>
      <c r="O175" s="31" t="e">
        <f>IF(ISBLANK(Invullen!F178),NA(),IF(Invullen!F178=0,0,(FLOOR(Invullen!F178/100,1)+(Invullen!F178-FLOOR(Invullen!F178/100,1)*100)/60)))</f>
        <v>#N/A</v>
      </c>
      <c r="P175" s="32" t="e">
        <f>IF(ISBLANK(Invullen!F178),NA(),DegtoICES(O175,N175," "))</f>
        <v>#N/A</v>
      </c>
      <c r="Q175" s="33" t="e">
        <f t="shared" ca="1" si="5"/>
        <v>#N/A</v>
      </c>
      <c r="R175" s="41"/>
      <c r="S175" s="38">
        <f>HLOOKUP($S$1,Invullen!$N$3:$AJ$254,T175,FALSE)</f>
        <v>0</v>
      </c>
      <c r="T175" s="38">
        <v>176</v>
      </c>
    </row>
    <row r="176" spans="13:20" x14ac:dyDescent="0.3">
      <c r="M176" s="31" t="e">
        <f>IF(OR(ISBLANK(Invullen!D179),ISBLANK(Invullen!#REF!)),NA(),Invullen!K180+(Invullen!#REF!/60)-Invullen!D179+(Invullen!#REF!/60))</f>
        <v>#N/A</v>
      </c>
      <c r="N176" s="31" t="e">
        <f>IF(ISBLANK(Invullen!G179),NA(),IF(Invullen!G179=0,0,(FLOOR(Invullen!G179/100,1)+(Invullen!G179-FLOOR(Invullen!G179/100,1)*100)/60)))</f>
        <v>#N/A</v>
      </c>
      <c r="O176" s="31" t="e">
        <f>IF(ISBLANK(Invullen!F179),NA(),IF(Invullen!F179=0,0,(FLOOR(Invullen!F179/100,1)+(Invullen!F179-FLOOR(Invullen!F179/100,1)*100)/60)))</f>
        <v>#N/A</v>
      </c>
      <c r="P176" s="32" t="e">
        <f>IF(ISBLANK(Invullen!F179),NA(),DegtoICES(O176,N176," "))</f>
        <v>#N/A</v>
      </c>
      <c r="Q176" s="33" t="e">
        <f t="shared" ca="1" si="5"/>
        <v>#N/A</v>
      </c>
      <c r="R176" s="41"/>
      <c r="S176" s="38">
        <f>HLOOKUP($S$1,Invullen!$N$3:$AJ$254,T176,FALSE)</f>
        <v>0</v>
      </c>
      <c r="T176" s="38">
        <v>177</v>
      </c>
    </row>
    <row r="177" spans="13:20" x14ac:dyDescent="0.3">
      <c r="M177" s="31" t="e">
        <f>IF(OR(ISBLANK(Invullen!D180),ISBLANK(Invullen!#REF!)),NA(),Invullen!K181+(Invullen!#REF!/60)-Invullen!D180+(Invullen!#REF!/60))</f>
        <v>#N/A</v>
      </c>
      <c r="N177" s="31" t="e">
        <f>IF(ISBLANK(Invullen!G180),NA(),IF(Invullen!G180=0,0,(FLOOR(Invullen!G180/100,1)+(Invullen!G180-FLOOR(Invullen!G180/100,1)*100)/60)))</f>
        <v>#N/A</v>
      </c>
      <c r="O177" s="31" t="e">
        <f>IF(ISBLANK(Invullen!F180),NA(),IF(Invullen!F180=0,0,(FLOOR(Invullen!F180/100,1)+(Invullen!F180-FLOOR(Invullen!F180/100,1)*100)/60)))</f>
        <v>#N/A</v>
      </c>
      <c r="P177" s="32" t="e">
        <f>IF(ISBLANK(Invullen!F180),NA(),DegtoICES(O177,N177," "))</f>
        <v>#N/A</v>
      </c>
      <c r="Q177" s="33" t="e">
        <f t="shared" ca="1" si="5"/>
        <v>#N/A</v>
      </c>
      <c r="R177" s="41"/>
      <c r="S177" s="38">
        <f>HLOOKUP($S$1,Invullen!$N$3:$AJ$254,T177,FALSE)</f>
        <v>0</v>
      </c>
      <c r="T177" s="38">
        <v>178</v>
      </c>
    </row>
    <row r="178" spans="13:20" x14ac:dyDescent="0.3">
      <c r="M178" s="31" t="e">
        <f>IF(OR(ISBLANK(Invullen!D181),ISBLANK(Invullen!#REF!)),NA(),Invullen!K182+(Invullen!#REF!/60)-Invullen!D181+(Invullen!#REF!/60))</f>
        <v>#N/A</v>
      </c>
      <c r="N178" s="31" t="e">
        <f>IF(ISBLANK(Invullen!G181),NA(),IF(Invullen!G181=0,0,(FLOOR(Invullen!G181/100,1)+(Invullen!G181-FLOOR(Invullen!G181/100,1)*100)/60)))</f>
        <v>#N/A</v>
      </c>
      <c r="O178" s="31" t="e">
        <f>IF(ISBLANK(Invullen!F181),NA(),IF(Invullen!F181=0,0,(FLOOR(Invullen!F181/100,1)+(Invullen!F181-FLOOR(Invullen!F181/100,1)*100)/60)))</f>
        <v>#N/A</v>
      </c>
      <c r="P178" s="32" t="e">
        <f>IF(ISBLANK(Invullen!F181),NA(),DegtoICES(O178,N178," "))</f>
        <v>#N/A</v>
      </c>
      <c r="Q178" s="33" t="e">
        <f t="shared" ca="1" si="5"/>
        <v>#N/A</v>
      </c>
      <c r="R178" s="41"/>
      <c r="S178" s="38">
        <f>HLOOKUP($S$1,Invullen!$N$3:$AJ$254,T178,FALSE)</f>
        <v>0</v>
      </c>
      <c r="T178" s="38">
        <v>179</v>
      </c>
    </row>
    <row r="179" spans="13:20" x14ac:dyDescent="0.3">
      <c r="M179" s="31" t="e">
        <f>IF(OR(ISBLANK(Invullen!D182),ISBLANK(Invullen!#REF!)),NA(),Invullen!K183+(Invullen!#REF!/60)-Invullen!D182+(Invullen!#REF!/60))</f>
        <v>#N/A</v>
      </c>
      <c r="N179" s="31" t="e">
        <f>IF(ISBLANK(Invullen!G182),NA(),IF(Invullen!G182=0,0,(FLOOR(Invullen!G182/100,1)+(Invullen!G182-FLOOR(Invullen!G182/100,1)*100)/60)))</f>
        <v>#N/A</v>
      </c>
      <c r="O179" s="31" t="e">
        <f>IF(ISBLANK(Invullen!F182),NA(),IF(Invullen!F182=0,0,(FLOOR(Invullen!F182/100,1)+(Invullen!F182-FLOOR(Invullen!F182/100,1)*100)/60)))</f>
        <v>#N/A</v>
      </c>
      <c r="P179" s="32" t="e">
        <f>IF(ISBLANK(Invullen!F182),NA(),DegtoICES(O179,N179," "))</f>
        <v>#N/A</v>
      </c>
      <c r="Q179" s="33" t="e">
        <f t="shared" ca="1" si="5"/>
        <v>#N/A</v>
      </c>
      <c r="R179" s="41"/>
      <c r="S179" s="38">
        <f>HLOOKUP($S$1,Invullen!$N$3:$AJ$254,T179,FALSE)</f>
        <v>0</v>
      </c>
      <c r="T179" s="38">
        <v>180</v>
      </c>
    </row>
    <row r="180" spans="13:20" x14ac:dyDescent="0.3">
      <c r="M180" s="31" t="e">
        <f>IF(OR(ISBLANK(Invullen!D183),ISBLANK(Invullen!#REF!)),NA(),Invullen!K184+(Invullen!#REF!/60)-Invullen!D183+(Invullen!#REF!/60))</f>
        <v>#N/A</v>
      </c>
      <c r="N180" s="31" t="e">
        <f>IF(ISBLANK(Invullen!G183),NA(),IF(Invullen!G183=0,0,(FLOOR(Invullen!G183/100,1)+(Invullen!G183-FLOOR(Invullen!G183/100,1)*100)/60)))</f>
        <v>#N/A</v>
      </c>
      <c r="O180" s="31" t="e">
        <f>IF(ISBLANK(Invullen!F183),NA(),IF(Invullen!F183=0,0,(FLOOR(Invullen!F183/100,1)+(Invullen!F183-FLOOR(Invullen!F183/100,1)*100)/60)))</f>
        <v>#N/A</v>
      </c>
      <c r="P180" s="32" t="e">
        <f>IF(ISBLANK(Invullen!F183),NA(),DegtoICES(O180,N180," "))</f>
        <v>#N/A</v>
      </c>
      <c r="Q180" s="33" t="e">
        <f t="shared" ca="1" si="5"/>
        <v>#N/A</v>
      </c>
      <c r="R180" s="41"/>
      <c r="S180" s="38">
        <f>HLOOKUP($S$1,Invullen!$N$3:$AJ$254,T180,FALSE)</f>
        <v>0</v>
      </c>
      <c r="T180" s="38">
        <v>181</v>
      </c>
    </row>
    <row r="181" spans="13:20" x14ac:dyDescent="0.3">
      <c r="M181" s="31" t="e">
        <f>IF(OR(ISBLANK(Invullen!D184),ISBLANK(Invullen!#REF!)),NA(),Invullen!K185+(Invullen!#REF!/60)-Invullen!D184+(Invullen!#REF!/60))</f>
        <v>#N/A</v>
      </c>
      <c r="N181" s="31" t="e">
        <f>IF(ISBLANK(Invullen!G184),NA(),IF(Invullen!G184=0,0,(FLOOR(Invullen!G184/100,1)+(Invullen!G184-FLOOR(Invullen!G184/100,1)*100)/60)))</f>
        <v>#N/A</v>
      </c>
      <c r="O181" s="31" t="e">
        <f>IF(ISBLANK(Invullen!F184),NA(),IF(Invullen!F184=0,0,(FLOOR(Invullen!F184/100,1)+(Invullen!F184-FLOOR(Invullen!F184/100,1)*100)/60)))</f>
        <v>#N/A</v>
      </c>
      <c r="P181" s="32" t="e">
        <f>IF(ISBLANK(Invullen!F184),NA(),DegtoICES(O181,N181," "))</f>
        <v>#N/A</v>
      </c>
      <c r="Q181" s="33" t="e">
        <f t="shared" ca="1" si="5"/>
        <v>#N/A</v>
      </c>
      <c r="R181" s="41"/>
      <c r="S181" s="38">
        <f>HLOOKUP($S$1,Invullen!$N$3:$AJ$254,T181,FALSE)</f>
        <v>0</v>
      </c>
      <c r="T181" s="38">
        <v>182</v>
      </c>
    </row>
    <row r="182" spans="13:20" x14ac:dyDescent="0.3">
      <c r="M182" s="31" t="e">
        <f>IF(OR(ISBLANK(Invullen!D185),ISBLANK(Invullen!#REF!)),NA(),Invullen!K186+(Invullen!#REF!/60)-Invullen!D185+(Invullen!#REF!/60))</f>
        <v>#N/A</v>
      </c>
      <c r="N182" s="31" t="e">
        <f>IF(ISBLANK(Invullen!G185),NA(),IF(Invullen!G185=0,0,(FLOOR(Invullen!G185/100,1)+(Invullen!G185-FLOOR(Invullen!G185/100,1)*100)/60)))</f>
        <v>#N/A</v>
      </c>
      <c r="O182" s="31" t="e">
        <f>IF(ISBLANK(Invullen!F185),NA(),IF(Invullen!F185=0,0,(FLOOR(Invullen!F185/100,1)+(Invullen!F185-FLOOR(Invullen!F185/100,1)*100)/60)))</f>
        <v>#N/A</v>
      </c>
      <c r="P182" s="32" t="e">
        <f>IF(ISBLANK(Invullen!F185),NA(),DegtoICES(O182,N182," "))</f>
        <v>#N/A</v>
      </c>
      <c r="Q182" s="33" t="e">
        <f t="shared" ca="1" si="5"/>
        <v>#N/A</v>
      </c>
      <c r="R182" s="41"/>
      <c r="S182" s="38">
        <f>HLOOKUP($S$1,Invullen!$N$3:$AJ$254,T182,FALSE)</f>
        <v>0</v>
      </c>
      <c r="T182" s="38">
        <v>183</v>
      </c>
    </row>
    <row r="183" spans="13:20" x14ac:dyDescent="0.3">
      <c r="M183" s="31" t="e">
        <f>IF(OR(ISBLANK(Invullen!D186),ISBLANK(Invullen!#REF!)),NA(),Invullen!K187+(Invullen!#REF!/60)-Invullen!D186+(Invullen!#REF!/60))</f>
        <v>#N/A</v>
      </c>
      <c r="N183" s="31" t="e">
        <f>IF(ISBLANK(Invullen!G186),NA(),IF(Invullen!G186=0,0,(FLOOR(Invullen!G186/100,1)+(Invullen!G186-FLOOR(Invullen!G186/100,1)*100)/60)))</f>
        <v>#N/A</v>
      </c>
      <c r="O183" s="31" t="e">
        <f>IF(ISBLANK(Invullen!F186),NA(),IF(Invullen!F186=0,0,(FLOOR(Invullen!F186/100,1)+(Invullen!F186-FLOOR(Invullen!F186/100,1)*100)/60)))</f>
        <v>#N/A</v>
      </c>
      <c r="P183" s="32" t="e">
        <f>IF(ISBLANK(Invullen!F186),NA(),DegtoICES(O183,N183," "))</f>
        <v>#N/A</v>
      </c>
      <c r="Q183" s="33" t="e">
        <f t="shared" ca="1" si="5"/>
        <v>#N/A</v>
      </c>
      <c r="R183" s="41"/>
      <c r="S183" s="38">
        <f>HLOOKUP($S$1,Invullen!$N$3:$AJ$254,T183,FALSE)</f>
        <v>0</v>
      </c>
      <c r="T183" s="38">
        <v>184</v>
      </c>
    </row>
    <row r="184" spans="13:20" x14ac:dyDescent="0.3">
      <c r="M184" s="31" t="e">
        <f>IF(OR(ISBLANK(Invullen!D187),ISBLANK(Invullen!#REF!)),NA(),Invullen!K188+(Invullen!#REF!/60)-Invullen!D187+(Invullen!#REF!/60))</f>
        <v>#N/A</v>
      </c>
      <c r="N184" s="31" t="e">
        <f>IF(ISBLANK(Invullen!G187),NA(),IF(Invullen!G187=0,0,(FLOOR(Invullen!G187/100,1)+(Invullen!G187-FLOOR(Invullen!G187/100,1)*100)/60)))</f>
        <v>#N/A</v>
      </c>
      <c r="O184" s="31" t="e">
        <f>IF(ISBLANK(Invullen!F187),NA(),IF(Invullen!F187=0,0,(FLOOR(Invullen!F187/100,1)+(Invullen!F187-FLOOR(Invullen!F187/100,1)*100)/60)))</f>
        <v>#N/A</v>
      </c>
      <c r="P184" s="32" t="e">
        <f>IF(ISBLANK(Invullen!F187),NA(),DegtoICES(O184,N184," "))</f>
        <v>#N/A</v>
      </c>
      <c r="Q184" s="33" t="e">
        <f t="shared" ca="1" si="5"/>
        <v>#N/A</v>
      </c>
      <c r="R184" s="41"/>
      <c r="S184" s="38">
        <f>HLOOKUP($S$1,Invullen!$N$3:$AJ$254,T184,FALSE)</f>
        <v>0</v>
      </c>
      <c r="T184" s="38">
        <v>185</v>
      </c>
    </row>
    <row r="185" spans="13:20" x14ac:dyDescent="0.3">
      <c r="M185" s="31" t="e">
        <f>IF(OR(ISBLANK(Invullen!D188),ISBLANK(Invullen!#REF!)),NA(),Invullen!K189+(Invullen!#REF!/60)-Invullen!D188+(Invullen!#REF!/60))</f>
        <v>#N/A</v>
      </c>
      <c r="N185" s="31" t="e">
        <f>IF(ISBLANK(Invullen!G188),NA(),IF(Invullen!G188=0,0,(FLOOR(Invullen!G188/100,1)+(Invullen!G188-FLOOR(Invullen!G188/100,1)*100)/60)))</f>
        <v>#N/A</v>
      </c>
      <c r="O185" s="31" t="e">
        <f>IF(ISBLANK(Invullen!F188),NA(),IF(Invullen!F188=0,0,(FLOOR(Invullen!F188/100,1)+(Invullen!F188-FLOOR(Invullen!F188/100,1)*100)/60)))</f>
        <v>#N/A</v>
      </c>
      <c r="P185" s="32" t="e">
        <f>IF(ISBLANK(Invullen!F188),NA(),DegtoICES(O185,N185," "))</f>
        <v>#N/A</v>
      </c>
      <c r="Q185" s="33" t="e">
        <f t="shared" ca="1" si="5"/>
        <v>#N/A</v>
      </c>
      <c r="R185" s="41"/>
      <c r="S185" s="38">
        <f>HLOOKUP($S$1,Invullen!$N$3:$AJ$254,T185,FALSE)</f>
        <v>0</v>
      </c>
      <c r="T185" s="38">
        <v>186</v>
      </c>
    </row>
    <row r="186" spans="13:20" x14ac:dyDescent="0.3">
      <c r="M186" s="31" t="e">
        <f>IF(OR(ISBLANK(Invullen!D189),ISBLANK(Invullen!#REF!)),NA(),Invullen!K190+(Invullen!#REF!/60)-Invullen!D189+(Invullen!#REF!/60))</f>
        <v>#N/A</v>
      </c>
      <c r="N186" s="31" t="e">
        <f>IF(ISBLANK(Invullen!G189),NA(),IF(Invullen!G189=0,0,(FLOOR(Invullen!G189/100,1)+(Invullen!G189-FLOOR(Invullen!G189/100,1)*100)/60)))</f>
        <v>#N/A</v>
      </c>
      <c r="O186" s="31" t="e">
        <f>IF(ISBLANK(Invullen!F189),NA(),IF(Invullen!F189=0,0,(FLOOR(Invullen!F189/100,1)+(Invullen!F189-FLOOR(Invullen!F189/100,1)*100)/60)))</f>
        <v>#N/A</v>
      </c>
      <c r="P186" s="32" t="e">
        <f>IF(ISBLANK(Invullen!F189),NA(),DegtoICES(O186,N186," "))</f>
        <v>#N/A</v>
      </c>
      <c r="Q186" s="33" t="e">
        <f t="shared" ca="1" si="5"/>
        <v>#N/A</v>
      </c>
      <c r="R186" s="41"/>
      <c r="S186" s="38">
        <f>HLOOKUP($S$1,Invullen!$N$3:$AJ$254,T186,FALSE)</f>
        <v>0</v>
      </c>
      <c r="T186" s="38">
        <v>187</v>
      </c>
    </row>
    <row r="187" spans="13:20" x14ac:dyDescent="0.3">
      <c r="M187" s="31" t="e">
        <f>IF(OR(ISBLANK(Invullen!D190),ISBLANK(Invullen!#REF!)),NA(),Invullen!K191+(Invullen!#REF!/60)-Invullen!D190+(Invullen!#REF!/60))</f>
        <v>#N/A</v>
      </c>
      <c r="N187" s="31" t="e">
        <f>IF(ISBLANK(Invullen!G190),NA(),IF(Invullen!G190=0,0,(FLOOR(Invullen!G190/100,1)+(Invullen!G190-FLOOR(Invullen!G190/100,1)*100)/60)))</f>
        <v>#N/A</v>
      </c>
      <c r="O187" s="31" t="e">
        <f>IF(ISBLANK(Invullen!F190),NA(),IF(Invullen!F190=0,0,(FLOOR(Invullen!F190/100,1)+(Invullen!F190-FLOOR(Invullen!F190/100,1)*100)/60)))</f>
        <v>#N/A</v>
      </c>
      <c r="P187" s="32" t="e">
        <f>IF(ISBLANK(Invullen!F190),NA(),DegtoICES(O187,N187," "))</f>
        <v>#N/A</v>
      </c>
      <c r="Q187" s="33" t="e">
        <f t="shared" ca="1" si="5"/>
        <v>#N/A</v>
      </c>
      <c r="R187" s="41"/>
      <c r="S187" s="38">
        <f>HLOOKUP($S$1,Invullen!$N$3:$AJ$254,T187,FALSE)</f>
        <v>0</v>
      </c>
      <c r="T187" s="38">
        <v>188</v>
      </c>
    </row>
    <row r="188" spans="13:20" x14ac:dyDescent="0.3">
      <c r="M188" s="31" t="e">
        <f>IF(OR(ISBLANK(Invullen!D191),ISBLANK(Invullen!#REF!)),NA(),Invullen!K192+(Invullen!#REF!/60)-Invullen!D191+(Invullen!#REF!/60))</f>
        <v>#N/A</v>
      </c>
      <c r="N188" s="31" t="e">
        <f>IF(ISBLANK(Invullen!G191),NA(),IF(Invullen!G191=0,0,(FLOOR(Invullen!G191/100,1)+(Invullen!G191-FLOOR(Invullen!G191/100,1)*100)/60)))</f>
        <v>#N/A</v>
      </c>
      <c r="O188" s="31" t="e">
        <f>IF(ISBLANK(Invullen!F191),NA(),IF(Invullen!F191=0,0,(FLOOR(Invullen!F191/100,1)+(Invullen!F191-FLOOR(Invullen!F191/100,1)*100)/60)))</f>
        <v>#N/A</v>
      </c>
      <c r="P188" s="32" t="e">
        <f>IF(ISBLANK(Invullen!F191),NA(),DegtoICES(O188,N188," "))</f>
        <v>#N/A</v>
      </c>
      <c r="Q188" s="33" t="e">
        <f t="shared" ca="1" si="5"/>
        <v>#N/A</v>
      </c>
      <c r="R188" s="41"/>
      <c r="S188" s="38">
        <f>HLOOKUP($S$1,Invullen!$N$3:$AJ$254,T188,FALSE)</f>
        <v>0</v>
      </c>
      <c r="T188" s="38">
        <v>189</v>
      </c>
    </row>
    <row r="189" spans="13:20" x14ac:dyDescent="0.3">
      <c r="M189" s="31" t="e">
        <f>IF(OR(ISBLANK(Invullen!D192),ISBLANK(Invullen!#REF!)),NA(),Invullen!K193+(Invullen!#REF!/60)-Invullen!D192+(Invullen!#REF!/60))</f>
        <v>#N/A</v>
      </c>
      <c r="N189" s="31" t="e">
        <f>IF(ISBLANK(Invullen!G192),NA(),IF(Invullen!G192=0,0,(FLOOR(Invullen!G192/100,1)+(Invullen!G192-FLOOR(Invullen!G192/100,1)*100)/60)))</f>
        <v>#N/A</v>
      </c>
      <c r="O189" s="31" t="e">
        <f>IF(ISBLANK(Invullen!F192),NA(),IF(Invullen!F192=0,0,(FLOOR(Invullen!F192/100,1)+(Invullen!F192-FLOOR(Invullen!F192/100,1)*100)/60)))</f>
        <v>#N/A</v>
      </c>
      <c r="P189" s="32" t="e">
        <f>IF(ISBLANK(Invullen!F192),NA(),DegtoICES(O189,N189," "))</f>
        <v>#N/A</v>
      </c>
      <c r="Q189" s="33" t="e">
        <f t="shared" ca="1" si="5"/>
        <v>#N/A</v>
      </c>
      <c r="R189" s="41"/>
      <c r="S189" s="38">
        <f>HLOOKUP($S$1,Invullen!$N$3:$AJ$254,T189,FALSE)</f>
        <v>0</v>
      </c>
      <c r="T189" s="38">
        <v>190</v>
      </c>
    </row>
    <row r="190" spans="13:20" x14ac:dyDescent="0.3">
      <c r="M190" s="31" t="e">
        <f>IF(OR(ISBLANK(Invullen!D193),ISBLANK(Invullen!#REF!)),NA(),Invullen!K194+(Invullen!#REF!/60)-Invullen!D193+(Invullen!#REF!/60))</f>
        <v>#N/A</v>
      </c>
      <c r="N190" s="31" t="e">
        <f>IF(ISBLANK(Invullen!G193),NA(),IF(Invullen!G193=0,0,(FLOOR(Invullen!G193/100,1)+(Invullen!G193-FLOOR(Invullen!G193/100,1)*100)/60)))</f>
        <v>#N/A</v>
      </c>
      <c r="O190" s="31" t="e">
        <f>IF(ISBLANK(Invullen!F193),NA(),IF(Invullen!F193=0,0,(FLOOR(Invullen!F193/100,1)+(Invullen!F193-FLOOR(Invullen!F193/100,1)*100)/60)))</f>
        <v>#N/A</v>
      </c>
      <c r="P190" s="32" t="e">
        <f>IF(ISBLANK(Invullen!F193),NA(),DegtoICES(O190,N190," "))</f>
        <v>#N/A</v>
      </c>
      <c r="Q190" s="33" t="e">
        <f t="shared" ca="1" si="5"/>
        <v>#N/A</v>
      </c>
      <c r="R190" s="41"/>
      <c r="S190" s="38">
        <f>HLOOKUP($S$1,Invullen!$N$3:$AJ$254,T190,FALSE)</f>
        <v>0</v>
      </c>
      <c r="T190" s="38">
        <v>191</v>
      </c>
    </row>
    <row r="191" spans="13:20" x14ac:dyDescent="0.3">
      <c r="M191" s="31" t="e">
        <f>IF(OR(ISBLANK(Invullen!D194),ISBLANK(Invullen!#REF!)),NA(),Invullen!K195+(Invullen!#REF!/60)-Invullen!D194+(Invullen!#REF!/60))</f>
        <v>#N/A</v>
      </c>
      <c r="N191" s="31" t="e">
        <f>IF(ISBLANK(Invullen!G194),NA(),IF(Invullen!G194=0,0,(FLOOR(Invullen!G194/100,1)+(Invullen!G194-FLOOR(Invullen!G194/100,1)*100)/60)))</f>
        <v>#N/A</v>
      </c>
      <c r="O191" s="31" t="e">
        <f>IF(ISBLANK(Invullen!F194),NA(),IF(Invullen!F194=0,0,(FLOOR(Invullen!F194/100,1)+(Invullen!F194-FLOOR(Invullen!F194/100,1)*100)/60)))</f>
        <v>#N/A</v>
      </c>
      <c r="P191" s="32" t="e">
        <f>IF(ISBLANK(Invullen!F194),NA(),DegtoICES(O191,N191," "))</f>
        <v>#N/A</v>
      </c>
      <c r="Q191" s="33" t="e">
        <f t="shared" ca="1" si="5"/>
        <v>#N/A</v>
      </c>
      <c r="R191" s="41"/>
      <c r="S191" s="38">
        <f>HLOOKUP($S$1,Invullen!$N$3:$AJ$254,T191,FALSE)</f>
        <v>0</v>
      </c>
      <c r="T191" s="38">
        <v>192</v>
      </c>
    </row>
    <row r="192" spans="13:20" x14ac:dyDescent="0.3">
      <c r="M192" s="31" t="e">
        <f>IF(OR(ISBLANK(Invullen!D195),ISBLANK(Invullen!#REF!)),NA(),Invullen!K196+(Invullen!#REF!/60)-Invullen!D195+(Invullen!#REF!/60))</f>
        <v>#N/A</v>
      </c>
      <c r="N192" s="31" t="e">
        <f>IF(ISBLANK(Invullen!G195),NA(),IF(Invullen!G195=0,0,(FLOOR(Invullen!G195/100,1)+(Invullen!G195-FLOOR(Invullen!G195/100,1)*100)/60)))</f>
        <v>#N/A</v>
      </c>
      <c r="O192" s="31" t="e">
        <f>IF(ISBLANK(Invullen!F195),NA(),IF(Invullen!F195=0,0,(FLOOR(Invullen!F195/100,1)+(Invullen!F195-FLOOR(Invullen!F195/100,1)*100)/60)))</f>
        <v>#N/A</v>
      </c>
      <c r="P192" s="32" t="e">
        <f>IF(ISBLANK(Invullen!F195),NA(),DegtoICES(O192,N192," "))</f>
        <v>#N/A</v>
      </c>
      <c r="Q192" s="33" t="e">
        <f t="shared" ca="1" si="5"/>
        <v>#N/A</v>
      </c>
      <c r="R192" s="41"/>
      <c r="S192" s="38">
        <f>HLOOKUP($S$1,Invullen!$N$3:$AJ$254,T192,FALSE)</f>
        <v>0</v>
      </c>
      <c r="T192" s="38">
        <v>193</v>
      </c>
    </row>
    <row r="193" spans="13:20" x14ac:dyDescent="0.3">
      <c r="M193" s="31" t="e">
        <f>IF(OR(ISBLANK(Invullen!D196),ISBLANK(Invullen!#REF!)),NA(),Invullen!K197+(Invullen!#REF!/60)-Invullen!D196+(Invullen!#REF!/60))</f>
        <v>#N/A</v>
      </c>
      <c r="N193" s="31" t="e">
        <f>IF(ISBLANK(Invullen!G196),NA(),IF(Invullen!G196=0,0,(FLOOR(Invullen!G196/100,1)+(Invullen!G196-FLOOR(Invullen!G196/100,1)*100)/60)))</f>
        <v>#N/A</v>
      </c>
      <c r="O193" s="31" t="e">
        <f>IF(ISBLANK(Invullen!F196),NA(),IF(Invullen!F196=0,0,(FLOOR(Invullen!F196/100,1)+(Invullen!F196-FLOOR(Invullen!F196/100,1)*100)/60)))</f>
        <v>#N/A</v>
      </c>
      <c r="P193" s="32" t="e">
        <f>IF(ISBLANK(Invullen!F196),NA(),DegtoICES(O193,N193," "))</f>
        <v>#N/A</v>
      </c>
      <c r="Q193" s="33" t="e">
        <f t="shared" ca="1" si="5"/>
        <v>#N/A</v>
      </c>
      <c r="R193" s="41"/>
      <c r="S193" s="38">
        <f>HLOOKUP($S$1,Invullen!$N$3:$AJ$254,T193,FALSE)</f>
        <v>0</v>
      </c>
      <c r="T193" s="38">
        <v>194</v>
      </c>
    </row>
    <row r="194" spans="13:20" x14ac:dyDescent="0.3">
      <c r="M194" s="31" t="e">
        <f>IF(OR(ISBLANK(Invullen!D197),ISBLANK(Invullen!#REF!)),NA(),Invullen!K198+(Invullen!#REF!/60)-Invullen!D197+(Invullen!#REF!/60))</f>
        <v>#N/A</v>
      </c>
      <c r="N194" s="31" t="e">
        <f>IF(ISBLANK(Invullen!G197),NA(),IF(Invullen!G197=0,0,(FLOOR(Invullen!G197/100,1)+(Invullen!G197-FLOOR(Invullen!G197/100,1)*100)/60)))</f>
        <v>#N/A</v>
      </c>
      <c r="O194" s="31" t="e">
        <f>IF(ISBLANK(Invullen!F197),NA(),IF(Invullen!F197=0,0,(FLOOR(Invullen!F197/100,1)+(Invullen!F197-FLOOR(Invullen!F197/100,1)*100)/60)))</f>
        <v>#N/A</v>
      </c>
      <c r="P194" s="32" t="e">
        <f>IF(ISBLANK(Invullen!F197),NA(),DegtoICES(O194,N194," "))</f>
        <v>#N/A</v>
      </c>
      <c r="Q194" s="33" t="e">
        <f t="shared" ca="1" si="5"/>
        <v>#N/A</v>
      </c>
      <c r="R194" s="41"/>
      <c r="S194" s="38">
        <f>HLOOKUP($S$1,Invullen!$N$3:$AJ$254,T194,FALSE)</f>
        <v>0</v>
      </c>
      <c r="T194" s="38">
        <v>195</v>
      </c>
    </row>
    <row r="195" spans="13:20" x14ac:dyDescent="0.3">
      <c r="M195" s="31" t="e">
        <f>IF(OR(ISBLANK(Invullen!D198),ISBLANK(Invullen!#REF!)),NA(),Invullen!K199+(Invullen!#REF!/60)-Invullen!D198+(Invullen!#REF!/60))</f>
        <v>#N/A</v>
      </c>
      <c r="N195" s="31" t="e">
        <f>IF(ISBLANK(Invullen!G198),NA(),IF(Invullen!G198=0,0,(FLOOR(Invullen!G198/100,1)+(Invullen!G198-FLOOR(Invullen!G198/100,1)*100)/60)))</f>
        <v>#N/A</v>
      </c>
      <c r="O195" s="31" t="e">
        <f>IF(ISBLANK(Invullen!F198),NA(),IF(Invullen!F198=0,0,(FLOOR(Invullen!F198/100,1)+(Invullen!F198-FLOOR(Invullen!F198/100,1)*100)/60)))</f>
        <v>#N/A</v>
      </c>
      <c r="P195" s="32" t="e">
        <f>IF(ISBLANK(Invullen!F198),NA(),DegtoICES(O195,N195," "))</f>
        <v>#N/A</v>
      </c>
      <c r="Q195" s="33" t="e">
        <f t="shared" ca="1" si="5"/>
        <v>#N/A</v>
      </c>
      <c r="R195" s="41"/>
      <c r="S195" s="38">
        <f>HLOOKUP($S$1,Invullen!$N$3:$AJ$254,T195,FALSE)</f>
        <v>0</v>
      </c>
      <c r="T195" s="38">
        <v>196</v>
      </c>
    </row>
    <row r="196" spans="13:20" x14ac:dyDescent="0.3">
      <c r="M196" s="31" t="e">
        <f>IF(OR(ISBLANK(Invullen!D199),ISBLANK(Invullen!#REF!)),NA(),Invullen!K200+(Invullen!#REF!/60)-Invullen!D199+(Invullen!#REF!/60))</f>
        <v>#N/A</v>
      </c>
      <c r="N196" s="31" t="e">
        <f>IF(ISBLANK(Invullen!G199),NA(),IF(Invullen!G199=0,0,(FLOOR(Invullen!G199/100,1)+(Invullen!G199-FLOOR(Invullen!G199/100,1)*100)/60)))</f>
        <v>#N/A</v>
      </c>
      <c r="O196" s="31" t="e">
        <f>IF(ISBLANK(Invullen!F199),NA(),IF(Invullen!F199=0,0,(FLOOR(Invullen!F199/100,1)+(Invullen!F199-FLOOR(Invullen!F199/100,1)*100)/60)))</f>
        <v>#N/A</v>
      </c>
      <c r="P196" s="32" t="e">
        <f>IF(ISBLANK(Invullen!F199),NA(),DegtoICES(O196,N196," "))</f>
        <v>#N/A</v>
      </c>
      <c r="Q196" s="33" t="e">
        <f t="shared" ca="1" si="5"/>
        <v>#N/A</v>
      </c>
      <c r="R196" s="41"/>
      <c r="S196" s="38">
        <f>HLOOKUP($S$1,Invullen!$N$3:$AJ$254,T196,FALSE)</f>
        <v>0</v>
      </c>
      <c r="T196" s="38">
        <v>197</v>
      </c>
    </row>
    <row r="197" spans="13:20" x14ac:dyDescent="0.3">
      <c r="M197" s="31" t="e">
        <f>IF(OR(ISBLANK(Invullen!D200),ISBLANK(Invullen!#REF!)),NA(),Invullen!K201+(Invullen!#REF!/60)-Invullen!D200+(Invullen!#REF!/60))</f>
        <v>#N/A</v>
      </c>
      <c r="N197" s="31" t="e">
        <f>IF(ISBLANK(Invullen!G200),NA(),IF(Invullen!G200=0,0,(FLOOR(Invullen!G200/100,1)+(Invullen!G200-FLOOR(Invullen!G200/100,1)*100)/60)))</f>
        <v>#N/A</v>
      </c>
      <c r="O197" s="31" t="e">
        <f>IF(ISBLANK(Invullen!F200),NA(),IF(Invullen!F200=0,0,(FLOOR(Invullen!F200/100,1)+(Invullen!F200-FLOOR(Invullen!F200/100,1)*100)/60)))</f>
        <v>#N/A</v>
      </c>
      <c r="P197" s="32" t="e">
        <f>IF(ISBLANK(Invullen!F200),NA(),DegtoICES(O197,N197," "))</f>
        <v>#N/A</v>
      </c>
      <c r="Q197" s="33" t="e">
        <f t="shared" ca="1" si="5"/>
        <v>#N/A</v>
      </c>
      <c r="R197" s="41"/>
      <c r="S197" s="38">
        <f>HLOOKUP($S$1,Invullen!$N$3:$AJ$254,T197,FALSE)</f>
        <v>0</v>
      </c>
      <c r="T197" s="38">
        <v>198</v>
      </c>
    </row>
    <row r="198" spans="13:20" x14ac:dyDescent="0.3">
      <c r="M198" s="31" t="e">
        <f>IF(OR(ISBLANK(Invullen!D201),ISBLANK(Invullen!#REF!)),NA(),Invullen!K202+(Invullen!#REF!/60)-Invullen!D201+(Invullen!#REF!/60))</f>
        <v>#N/A</v>
      </c>
      <c r="N198" s="31" t="e">
        <f>IF(ISBLANK(Invullen!G201),NA(),IF(Invullen!G201=0,0,(FLOOR(Invullen!G201/100,1)+(Invullen!G201-FLOOR(Invullen!G201/100,1)*100)/60)))</f>
        <v>#N/A</v>
      </c>
      <c r="O198" s="31" t="e">
        <f>IF(ISBLANK(Invullen!F201),NA(),IF(Invullen!F201=0,0,(FLOOR(Invullen!F201/100,1)+(Invullen!F201-FLOOR(Invullen!F201/100,1)*100)/60)))</f>
        <v>#N/A</v>
      </c>
      <c r="P198" s="32" t="e">
        <f>IF(ISBLANK(Invullen!F201),NA(),DegtoICES(O198,N198," "))</f>
        <v>#N/A</v>
      </c>
      <c r="Q198" s="33" t="e">
        <f t="shared" ca="1" si="5"/>
        <v>#N/A</v>
      </c>
      <c r="R198" s="41"/>
      <c r="S198" s="38">
        <f>HLOOKUP($S$1,Invullen!$N$3:$AJ$254,T198,FALSE)</f>
        <v>0</v>
      </c>
      <c r="T198" s="38">
        <v>199</v>
      </c>
    </row>
    <row r="199" spans="13:20" x14ac:dyDescent="0.3">
      <c r="M199" s="31" t="e">
        <f>IF(OR(ISBLANK(Invullen!D202),ISBLANK(Invullen!#REF!)),NA(),Invullen!K203+(Invullen!#REF!/60)-Invullen!D202+(Invullen!#REF!/60))</f>
        <v>#N/A</v>
      </c>
      <c r="N199" s="31" t="e">
        <f>IF(ISBLANK(Invullen!G202),NA(),IF(Invullen!G202=0,0,(FLOOR(Invullen!G202/100,1)+(Invullen!G202-FLOOR(Invullen!G202/100,1)*100)/60)))</f>
        <v>#N/A</v>
      </c>
      <c r="O199" s="31" t="e">
        <f>IF(ISBLANK(Invullen!F202),NA(),IF(Invullen!F202=0,0,(FLOOR(Invullen!F202/100,1)+(Invullen!F202-FLOOR(Invullen!F202/100,1)*100)/60)))</f>
        <v>#N/A</v>
      </c>
      <c r="P199" s="32" t="e">
        <f>IF(ISBLANK(Invullen!F202),NA(),DegtoICES(O199,N199," "))</f>
        <v>#N/A</v>
      </c>
      <c r="Q199" s="33" t="e">
        <f t="shared" ca="1" si="5"/>
        <v>#N/A</v>
      </c>
      <c r="R199" s="41"/>
      <c r="S199" s="38">
        <f>HLOOKUP($S$1,Invullen!$N$3:$AJ$254,T199,FALSE)</f>
        <v>0</v>
      </c>
      <c r="T199" s="38">
        <v>200</v>
      </c>
    </row>
    <row r="200" spans="13:20" x14ac:dyDescent="0.3">
      <c r="M200" s="31" t="e">
        <f>IF(OR(ISBLANK(Invullen!D203),ISBLANK(Invullen!#REF!)),NA(),Invullen!K204+(Invullen!#REF!/60)-Invullen!D203+(Invullen!#REF!/60))</f>
        <v>#N/A</v>
      </c>
      <c r="N200" s="31" t="e">
        <f>IF(ISBLANK(Invullen!G203),NA(),IF(Invullen!G203=0,0,(FLOOR(Invullen!G203/100,1)+(Invullen!G203-FLOOR(Invullen!G203/100,1)*100)/60)))</f>
        <v>#N/A</v>
      </c>
      <c r="O200" s="31" t="e">
        <f>IF(ISBLANK(Invullen!F203),NA(),IF(Invullen!F203=0,0,(FLOOR(Invullen!F203/100,1)+(Invullen!F203-FLOOR(Invullen!F203/100,1)*100)/60)))</f>
        <v>#N/A</v>
      </c>
      <c r="P200" s="32" t="e">
        <f>IF(ISBLANK(Invullen!F203),NA(),DegtoICES(O200,N200," "))</f>
        <v>#N/A</v>
      </c>
      <c r="Q200" s="33" t="e">
        <f t="shared" ca="1" si="5"/>
        <v>#N/A</v>
      </c>
      <c r="R200" s="41"/>
      <c r="S200" s="38">
        <f>HLOOKUP($S$1,Invullen!$N$3:$AJ$254,T200,FALSE)</f>
        <v>0</v>
      </c>
      <c r="T200" s="38">
        <v>201</v>
      </c>
    </row>
    <row r="201" spans="13:20" x14ac:dyDescent="0.3">
      <c r="M201" s="31" t="e">
        <f>IF(OR(ISBLANK(Invullen!D204),ISBLANK(Invullen!#REF!)),NA(),Invullen!K205+(Invullen!#REF!/60)-Invullen!D204+(Invullen!#REF!/60))</f>
        <v>#N/A</v>
      </c>
      <c r="N201" s="31" t="e">
        <f>IF(ISBLANK(Invullen!G204),NA(),IF(Invullen!G204=0,0,(FLOOR(Invullen!G204/100,1)+(Invullen!G204-FLOOR(Invullen!G204/100,1)*100)/60)))</f>
        <v>#N/A</v>
      </c>
      <c r="O201" s="31" t="e">
        <f>IF(ISBLANK(Invullen!F204),NA(),IF(Invullen!F204=0,0,(FLOOR(Invullen!F204/100,1)+(Invullen!F204-FLOOR(Invullen!F204/100,1)*100)/60)))</f>
        <v>#N/A</v>
      </c>
      <c r="P201" s="32" t="e">
        <f>IF(ISBLANK(Invullen!F204),NA(),DegtoICES(O201,N201," "))</f>
        <v>#N/A</v>
      </c>
      <c r="Q201" s="33" t="e">
        <f t="shared" ca="1" si="5"/>
        <v>#N/A</v>
      </c>
      <c r="R201" s="41"/>
      <c r="S201" s="38">
        <f>HLOOKUP($S$1,Invullen!$N$3:$AJ$254,T201,FALSE)</f>
        <v>0</v>
      </c>
      <c r="T201" s="38">
        <v>202</v>
      </c>
    </row>
    <row r="202" spans="13:20" x14ac:dyDescent="0.3">
      <c r="M202" s="31" t="e">
        <f>IF(OR(ISBLANK(Invullen!D205),ISBLANK(Invullen!#REF!)),NA(),Invullen!K206+(Invullen!#REF!/60)-Invullen!D205+(Invullen!#REF!/60))</f>
        <v>#N/A</v>
      </c>
      <c r="N202" s="31" t="e">
        <f>IF(ISBLANK(Invullen!G205),NA(),IF(Invullen!G205=0,0,(FLOOR(Invullen!G205/100,1)+(Invullen!G205-FLOOR(Invullen!G205/100,1)*100)/60)))</f>
        <v>#N/A</v>
      </c>
      <c r="O202" s="31" t="e">
        <f>IF(ISBLANK(Invullen!F205),NA(),IF(Invullen!F205=0,0,(FLOOR(Invullen!F205/100,1)+(Invullen!F205-FLOOR(Invullen!F205/100,1)*100)/60)))</f>
        <v>#N/A</v>
      </c>
      <c r="P202" s="32" t="e">
        <f>IF(ISBLANK(Invullen!F205),NA(),DegtoICES(O202,N202," "))</f>
        <v>#N/A</v>
      </c>
      <c r="Q202" s="33" t="e">
        <f t="shared" ca="1" si="5"/>
        <v>#N/A</v>
      </c>
      <c r="R202" s="41"/>
      <c r="S202" s="38">
        <f>HLOOKUP($S$1,Invullen!$N$3:$AJ$254,T202,FALSE)</f>
        <v>0</v>
      </c>
      <c r="T202" s="38">
        <v>203</v>
      </c>
    </row>
    <row r="203" spans="13:20" x14ac:dyDescent="0.3">
      <c r="M203" s="31" t="e">
        <f>IF(OR(ISBLANK(Invullen!D206),ISBLANK(Invullen!#REF!)),NA(),Invullen!K207+(Invullen!#REF!/60)-Invullen!D206+(Invullen!#REF!/60))</f>
        <v>#N/A</v>
      </c>
      <c r="N203" s="31" t="e">
        <f>IF(ISBLANK(Invullen!G206),NA(),IF(Invullen!G206=0,0,(FLOOR(Invullen!G206/100,1)+(Invullen!G206-FLOOR(Invullen!G206/100,1)*100)/60)))</f>
        <v>#N/A</v>
      </c>
      <c r="O203" s="31" t="e">
        <f>IF(ISBLANK(Invullen!F206),NA(),IF(Invullen!F206=0,0,(FLOOR(Invullen!F206/100,1)+(Invullen!F206-FLOOR(Invullen!F206/100,1)*100)/60)))</f>
        <v>#N/A</v>
      </c>
      <c r="P203" s="32" t="e">
        <f>IF(ISBLANK(Invullen!F206),NA(),DegtoICES(O203,N203," "))</f>
        <v>#N/A</v>
      </c>
      <c r="Q203" s="33" t="e">
        <f t="shared" ca="1" si="5"/>
        <v>#N/A</v>
      </c>
      <c r="R203" s="41"/>
      <c r="S203" s="38">
        <f>HLOOKUP($S$1,Invullen!$N$3:$AJ$254,T203,FALSE)</f>
        <v>0</v>
      </c>
      <c r="T203" s="38">
        <v>204</v>
      </c>
    </row>
    <row r="204" spans="13:20" x14ac:dyDescent="0.3">
      <c r="M204" s="31" t="e">
        <f>IF(OR(ISBLANK(Invullen!D207),ISBLANK(Invullen!#REF!)),NA(),Invullen!K208+(Invullen!#REF!/60)-Invullen!D207+(Invullen!#REF!/60))</f>
        <v>#N/A</v>
      </c>
      <c r="N204" s="31" t="e">
        <f>IF(ISBLANK(Invullen!G207),NA(),IF(Invullen!G207=0,0,(FLOOR(Invullen!G207/100,1)+(Invullen!G207-FLOOR(Invullen!G207/100,1)*100)/60)))</f>
        <v>#N/A</v>
      </c>
      <c r="O204" s="31" t="e">
        <f>IF(ISBLANK(Invullen!F207),NA(),IF(Invullen!F207=0,0,(FLOOR(Invullen!F207/100,1)+(Invullen!F207-FLOOR(Invullen!F207/100,1)*100)/60)))</f>
        <v>#N/A</v>
      </c>
      <c r="P204" s="32" t="e">
        <f>IF(ISBLANK(Invullen!F207),NA(),DegtoICES(O204,N204," "))</f>
        <v>#N/A</v>
      </c>
      <c r="Q204" s="33" t="e">
        <f t="shared" ca="1" si="5"/>
        <v>#N/A</v>
      </c>
      <c r="R204" s="41"/>
      <c r="S204" s="38">
        <f>HLOOKUP($S$1,Invullen!$N$3:$AJ$254,T204,FALSE)</f>
        <v>0</v>
      </c>
      <c r="T204" s="38">
        <v>205</v>
      </c>
    </row>
    <row r="205" spans="13:20" x14ac:dyDescent="0.3">
      <c r="M205" s="31" t="e">
        <f>IF(OR(ISBLANK(Invullen!D208),ISBLANK(Invullen!#REF!)),NA(),Invullen!K209+(Invullen!#REF!/60)-Invullen!D208+(Invullen!#REF!/60))</f>
        <v>#N/A</v>
      </c>
      <c r="N205" s="31" t="e">
        <f>IF(ISBLANK(Invullen!G208),NA(),IF(Invullen!G208=0,0,(FLOOR(Invullen!G208/100,1)+(Invullen!G208-FLOOR(Invullen!G208/100,1)*100)/60)))</f>
        <v>#N/A</v>
      </c>
      <c r="O205" s="31" t="e">
        <f>IF(ISBLANK(Invullen!F208),NA(),IF(Invullen!F208=0,0,(FLOOR(Invullen!F208/100,1)+(Invullen!F208-FLOOR(Invullen!F208/100,1)*100)/60)))</f>
        <v>#N/A</v>
      </c>
      <c r="P205" s="32" t="e">
        <f>IF(ISBLANK(Invullen!F208),NA(),DegtoICES(O205,N205," "))</f>
        <v>#N/A</v>
      </c>
      <c r="Q205" s="33" t="e">
        <f t="shared" ca="1" si="5"/>
        <v>#N/A</v>
      </c>
      <c r="R205" s="41"/>
      <c r="S205" s="38">
        <f>HLOOKUP($S$1,Invullen!$N$3:$AJ$254,T205,FALSE)</f>
        <v>0</v>
      </c>
      <c r="T205" s="38">
        <v>206</v>
      </c>
    </row>
    <row r="206" spans="13:20" x14ac:dyDescent="0.3">
      <c r="M206" s="31" t="e">
        <f>IF(OR(ISBLANK(Invullen!D209),ISBLANK(Invullen!#REF!)),NA(),Invullen!K210+(Invullen!#REF!/60)-Invullen!D209+(Invullen!#REF!/60))</f>
        <v>#N/A</v>
      </c>
      <c r="N206" s="31" t="e">
        <f>IF(ISBLANK(Invullen!G209),NA(),IF(Invullen!G209=0,0,(FLOOR(Invullen!G209/100,1)+(Invullen!G209-FLOOR(Invullen!G209/100,1)*100)/60)))</f>
        <v>#N/A</v>
      </c>
      <c r="O206" s="31" t="e">
        <f>IF(ISBLANK(Invullen!F209),NA(),IF(Invullen!F209=0,0,(FLOOR(Invullen!F209/100,1)+(Invullen!F209-FLOOR(Invullen!F209/100,1)*100)/60)))</f>
        <v>#N/A</v>
      </c>
      <c r="P206" s="32" t="e">
        <f>IF(ISBLANK(Invullen!F209),NA(),DegtoICES(O206,N206," "))</f>
        <v>#N/A</v>
      </c>
      <c r="Q206" s="33" t="e">
        <f t="shared" ca="1" si="5"/>
        <v>#N/A</v>
      </c>
      <c r="R206" s="41"/>
      <c r="S206" s="38">
        <f>HLOOKUP($S$1,Invullen!$N$3:$AJ$254,T206,FALSE)</f>
        <v>0</v>
      </c>
      <c r="T206" s="38">
        <v>207</v>
      </c>
    </row>
    <row r="207" spans="13:20" x14ac:dyDescent="0.3">
      <c r="M207" s="31" t="e">
        <f>IF(OR(ISBLANK(Invullen!D210),ISBLANK(Invullen!#REF!)),NA(),Invullen!K211+(Invullen!#REF!/60)-Invullen!D210+(Invullen!#REF!/60))</f>
        <v>#N/A</v>
      </c>
      <c r="N207" s="31" t="e">
        <f>IF(ISBLANK(Invullen!G210),NA(),IF(Invullen!G210=0,0,(FLOOR(Invullen!G210/100,1)+(Invullen!G210-FLOOR(Invullen!G210/100,1)*100)/60)))</f>
        <v>#N/A</v>
      </c>
      <c r="O207" s="31" t="e">
        <f>IF(ISBLANK(Invullen!F210),NA(),IF(Invullen!F210=0,0,(FLOOR(Invullen!F210/100,1)+(Invullen!F210-FLOOR(Invullen!F210/100,1)*100)/60)))</f>
        <v>#N/A</v>
      </c>
      <c r="P207" s="32" t="e">
        <f>IF(ISBLANK(Invullen!F210),NA(),DegtoICES(O207,N207," "))</f>
        <v>#N/A</v>
      </c>
      <c r="Q207" s="33" t="e">
        <f t="shared" ca="1" si="5"/>
        <v>#N/A</v>
      </c>
      <c r="R207" s="41"/>
      <c r="S207" s="38">
        <f>HLOOKUP($S$1,Invullen!$N$3:$AJ$254,T207,FALSE)</f>
        <v>0</v>
      </c>
      <c r="T207" s="38">
        <v>208</v>
      </c>
    </row>
    <row r="208" spans="13:20" x14ac:dyDescent="0.3">
      <c r="M208" s="31" t="e">
        <f>IF(OR(ISBLANK(Invullen!D211),ISBLANK(Invullen!#REF!)),NA(),Invullen!K212+(Invullen!#REF!/60)-Invullen!D211+(Invullen!#REF!/60))</f>
        <v>#N/A</v>
      </c>
      <c r="N208" s="31" t="e">
        <f>IF(ISBLANK(Invullen!G211),NA(),IF(Invullen!G211=0,0,(FLOOR(Invullen!G211/100,1)+(Invullen!G211-FLOOR(Invullen!G211/100,1)*100)/60)))</f>
        <v>#N/A</v>
      </c>
      <c r="O208" s="31" t="e">
        <f>IF(ISBLANK(Invullen!F211),NA(),IF(Invullen!F211=0,0,(FLOOR(Invullen!F211/100,1)+(Invullen!F211-FLOOR(Invullen!F211/100,1)*100)/60)))</f>
        <v>#N/A</v>
      </c>
      <c r="P208" s="32" t="e">
        <f>IF(ISBLANK(Invullen!F211),NA(),DegtoICES(O208,N208," "))</f>
        <v>#N/A</v>
      </c>
      <c r="Q208" s="33" t="e">
        <f t="shared" ca="1" si="5"/>
        <v>#N/A</v>
      </c>
      <c r="R208" s="41"/>
      <c r="S208" s="38">
        <f>HLOOKUP($S$1,Invullen!$N$3:$AJ$254,T208,FALSE)</f>
        <v>0</v>
      </c>
      <c r="T208" s="38">
        <v>209</v>
      </c>
    </row>
    <row r="209" spans="13:20" x14ac:dyDescent="0.3">
      <c r="M209" s="31" t="e">
        <f>IF(OR(ISBLANK(Invullen!D212),ISBLANK(Invullen!#REF!)),NA(),Invullen!K213+(Invullen!#REF!/60)-Invullen!D212+(Invullen!#REF!/60))</f>
        <v>#N/A</v>
      </c>
      <c r="N209" s="31" t="e">
        <f>IF(ISBLANK(Invullen!G212),NA(),IF(Invullen!G212=0,0,(FLOOR(Invullen!G212/100,1)+(Invullen!G212-FLOOR(Invullen!G212/100,1)*100)/60)))</f>
        <v>#N/A</v>
      </c>
      <c r="O209" s="31" t="e">
        <f>IF(ISBLANK(Invullen!F212),NA(),IF(Invullen!F212=0,0,(FLOOR(Invullen!F212/100,1)+(Invullen!F212-FLOOR(Invullen!F212/100,1)*100)/60)))</f>
        <v>#N/A</v>
      </c>
      <c r="P209" s="32" t="e">
        <f>IF(ISBLANK(Invullen!F212),NA(),DegtoICES(O209,N209," "))</f>
        <v>#N/A</v>
      </c>
      <c r="Q209" s="33" t="e">
        <f t="shared" ca="1" si="5"/>
        <v>#N/A</v>
      </c>
      <c r="R209" s="41"/>
      <c r="S209" s="38">
        <f>HLOOKUP($S$1,Invullen!$N$3:$AJ$254,T209,FALSE)</f>
        <v>0</v>
      </c>
      <c r="T209" s="38">
        <v>210</v>
      </c>
    </row>
    <row r="210" spans="13:20" x14ac:dyDescent="0.3">
      <c r="M210" s="31" t="e">
        <f>IF(OR(ISBLANK(Invullen!D213),ISBLANK(Invullen!#REF!)),NA(),Invullen!K214+(Invullen!#REF!/60)-Invullen!D213+(Invullen!#REF!/60))</f>
        <v>#N/A</v>
      </c>
      <c r="N210" s="31" t="e">
        <f>IF(ISBLANK(Invullen!G213),NA(),IF(Invullen!G213=0,0,(FLOOR(Invullen!G213/100,1)+(Invullen!G213-FLOOR(Invullen!G213/100,1)*100)/60)))</f>
        <v>#N/A</v>
      </c>
      <c r="O210" s="31" t="e">
        <f>IF(ISBLANK(Invullen!F213),NA(),IF(Invullen!F213=0,0,(FLOOR(Invullen!F213/100,1)+(Invullen!F213-FLOOR(Invullen!F213/100,1)*100)/60)))</f>
        <v>#N/A</v>
      </c>
      <c r="P210" s="32" t="e">
        <f>IF(ISBLANK(Invullen!F213),NA(),DegtoICES(O210,N210," "))</f>
        <v>#N/A</v>
      </c>
      <c r="Q210" s="33" t="e">
        <f t="shared" ref="Q210:Q249" ca="1" si="6">VLOOKUP(P210,Rect,2,FALSE)</f>
        <v>#N/A</v>
      </c>
      <c r="R210" s="41"/>
      <c r="S210" s="38">
        <f>HLOOKUP($S$1,Invullen!$N$3:$AJ$254,T210,FALSE)</f>
        <v>0</v>
      </c>
      <c r="T210" s="38">
        <v>211</v>
      </c>
    </row>
    <row r="211" spans="13:20" x14ac:dyDescent="0.3">
      <c r="M211" s="31" t="e">
        <f>IF(OR(ISBLANK(Invullen!D214),ISBLANK(Invullen!#REF!)),NA(),Invullen!K215+(Invullen!#REF!/60)-Invullen!D214+(Invullen!#REF!/60))</f>
        <v>#N/A</v>
      </c>
      <c r="N211" s="31" t="e">
        <f>IF(ISBLANK(Invullen!G214),NA(),IF(Invullen!G214=0,0,(FLOOR(Invullen!G214/100,1)+(Invullen!G214-FLOOR(Invullen!G214/100,1)*100)/60)))</f>
        <v>#N/A</v>
      </c>
      <c r="O211" s="31" t="e">
        <f>IF(ISBLANK(Invullen!F214),NA(),IF(Invullen!F214=0,0,(FLOOR(Invullen!F214/100,1)+(Invullen!F214-FLOOR(Invullen!F214/100,1)*100)/60)))</f>
        <v>#N/A</v>
      </c>
      <c r="P211" s="32" t="e">
        <f>IF(ISBLANK(Invullen!F214),NA(),DegtoICES(O211,N211," "))</f>
        <v>#N/A</v>
      </c>
      <c r="Q211" s="33" t="e">
        <f t="shared" ca="1" si="6"/>
        <v>#N/A</v>
      </c>
      <c r="R211" s="41"/>
      <c r="S211" s="38">
        <f>HLOOKUP($S$1,Invullen!$N$3:$AJ$254,T211,FALSE)</f>
        <v>0</v>
      </c>
      <c r="T211" s="38">
        <v>212</v>
      </c>
    </row>
    <row r="212" spans="13:20" x14ac:dyDescent="0.3">
      <c r="M212" s="31" t="e">
        <f>IF(OR(ISBLANK(Invullen!D215),ISBLANK(Invullen!#REF!)),NA(),Invullen!K216+(Invullen!#REF!/60)-Invullen!D215+(Invullen!#REF!/60))</f>
        <v>#N/A</v>
      </c>
      <c r="N212" s="31" t="e">
        <f>IF(ISBLANK(Invullen!G215),NA(),IF(Invullen!G215=0,0,(FLOOR(Invullen!G215/100,1)+(Invullen!G215-FLOOR(Invullen!G215/100,1)*100)/60)))</f>
        <v>#N/A</v>
      </c>
      <c r="O212" s="31" t="e">
        <f>IF(ISBLANK(Invullen!F215),NA(),IF(Invullen!F215=0,0,(FLOOR(Invullen!F215/100,1)+(Invullen!F215-FLOOR(Invullen!F215/100,1)*100)/60)))</f>
        <v>#N/A</v>
      </c>
      <c r="P212" s="32" t="e">
        <f>IF(ISBLANK(Invullen!F215),NA(),DegtoICES(O212,N212," "))</f>
        <v>#N/A</v>
      </c>
      <c r="Q212" s="33" t="e">
        <f t="shared" ca="1" si="6"/>
        <v>#N/A</v>
      </c>
      <c r="R212" s="41"/>
      <c r="S212" s="38">
        <f>HLOOKUP($S$1,Invullen!$N$3:$AJ$254,T212,FALSE)</f>
        <v>0</v>
      </c>
      <c r="T212" s="38">
        <v>213</v>
      </c>
    </row>
    <row r="213" spans="13:20" x14ac:dyDescent="0.3">
      <c r="M213" s="31" t="e">
        <f>IF(OR(ISBLANK(Invullen!D216),ISBLANK(Invullen!#REF!)),NA(),Invullen!K217+(Invullen!#REF!/60)-Invullen!D216+(Invullen!#REF!/60))</f>
        <v>#N/A</v>
      </c>
      <c r="N213" s="31" t="e">
        <f>IF(ISBLANK(Invullen!G216),NA(),IF(Invullen!G216=0,0,(FLOOR(Invullen!G216/100,1)+(Invullen!G216-FLOOR(Invullen!G216/100,1)*100)/60)))</f>
        <v>#N/A</v>
      </c>
      <c r="O213" s="31" t="e">
        <f>IF(ISBLANK(Invullen!F216),NA(),IF(Invullen!F216=0,0,(FLOOR(Invullen!F216/100,1)+(Invullen!F216-FLOOR(Invullen!F216/100,1)*100)/60)))</f>
        <v>#N/A</v>
      </c>
      <c r="P213" s="32" t="e">
        <f>IF(ISBLANK(Invullen!F216),NA(),DegtoICES(O213,N213," "))</f>
        <v>#N/A</v>
      </c>
      <c r="Q213" s="33" t="e">
        <f t="shared" ca="1" si="6"/>
        <v>#N/A</v>
      </c>
      <c r="R213" s="41"/>
      <c r="S213" s="38">
        <f>HLOOKUP($S$1,Invullen!$N$3:$AJ$254,T213,FALSE)</f>
        <v>0</v>
      </c>
      <c r="T213" s="38">
        <v>214</v>
      </c>
    </row>
    <row r="214" spans="13:20" x14ac:dyDescent="0.3">
      <c r="M214" s="31" t="e">
        <f>IF(OR(ISBLANK(Invullen!D217),ISBLANK(Invullen!#REF!)),NA(),Invullen!K218+(Invullen!#REF!/60)-Invullen!D217+(Invullen!#REF!/60))</f>
        <v>#N/A</v>
      </c>
      <c r="N214" s="31" t="e">
        <f>IF(ISBLANK(Invullen!G217),NA(),IF(Invullen!G217=0,0,(FLOOR(Invullen!G217/100,1)+(Invullen!G217-FLOOR(Invullen!G217/100,1)*100)/60)))</f>
        <v>#N/A</v>
      </c>
      <c r="O214" s="31" t="e">
        <f>IF(ISBLANK(Invullen!F217),NA(),IF(Invullen!F217=0,0,(FLOOR(Invullen!F217/100,1)+(Invullen!F217-FLOOR(Invullen!F217/100,1)*100)/60)))</f>
        <v>#N/A</v>
      </c>
      <c r="P214" s="32" t="e">
        <f>IF(ISBLANK(Invullen!F217),NA(),DegtoICES(O214,N214," "))</f>
        <v>#N/A</v>
      </c>
      <c r="Q214" s="33" t="e">
        <f t="shared" ca="1" si="6"/>
        <v>#N/A</v>
      </c>
      <c r="R214" s="41"/>
      <c r="S214" s="38">
        <f>HLOOKUP($S$1,Invullen!$N$3:$AJ$254,T214,FALSE)</f>
        <v>0</v>
      </c>
      <c r="T214" s="38">
        <v>215</v>
      </c>
    </row>
    <row r="215" spans="13:20" x14ac:dyDescent="0.3">
      <c r="M215" s="31" t="e">
        <f>IF(OR(ISBLANK(Invullen!D218),ISBLANK(Invullen!#REF!)),NA(),Invullen!K219+(Invullen!#REF!/60)-Invullen!D218+(Invullen!#REF!/60))</f>
        <v>#N/A</v>
      </c>
      <c r="N215" s="31" t="e">
        <f>IF(ISBLANK(Invullen!G218),NA(),IF(Invullen!G218=0,0,(FLOOR(Invullen!G218/100,1)+(Invullen!G218-FLOOR(Invullen!G218/100,1)*100)/60)))</f>
        <v>#N/A</v>
      </c>
      <c r="O215" s="31" t="e">
        <f>IF(ISBLANK(Invullen!F218),NA(),IF(Invullen!F218=0,0,(FLOOR(Invullen!F218/100,1)+(Invullen!F218-FLOOR(Invullen!F218/100,1)*100)/60)))</f>
        <v>#N/A</v>
      </c>
      <c r="P215" s="32" t="e">
        <f>IF(ISBLANK(Invullen!F218),NA(),DegtoICES(O215,N215," "))</f>
        <v>#N/A</v>
      </c>
      <c r="Q215" s="33" t="e">
        <f t="shared" ca="1" si="6"/>
        <v>#N/A</v>
      </c>
      <c r="R215" s="41"/>
      <c r="S215" s="38">
        <f>HLOOKUP($S$1,Invullen!$N$3:$AJ$254,T215,FALSE)</f>
        <v>0</v>
      </c>
      <c r="T215" s="38">
        <v>216</v>
      </c>
    </row>
    <row r="216" spans="13:20" x14ac:dyDescent="0.3">
      <c r="M216" s="31" t="e">
        <f>IF(OR(ISBLANK(Invullen!D219),ISBLANK(Invullen!#REF!)),NA(),Invullen!K220+(Invullen!#REF!/60)-Invullen!D219+(Invullen!#REF!/60))</f>
        <v>#N/A</v>
      </c>
      <c r="N216" s="31" t="e">
        <f>IF(ISBLANK(Invullen!G219),NA(),IF(Invullen!G219=0,0,(FLOOR(Invullen!G219/100,1)+(Invullen!G219-FLOOR(Invullen!G219/100,1)*100)/60)))</f>
        <v>#N/A</v>
      </c>
      <c r="O216" s="31" t="e">
        <f>IF(ISBLANK(Invullen!F219),NA(),IF(Invullen!F219=0,0,(FLOOR(Invullen!F219/100,1)+(Invullen!F219-FLOOR(Invullen!F219/100,1)*100)/60)))</f>
        <v>#N/A</v>
      </c>
      <c r="P216" s="32" t="e">
        <f>IF(ISBLANK(Invullen!F219),NA(),DegtoICES(O216,N216," "))</f>
        <v>#N/A</v>
      </c>
      <c r="Q216" s="33" t="e">
        <f t="shared" ca="1" si="6"/>
        <v>#N/A</v>
      </c>
      <c r="R216" s="41"/>
      <c r="S216" s="38">
        <f>HLOOKUP($S$1,Invullen!$N$3:$AJ$254,T216,FALSE)</f>
        <v>0</v>
      </c>
      <c r="T216" s="38">
        <v>217</v>
      </c>
    </row>
    <row r="217" spans="13:20" x14ac:dyDescent="0.3">
      <c r="M217" s="31" t="e">
        <f>IF(OR(ISBLANK(Invullen!D220),ISBLANK(Invullen!#REF!)),NA(),Invullen!K221+(Invullen!#REF!/60)-Invullen!D220+(Invullen!#REF!/60))</f>
        <v>#N/A</v>
      </c>
      <c r="N217" s="31" t="e">
        <f>IF(ISBLANK(Invullen!G220),NA(),IF(Invullen!G220=0,0,(FLOOR(Invullen!G220/100,1)+(Invullen!G220-FLOOR(Invullen!G220/100,1)*100)/60)))</f>
        <v>#N/A</v>
      </c>
      <c r="O217" s="31" t="e">
        <f>IF(ISBLANK(Invullen!F220),NA(),IF(Invullen!F220=0,0,(FLOOR(Invullen!F220/100,1)+(Invullen!F220-FLOOR(Invullen!F220/100,1)*100)/60)))</f>
        <v>#N/A</v>
      </c>
      <c r="P217" s="32" t="e">
        <f>IF(ISBLANK(Invullen!F220),NA(),DegtoICES(O217,N217," "))</f>
        <v>#N/A</v>
      </c>
      <c r="Q217" s="33" t="e">
        <f t="shared" ca="1" si="6"/>
        <v>#N/A</v>
      </c>
      <c r="R217" s="41"/>
      <c r="S217" s="38">
        <f>HLOOKUP($S$1,Invullen!$N$3:$AJ$254,T217,FALSE)</f>
        <v>0</v>
      </c>
      <c r="T217" s="38">
        <v>218</v>
      </c>
    </row>
    <row r="218" spans="13:20" x14ac:dyDescent="0.3">
      <c r="M218" s="31" t="e">
        <f>IF(OR(ISBLANK(Invullen!D221),ISBLANK(Invullen!#REF!)),NA(),Invullen!K222+(Invullen!#REF!/60)-Invullen!D221+(Invullen!#REF!/60))</f>
        <v>#N/A</v>
      </c>
      <c r="N218" s="31" t="e">
        <f>IF(ISBLANK(Invullen!G221),NA(),IF(Invullen!G221=0,0,(FLOOR(Invullen!G221/100,1)+(Invullen!G221-FLOOR(Invullen!G221/100,1)*100)/60)))</f>
        <v>#N/A</v>
      </c>
      <c r="O218" s="31" t="e">
        <f>IF(ISBLANK(Invullen!F221),NA(),IF(Invullen!F221=0,0,(FLOOR(Invullen!F221/100,1)+(Invullen!F221-FLOOR(Invullen!F221/100,1)*100)/60)))</f>
        <v>#N/A</v>
      </c>
      <c r="P218" s="32" t="e">
        <f>IF(ISBLANK(Invullen!F221),NA(),DegtoICES(O218,N218," "))</f>
        <v>#N/A</v>
      </c>
      <c r="Q218" s="33" t="e">
        <f t="shared" ca="1" si="6"/>
        <v>#N/A</v>
      </c>
      <c r="R218" s="41"/>
      <c r="S218" s="38">
        <f>HLOOKUP($S$1,Invullen!$N$3:$AJ$254,T218,FALSE)</f>
        <v>0</v>
      </c>
      <c r="T218" s="38">
        <v>219</v>
      </c>
    </row>
    <row r="219" spans="13:20" x14ac:dyDescent="0.3">
      <c r="M219" s="31" t="e">
        <f>IF(OR(ISBLANK(Invullen!D222),ISBLANK(Invullen!#REF!)),NA(),Invullen!K223+(Invullen!#REF!/60)-Invullen!D222+(Invullen!#REF!/60))</f>
        <v>#N/A</v>
      </c>
      <c r="N219" s="31" t="e">
        <f>IF(ISBLANK(Invullen!G222),NA(),IF(Invullen!G222=0,0,(FLOOR(Invullen!G222/100,1)+(Invullen!G222-FLOOR(Invullen!G222/100,1)*100)/60)))</f>
        <v>#N/A</v>
      </c>
      <c r="O219" s="31" t="e">
        <f>IF(ISBLANK(Invullen!F222),NA(),IF(Invullen!F222=0,0,(FLOOR(Invullen!F222/100,1)+(Invullen!F222-FLOOR(Invullen!F222/100,1)*100)/60)))</f>
        <v>#N/A</v>
      </c>
      <c r="P219" s="32" t="e">
        <f>IF(ISBLANK(Invullen!F222),NA(),DegtoICES(O219,N219," "))</f>
        <v>#N/A</v>
      </c>
      <c r="Q219" s="33" t="e">
        <f t="shared" ca="1" si="6"/>
        <v>#N/A</v>
      </c>
      <c r="R219" s="41"/>
      <c r="S219" s="38">
        <f>HLOOKUP($S$1,Invullen!$N$3:$AJ$254,T219,FALSE)</f>
        <v>0</v>
      </c>
      <c r="T219" s="38">
        <v>220</v>
      </c>
    </row>
    <row r="220" spans="13:20" x14ac:dyDescent="0.3">
      <c r="M220" s="31" t="e">
        <f>IF(OR(ISBLANK(Invullen!D223),ISBLANK(Invullen!#REF!)),NA(),Invullen!K224+(Invullen!#REF!/60)-Invullen!D223+(Invullen!#REF!/60))</f>
        <v>#N/A</v>
      </c>
      <c r="N220" s="31" t="e">
        <f>IF(ISBLANK(Invullen!G223),NA(),IF(Invullen!G223=0,0,(FLOOR(Invullen!G223/100,1)+(Invullen!G223-FLOOR(Invullen!G223/100,1)*100)/60)))</f>
        <v>#N/A</v>
      </c>
      <c r="O220" s="31" t="e">
        <f>IF(ISBLANK(Invullen!F223),NA(),IF(Invullen!F223=0,0,(FLOOR(Invullen!F223/100,1)+(Invullen!F223-FLOOR(Invullen!F223/100,1)*100)/60)))</f>
        <v>#N/A</v>
      </c>
      <c r="P220" s="32" t="e">
        <f>IF(ISBLANK(Invullen!F223),NA(),DegtoICES(O220,N220," "))</f>
        <v>#N/A</v>
      </c>
      <c r="Q220" s="33" t="e">
        <f t="shared" ca="1" si="6"/>
        <v>#N/A</v>
      </c>
      <c r="R220" s="41"/>
      <c r="S220" s="38">
        <f>HLOOKUP($S$1,Invullen!$N$3:$AJ$254,T220,FALSE)</f>
        <v>0</v>
      </c>
      <c r="T220" s="38">
        <v>221</v>
      </c>
    </row>
    <row r="221" spans="13:20" x14ac:dyDescent="0.3">
      <c r="M221" s="31" t="e">
        <f>IF(OR(ISBLANK(Invullen!D224),ISBLANK(Invullen!#REF!)),NA(),Invullen!K225+(Invullen!#REF!/60)-Invullen!D224+(Invullen!#REF!/60))</f>
        <v>#N/A</v>
      </c>
      <c r="N221" s="31" t="e">
        <f>IF(ISBLANK(Invullen!G224),NA(),IF(Invullen!G224=0,0,(FLOOR(Invullen!G224/100,1)+(Invullen!G224-FLOOR(Invullen!G224/100,1)*100)/60)))</f>
        <v>#N/A</v>
      </c>
      <c r="O221" s="31" t="e">
        <f>IF(ISBLANK(Invullen!F224),NA(),IF(Invullen!F224=0,0,(FLOOR(Invullen!F224/100,1)+(Invullen!F224-FLOOR(Invullen!F224/100,1)*100)/60)))</f>
        <v>#N/A</v>
      </c>
      <c r="P221" s="32" t="e">
        <f>IF(ISBLANK(Invullen!F224),NA(),DegtoICES(O221,N221," "))</f>
        <v>#N/A</v>
      </c>
      <c r="Q221" s="33" t="e">
        <f t="shared" ca="1" si="6"/>
        <v>#N/A</v>
      </c>
      <c r="R221" s="41"/>
      <c r="S221" s="38">
        <f>HLOOKUP($S$1,Invullen!$N$3:$AJ$254,T221,FALSE)</f>
        <v>0</v>
      </c>
      <c r="T221" s="38">
        <v>222</v>
      </c>
    </row>
    <row r="222" spans="13:20" x14ac:dyDescent="0.3">
      <c r="M222" s="31" t="e">
        <f>IF(OR(ISBLANK(Invullen!D225),ISBLANK(Invullen!#REF!)),NA(),Invullen!K226+(Invullen!#REF!/60)-Invullen!D225+(Invullen!#REF!/60))</f>
        <v>#N/A</v>
      </c>
      <c r="N222" s="31" t="e">
        <f>IF(ISBLANK(Invullen!G225),NA(),IF(Invullen!G225=0,0,(FLOOR(Invullen!G225/100,1)+(Invullen!G225-FLOOR(Invullen!G225/100,1)*100)/60)))</f>
        <v>#N/A</v>
      </c>
      <c r="O222" s="31" t="e">
        <f>IF(ISBLANK(Invullen!F225),NA(),IF(Invullen!F225=0,0,(FLOOR(Invullen!F225/100,1)+(Invullen!F225-FLOOR(Invullen!F225/100,1)*100)/60)))</f>
        <v>#N/A</v>
      </c>
      <c r="P222" s="32" t="e">
        <f>IF(ISBLANK(Invullen!F225),NA(),DegtoICES(O222,N222," "))</f>
        <v>#N/A</v>
      </c>
      <c r="Q222" s="33" t="e">
        <f t="shared" ca="1" si="6"/>
        <v>#N/A</v>
      </c>
      <c r="R222" s="41"/>
      <c r="S222" s="38">
        <f>HLOOKUP($S$1,Invullen!$N$3:$AJ$254,T222,FALSE)</f>
        <v>0</v>
      </c>
      <c r="T222" s="38">
        <v>223</v>
      </c>
    </row>
    <row r="223" spans="13:20" x14ac:dyDescent="0.3">
      <c r="M223" s="31" t="e">
        <f>IF(OR(ISBLANK(Invullen!D226),ISBLANK(Invullen!#REF!)),NA(),Invullen!K227+(Invullen!#REF!/60)-Invullen!D226+(Invullen!#REF!/60))</f>
        <v>#N/A</v>
      </c>
      <c r="N223" s="31" t="e">
        <f>IF(ISBLANK(Invullen!G226),NA(),IF(Invullen!G226=0,0,(FLOOR(Invullen!G226/100,1)+(Invullen!G226-FLOOR(Invullen!G226/100,1)*100)/60)))</f>
        <v>#N/A</v>
      </c>
      <c r="O223" s="31" t="e">
        <f>IF(ISBLANK(Invullen!F226),NA(),IF(Invullen!F226=0,0,(FLOOR(Invullen!F226/100,1)+(Invullen!F226-FLOOR(Invullen!F226/100,1)*100)/60)))</f>
        <v>#N/A</v>
      </c>
      <c r="P223" s="32" t="e">
        <f>IF(ISBLANK(Invullen!F226),NA(),DegtoICES(O223,N223," "))</f>
        <v>#N/A</v>
      </c>
      <c r="Q223" s="33" t="e">
        <f t="shared" ca="1" si="6"/>
        <v>#N/A</v>
      </c>
      <c r="R223" s="41"/>
      <c r="S223" s="38">
        <f>HLOOKUP($S$1,Invullen!$N$3:$AJ$254,T223,FALSE)</f>
        <v>0</v>
      </c>
      <c r="T223" s="38">
        <v>224</v>
      </c>
    </row>
    <row r="224" spans="13:20" x14ac:dyDescent="0.3">
      <c r="M224" s="31" t="e">
        <f>IF(OR(ISBLANK(Invullen!D227),ISBLANK(Invullen!#REF!)),NA(),Invullen!K228+(Invullen!#REF!/60)-Invullen!D227+(Invullen!#REF!/60))</f>
        <v>#N/A</v>
      </c>
      <c r="N224" s="31" t="e">
        <f>IF(ISBLANK(Invullen!G227),NA(),IF(Invullen!G227=0,0,(FLOOR(Invullen!G227/100,1)+(Invullen!G227-FLOOR(Invullen!G227/100,1)*100)/60)))</f>
        <v>#N/A</v>
      </c>
      <c r="O224" s="31" t="e">
        <f>IF(ISBLANK(Invullen!F227),NA(),IF(Invullen!F227=0,0,(FLOOR(Invullen!F227/100,1)+(Invullen!F227-FLOOR(Invullen!F227/100,1)*100)/60)))</f>
        <v>#N/A</v>
      </c>
      <c r="P224" s="32" t="e">
        <f>IF(ISBLANK(Invullen!F227),NA(),DegtoICES(O224,N224," "))</f>
        <v>#N/A</v>
      </c>
      <c r="Q224" s="33" t="e">
        <f t="shared" ca="1" si="6"/>
        <v>#N/A</v>
      </c>
      <c r="R224" s="41"/>
      <c r="S224" s="38">
        <f>HLOOKUP($S$1,Invullen!$N$3:$AJ$254,T224,FALSE)</f>
        <v>0</v>
      </c>
      <c r="T224" s="38">
        <v>225</v>
      </c>
    </row>
    <row r="225" spans="13:20" x14ac:dyDescent="0.3">
      <c r="M225" s="31" t="e">
        <f>IF(OR(ISBLANK(Invullen!D228),ISBLANK(Invullen!#REF!)),NA(),Invullen!K229+(Invullen!#REF!/60)-Invullen!D228+(Invullen!#REF!/60))</f>
        <v>#N/A</v>
      </c>
      <c r="N225" s="31" t="e">
        <f>IF(ISBLANK(Invullen!G228),NA(),IF(Invullen!G228=0,0,(FLOOR(Invullen!G228/100,1)+(Invullen!G228-FLOOR(Invullen!G228/100,1)*100)/60)))</f>
        <v>#N/A</v>
      </c>
      <c r="O225" s="31" t="e">
        <f>IF(ISBLANK(Invullen!F228),NA(),IF(Invullen!F228=0,0,(FLOOR(Invullen!F228/100,1)+(Invullen!F228-FLOOR(Invullen!F228/100,1)*100)/60)))</f>
        <v>#N/A</v>
      </c>
      <c r="P225" s="32" t="e">
        <f>IF(ISBLANK(Invullen!F228),NA(),DegtoICES(O225,N225," "))</f>
        <v>#N/A</v>
      </c>
      <c r="Q225" s="33" t="e">
        <f t="shared" ca="1" si="6"/>
        <v>#N/A</v>
      </c>
      <c r="R225" s="41"/>
      <c r="S225" s="38">
        <f>HLOOKUP($S$1,Invullen!$N$3:$AJ$254,T225,FALSE)</f>
        <v>0</v>
      </c>
      <c r="T225" s="38">
        <v>226</v>
      </c>
    </row>
    <row r="226" spans="13:20" x14ac:dyDescent="0.3">
      <c r="M226" s="31" t="e">
        <f>IF(OR(ISBLANK(Invullen!D229),ISBLANK(Invullen!#REF!)),NA(),Invullen!K230+(Invullen!#REF!/60)-Invullen!D229+(Invullen!#REF!/60))</f>
        <v>#N/A</v>
      </c>
      <c r="N226" s="31" t="e">
        <f>IF(ISBLANK(Invullen!G229),NA(),IF(Invullen!G229=0,0,(FLOOR(Invullen!G229/100,1)+(Invullen!G229-FLOOR(Invullen!G229/100,1)*100)/60)))</f>
        <v>#N/A</v>
      </c>
      <c r="O226" s="31" t="e">
        <f>IF(ISBLANK(Invullen!F229),NA(),IF(Invullen!F229=0,0,(FLOOR(Invullen!F229/100,1)+(Invullen!F229-FLOOR(Invullen!F229/100,1)*100)/60)))</f>
        <v>#N/A</v>
      </c>
      <c r="P226" s="32" t="e">
        <f>IF(ISBLANK(Invullen!F229),NA(),DegtoICES(O226,N226," "))</f>
        <v>#N/A</v>
      </c>
      <c r="Q226" s="33" t="e">
        <f t="shared" ca="1" si="6"/>
        <v>#N/A</v>
      </c>
      <c r="R226" s="41"/>
      <c r="S226" s="38">
        <f>HLOOKUP($S$1,Invullen!$N$3:$AJ$254,T226,FALSE)</f>
        <v>0</v>
      </c>
      <c r="T226" s="38">
        <v>227</v>
      </c>
    </row>
    <row r="227" spans="13:20" x14ac:dyDescent="0.3">
      <c r="M227" s="31" t="e">
        <f>IF(OR(ISBLANK(Invullen!D230),ISBLANK(Invullen!#REF!)),NA(),Invullen!K231+(Invullen!#REF!/60)-Invullen!D230+(Invullen!#REF!/60))</f>
        <v>#N/A</v>
      </c>
      <c r="N227" s="31" t="e">
        <f>IF(ISBLANK(Invullen!G230),NA(),IF(Invullen!G230=0,0,(FLOOR(Invullen!G230/100,1)+(Invullen!G230-FLOOR(Invullen!G230/100,1)*100)/60)))</f>
        <v>#N/A</v>
      </c>
      <c r="O227" s="31" t="e">
        <f>IF(ISBLANK(Invullen!F230),NA(),IF(Invullen!F230=0,0,(FLOOR(Invullen!F230/100,1)+(Invullen!F230-FLOOR(Invullen!F230/100,1)*100)/60)))</f>
        <v>#N/A</v>
      </c>
      <c r="P227" s="32" t="e">
        <f>IF(ISBLANK(Invullen!F230),NA(),DegtoICES(O227,N227," "))</f>
        <v>#N/A</v>
      </c>
      <c r="Q227" s="33" t="e">
        <f t="shared" ca="1" si="6"/>
        <v>#N/A</v>
      </c>
      <c r="R227" s="41"/>
      <c r="S227" s="38">
        <f>HLOOKUP($S$1,Invullen!$N$3:$AJ$254,T227,FALSE)</f>
        <v>0</v>
      </c>
      <c r="T227" s="38">
        <v>228</v>
      </c>
    </row>
    <row r="228" spans="13:20" x14ac:dyDescent="0.3">
      <c r="M228" s="31" t="e">
        <f>IF(OR(ISBLANK(Invullen!D231),ISBLANK(Invullen!#REF!)),NA(),Invullen!K232+(Invullen!#REF!/60)-Invullen!D231+(Invullen!#REF!/60))</f>
        <v>#N/A</v>
      </c>
      <c r="N228" s="31" t="e">
        <f>IF(ISBLANK(Invullen!G231),NA(),IF(Invullen!G231=0,0,(FLOOR(Invullen!G231/100,1)+(Invullen!G231-FLOOR(Invullen!G231/100,1)*100)/60)))</f>
        <v>#N/A</v>
      </c>
      <c r="O228" s="31" t="e">
        <f>IF(ISBLANK(Invullen!F231),NA(),IF(Invullen!F231=0,0,(FLOOR(Invullen!F231/100,1)+(Invullen!F231-FLOOR(Invullen!F231/100,1)*100)/60)))</f>
        <v>#N/A</v>
      </c>
      <c r="P228" s="32" t="e">
        <f>IF(ISBLANK(Invullen!F231),NA(),DegtoICES(O228,N228," "))</f>
        <v>#N/A</v>
      </c>
      <c r="Q228" s="33" t="e">
        <f t="shared" ca="1" si="6"/>
        <v>#N/A</v>
      </c>
      <c r="R228" s="41"/>
      <c r="S228" s="38">
        <f>HLOOKUP($S$1,Invullen!$N$3:$AJ$254,T228,FALSE)</f>
        <v>0</v>
      </c>
      <c r="T228" s="38">
        <v>229</v>
      </c>
    </row>
    <row r="229" spans="13:20" x14ac:dyDescent="0.3">
      <c r="M229" s="31" t="e">
        <f>IF(OR(ISBLANK(Invullen!D232),ISBLANK(Invullen!#REF!)),NA(),Invullen!K233+(Invullen!#REF!/60)-Invullen!D232+(Invullen!#REF!/60))</f>
        <v>#N/A</v>
      </c>
      <c r="N229" s="31" t="e">
        <f>IF(ISBLANK(Invullen!G232),NA(),IF(Invullen!G232=0,0,(FLOOR(Invullen!G232/100,1)+(Invullen!G232-FLOOR(Invullen!G232/100,1)*100)/60)))</f>
        <v>#N/A</v>
      </c>
      <c r="O229" s="31" t="e">
        <f>IF(ISBLANK(Invullen!F232),NA(),IF(Invullen!F232=0,0,(FLOOR(Invullen!F232/100,1)+(Invullen!F232-FLOOR(Invullen!F232/100,1)*100)/60)))</f>
        <v>#N/A</v>
      </c>
      <c r="P229" s="32" t="e">
        <f>IF(ISBLANK(Invullen!F232),NA(),DegtoICES(O229,N229," "))</f>
        <v>#N/A</v>
      </c>
      <c r="Q229" s="33" t="e">
        <f t="shared" ca="1" si="6"/>
        <v>#N/A</v>
      </c>
      <c r="R229" s="41"/>
      <c r="S229" s="38">
        <f>HLOOKUP($S$1,Invullen!$N$3:$AJ$254,T229,FALSE)</f>
        <v>0</v>
      </c>
      <c r="T229" s="38">
        <v>230</v>
      </c>
    </row>
    <row r="230" spans="13:20" x14ac:dyDescent="0.3">
      <c r="M230" s="31" t="e">
        <f>IF(OR(ISBLANK(Invullen!D233),ISBLANK(Invullen!#REF!)),NA(),Invullen!K234+(Invullen!#REF!/60)-Invullen!D233+(Invullen!#REF!/60))</f>
        <v>#N/A</v>
      </c>
      <c r="N230" s="31" t="e">
        <f>IF(ISBLANK(Invullen!G233),NA(),IF(Invullen!G233=0,0,(FLOOR(Invullen!G233/100,1)+(Invullen!G233-FLOOR(Invullen!G233/100,1)*100)/60)))</f>
        <v>#N/A</v>
      </c>
      <c r="O230" s="31" t="e">
        <f>IF(ISBLANK(Invullen!F233),NA(),IF(Invullen!F233=0,0,(FLOOR(Invullen!F233/100,1)+(Invullen!F233-FLOOR(Invullen!F233/100,1)*100)/60)))</f>
        <v>#N/A</v>
      </c>
      <c r="P230" s="32" t="e">
        <f>IF(ISBLANK(Invullen!F233),NA(),DegtoICES(O230,N230," "))</f>
        <v>#N/A</v>
      </c>
      <c r="Q230" s="33" t="e">
        <f t="shared" ca="1" si="6"/>
        <v>#N/A</v>
      </c>
      <c r="R230" s="41"/>
      <c r="S230" s="38">
        <f>HLOOKUP($S$1,Invullen!$N$3:$AJ$254,T230,FALSE)</f>
        <v>0</v>
      </c>
      <c r="T230" s="38">
        <v>231</v>
      </c>
    </row>
    <row r="231" spans="13:20" x14ac:dyDescent="0.3">
      <c r="M231" s="31" t="e">
        <f>IF(OR(ISBLANK(Invullen!D234),ISBLANK(Invullen!#REF!)),NA(),Invullen!K235+(Invullen!#REF!/60)-Invullen!D234+(Invullen!#REF!/60))</f>
        <v>#N/A</v>
      </c>
      <c r="N231" s="31" t="e">
        <f>IF(ISBLANK(Invullen!G234),NA(),IF(Invullen!G234=0,0,(FLOOR(Invullen!G234/100,1)+(Invullen!G234-FLOOR(Invullen!G234/100,1)*100)/60)))</f>
        <v>#N/A</v>
      </c>
      <c r="O231" s="31" t="e">
        <f>IF(ISBLANK(Invullen!F234),NA(),IF(Invullen!F234=0,0,(FLOOR(Invullen!F234/100,1)+(Invullen!F234-FLOOR(Invullen!F234/100,1)*100)/60)))</f>
        <v>#N/A</v>
      </c>
      <c r="P231" s="32" t="e">
        <f>IF(ISBLANK(Invullen!F234),NA(),DegtoICES(O231,N231," "))</f>
        <v>#N/A</v>
      </c>
      <c r="Q231" s="33" t="e">
        <f t="shared" ca="1" si="6"/>
        <v>#N/A</v>
      </c>
      <c r="R231" s="41"/>
      <c r="S231" s="38">
        <f>HLOOKUP($S$1,Invullen!$N$3:$AJ$254,T231,FALSE)</f>
        <v>0</v>
      </c>
      <c r="T231" s="38">
        <v>232</v>
      </c>
    </row>
    <row r="232" spans="13:20" x14ac:dyDescent="0.3">
      <c r="M232" s="31" t="e">
        <f>IF(OR(ISBLANK(Invullen!D235),ISBLANK(Invullen!#REF!)),NA(),Invullen!K236+(Invullen!#REF!/60)-Invullen!D235+(Invullen!#REF!/60))</f>
        <v>#N/A</v>
      </c>
      <c r="N232" s="31" t="e">
        <f>IF(ISBLANK(Invullen!G235),NA(),IF(Invullen!G235=0,0,(FLOOR(Invullen!G235/100,1)+(Invullen!G235-FLOOR(Invullen!G235/100,1)*100)/60)))</f>
        <v>#N/A</v>
      </c>
      <c r="O232" s="31" t="e">
        <f>IF(ISBLANK(Invullen!F235),NA(),IF(Invullen!F235=0,0,(FLOOR(Invullen!F235/100,1)+(Invullen!F235-FLOOR(Invullen!F235/100,1)*100)/60)))</f>
        <v>#N/A</v>
      </c>
      <c r="P232" s="32" t="e">
        <f>IF(ISBLANK(Invullen!F235),NA(),DegtoICES(O232,N232," "))</f>
        <v>#N/A</v>
      </c>
      <c r="Q232" s="33" t="e">
        <f t="shared" ca="1" si="6"/>
        <v>#N/A</v>
      </c>
      <c r="R232" s="41"/>
      <c r="S232" s="38">
        <f>HLOOKUP($S$1,Invullen!$N$3:$AJ$254,T232,FALSE)</f>
        <v>0</v>
      </c>
      <c r="T232" s="38">
        <v>233</v>
      </c>
    </row>
    <row r="233" spans="13:20" x14ac:dyDescent="0.3">
      <c r="M233" s="31" t="e">
        <f>IF(OR(ISBLANK(Invullen!D236),ISBLANK(Invullen!#REF!)),NA(),Invullen!K237+(Invullen!#REF!/60)-Invullen!D236+(Invullen!#REF!/60))</f>
        <v>#N/A</v>
      </c>
      <c r="N233" s="31" t="e">
        <f>IF(ISBLANK(Invullen!G236),NA(),IF(Invullen!G236=0,0,(FLOOR(Invullen!G236/100,1)+(Invullen!G236-FLOOR(Invullen!G236/100,1)*100)/60)))</f>
        <v>#N/A</v>
      </c>
      <c r="O233" s="31" t="e">
        <f>IF(ISBLANK(Invullen!F236),NA(),IF(Invullen!F236=0,0,(FLOOR(Invullen!F236/100,1)+(Invullen!F236-FLOOR(Invullen!F236/100,1)*100)/60)))</f>
        <v>#N/A</v>
      </c>
      <c r="P233" s="32" t="e">
        <f>IF(ISBLANK(Invullen!F236),NA(),DegtoICES(O233,N233," "))</f>
        <v>#N/A</v>
      </c>
      <c r="Q233" s="33" t="e">
        <f t="shared" ca="1" si="6"/>
        <v>#N/A</v>
      </c>
      <c r="R233" s="41"/>
      <c r="S233" s="38">
        <f>HLOOKUP($S$1,Invullen!$N$3:$AJ$254,T233,FALSE)</f>
        <v>0</v>
      </c>
      <c r="T233" s="38">
        <v>234</v>
      </c>
    </row>
    <row r="234" spans="13:20" x14ac:dyDescent="0.3">
      <c r="M234" s="31" t="e">
        <f>IF(OR(ISBLANK(Invullen!D237),ISBLANK(Invullen!#REF!)),NA(),Invullen!K238+(Invullen!#REF!/60)-Invullen!D237+(Invullen!#REF!/60))</f>
        <v>#N/A</v>
      </c>
      <c r="N234" s="31" t="e">
        <f>IF(ISBLANK(Invullen!G237),NA(),IF(Invullen!G237=0,0,(FLOOR(Invullen!G237/100,1)+(Invullen!G237-FLOOR(Invullen!G237/100,1)*100)/60)))</f>
        <v>#N/A</v>
      </c>
      <c r="O234" s="31" t="e">
        <f>IF(ISBLANK(Invullen!F237),NA(),IF(Invullen!F237=0,0,(FLOOR(Invullen!F237/100,1)+(Invullen!F237-FLOOR(Invullen!F237/100,1)*100)/60)))</f>
        <v>#N/A</v>
      </c>
      <c r="P234" s="32" t="e">
        <f>IF(ISBLANK(Invullen!F237),NA(),DegtoICES(O234,N234," "))</f>
        <v>#N/A</v>
      </c>
      <c r="Q234" s="33" t="e">
        <f t="shared" ca="1" si="6"/>
        <v>#N/A</v>
      </c>
      <c r="R234" s="41"/>
      <c r="S234" s="38">
        <f>HLOOKUP($S$1,Invullen!$N$3:$AJ$254,T234,FALSE)</f>
        <v>0</v>
      </c>
      <c r="T234" s="38">
        <v>235</v>
      </c>
    </row>
    <row r="235" spans="13:20" x14ac:dyDescent="0.3">
      <c r="M235" s="31" t="e">
        <f>IF(OR(ISBLANK(Invullen!D238),ISBLANK(Invullen!#REF!)),NA(),Invullen!K239+(Invullen!#REF!/60)-Invullen!D238+(Invullen!#REF!/60))</f>
        <v>#N/A</v>
      </c>
      <c r="N235" s="31" t="e">
        <f>IF(ISBLANK(Invullen!G238),NA(),IF(Invullen!G238=0,0,(FLOOR(Invullen!G238/100,1)+(Invullen!G238-FLOOR(Invullen!G238/100,1)*100)/60)))</f>
        <v>#N/A</v>
      </c>
      <c r="O235" s="31" t="e">
        <f>IF(ISBLANK(Invullen!F238),NA(),IF(Invullen!F238=0,0,(FLOOR(Invullen!F238/100,1)+(Invullen!F238-FLOOR(Invullen!F238/100,1)*100)/60)))</f>
        <v>#N/A</v>
      </c>
      <c r="P235" s="32" t="e">
        <f>IF(ISBLANK(Invullen!F238),NA(),DegtoICES(O235,N235," "))</f>
        <v>#N/A</v>
      </c>
      <c r="Q235" s="33" t="e">
        <f t="shared" ca="1" si="6"/>
        <v>#N/A</v>
      </c>
      <c r="R235" s="41"/>
      <c r="S235" s="38">
        <f>HLOOKUP($S$1,Invullen!$N$3:$AJ$254,T235,FALSE)</f>
        <v>0</v>
      </c>
      <c r="T235" s="38">
        <v>236</v>
      </c>
    </row>
    <row r="236" spans="13:20" x14ac:dyDescent="0.3">
      <c r="M236" s="31" t="e">
        <f>IF(OR(ISBLANK(Invullen!D239),ISBLANK(Invullen!#REF!)),NA(),Invullen!K240+(Invullen!#REF!/60)-Invullen!D239+(Invullen!#REF!/60))</f>
        <v>#N/A</v>
      </c>
      <c r="N236" s="31" t="e">
        <f>IF(ISBLANK(Invullen!G239),NA(),IF(Invullen!G239=0,0,(FLOOR(Invullen!G239/100,1)+(Invullen!G239-FLOOR(Invullen!G239/100,1)*100)/60)))</f>
        <v>#N/A</v>
      </c>
      <c r="O236" s="31" t="e">
        <f>IF(ISBLANK(Invullen!F239),NA(),IF(Invullen!F239=0,0,(FLOOR(Invullen!F239/100,1)+(Invullen!F239-FLOOR(Invullen!F239/100,1)*100)/60)))</f>
        <v>#N/A</v>
      </c>
      <c r="P236" s="32" t="e">
        <f>IF(ISBLANK(Invullen!F239),NA(),DegtoICES(O236,N236," "))</f>
        <v>#N/A</v>
      </c>
      <c r="Q236" s="33" t="e">
        <f t="shared" ca="1" si="6"/>
        <v>#N/A</v>
      </c>
      <c r="R236" s="41"/>
      <c r="S236" s="38">
        <f>HLOOKUP($S$1,Invullen!$N$3:$AJ$254,T236,FALSE)</f>
        <v>0</v>
      </c>
      <c r="T236" s="38">
        <v>237</v>
      </c>
    </row>
    <row r="237" spans="13:20" x14ac:dyDescent="0.3">
      <c r="M237" s="31" t="e">
        <f>IF(OR(ISBLANK(Invullen!D240),ISBLANK(Invullen!#REF!)),NA(),Invullen!K241+(Invullen!#REF!/60)-Invullen!D240+(Invullen!#REF!/60))</f>
        <v>#N/A</v>
      </c>
      <c r="N237" s="31" t="e">
        <f>IF(ISBLANK(Invullen!G240),NA(),IF(Invullen!G240=0,0,(FLOOR(Invullen!G240/100,1)+(Invullen!G240-FLOOR(Invullen!G240/100,1)*100)/60)))</f>
        <v>#N/A</v>
      </c>
      <c r="O237" s="31" t="e">
        <f>IF(ISBLANK(Invullen!F240),NA(),IF(Invullen!F240=0,0,(FLOOR(Invullen!F240/100,1)+(Invullen!F240-FLOOR(Invullen!F240/100,1)*100)/60)))</f>
        <v>#N/A</v>
      </c>
      <c r="P237" s="32" t="e">
        <f>IF(ISBLANK(Invullen!F240),NA(),DegtoICES(O237,N237," "))</f>
        <v>#N/A</v>
      </c>
      <c r="Q237" s="33" t="e">
        <f t="shared" ca="1" si="6"/>
        <v>#N/A</v>
      </c>
      <c r="R237" s="41"/>
      <c r="S237" s="38">
        <f>HLOOKUP($S$1,Invullen!$N$3:$AJ$254,T237,FALSE)</f>
        <v>0</v>
      </c>
      <c r="T237" s="38">
        <v>238</v>
      </c>
    </row>
    <row r="238" spans="13:20" x14ac:dyDescent="0.3">
      <c r="M238" s="31" t="e">
        <f>IF(OR(ISBLANK(Invullen!D241),ISBLANK(Invullen!#REF!)),NA(),Invullen!K242+(Invullen!#REF!/60)-Invullen!D241+(Invullen!#REF!/60))</f>
        <v>#N/A</v>
      </c>
      <c r="N238" s="31" t="e">
        <f>IF(ISBLANK(Invullen!G241),NA(),IF(Invullen!G241=0,0,(FLOOR(Invullen!G241/100,1)+(Invullen!G241-FLOOR(Invullen!G241/100,1)*100)/60)))</f>
        <v>#N/A</v>
      </c>
      <c r="O238" s="31" t="e">
        <f>IF(ISBLANK(Invullen!F241),NA(),IF(Invullen!F241=0,0,(FLOOR(Invullen!F241/100,1)+(Invullen!F241-FLOOR(Invullen!F241/100,1)*100)/60)))</f>
        <v>#N/A</v>
      </c>
      <c r="P238" s="32" t="e">
        <f>IF(ISBLANK(Invullen!F241),NA(),DegtoICES(O238,N238," "))</f>
        <v>#N/A</v>
      </c>
      <c r="Q238" s="33" t="e">
        <f t="shared" ca="1" si="6"/>
        <v>#N/A</v>
      </c>
      <c r="R238" s="41"/>
      <c r="S238" s="38">
        <f>HLOOKUP($S$1,Invullen!$N$3:$AJ$254,T238,FALSE)</f>
        <v>0</v>
      </c>
      <c r="T238" s="38">
        <v>239</v>
      </c>
    </row>
    <row r="239" spans="13:20" x14ac:dyDescent="0.3">
      <c r="M239" s="31" t="e">
        <f>IF(OR(ISBLANK(Invullen!D242),ISBLANK(Invullen!#REF!)),NA(),Invullen!K243+(Invullen!#REF!/60)-Invullen!D242+(Invullen!#REF!/60))</f>
        <v>#N/A</v>
      </c>
      <c r="N239" s="31" t="e">
        <f>IF(ISBLANK(Invullen!G242),NA(),IF(Invullen!G242=0,0,(FLOOR(Invullen!G242/100,1)+(Invullen!G242-FLOOR(Invullen!G242/100,1)*100)/60)))</f>
        <v>#N/A</v>
      </c>
      <c r="O239" s="31" t="e">
        <f>IF(ISBLANK(Invullen!F242),NA(),IF(Invullen!F242=0,0,(FLOOR(Invullen!F242/100,1)+(Invullen!F242-FLOOR(Invullen!F242/100,1)*100)/60)))</f>
        <v>#N/A</v>
      </c>
      <c r="P239" s="32" t="e">
        <f>IF(ISBLANK(Invullen!F242),NA(),DegtoICES(O239,N239," "))</f>
        <v>#N/A</v>
      </c>
      <c r="Q239" s="33" t="e">
        <f t="shared" ca="1" si="6"/>
        <v>#N/A</v>
      </c>
      <c r="R239" s="41"/>
      <c r="S239" s="38">
        <f>HLOOKUP($S$1,Invullen!$N$3:$AJ$254,T239,FALSE)</f>
        <v>0</v>
      </c>
      <c r="T239" s="38">
        <v>240</v>
      </c>
    </row>
    <row r="240" spans="13:20" x14ac:dyDescent="0.3">
      <c r="M240" s="31" t="e">
        <f>IF(OR(ISBLANK(Invullen!D243),ISBLANK(Invullen!#REF!)),NA(),Invullen!K244+(Invullen!#REF!/60)-Invullen!D243+(Invullen!#REF!/60))</f>
        <v>#N/A</v>
      </c>
      <c r="N240" s="31" t="e">
        <f>IF(ISBLANK(Invullen!G243),NA(),IF(Invullen!G243=0,0,(FLOOR(Invullen!G243/100,1)+(Invullen!G243-FLOOR(Invullen!G243/100,1)*100)/60)))</f>
        <v>#N/A</v>
      </c>
      <c r="O240" s="31" t="e">
        <f>IF(ISBLANK(Invullen!F243),NA(),IF(Invullen!F243=0,0,(FLOOR(Invullen!F243/100,1)+(Invullen!F243-FLOOR(Invullen!F243/100,1)*100)/60)))</f>
        <v>#N/A</v>
      </c>
      <c r="P240" s="32" t="e">
        <f>IF(ISBLANK(Invullen!F243),NA(),DegtoICES(O240,N240," "))</f>
        <v>#N/A</v>
      </c>
      <c r="Q240" s="33" t="e">
        <f t="shared" ca="1" si="6"/>
        <v>#N/A</v>
      </c>
      <c r="R240" s="41"/>
      <c r="S240" s="38">
        <f>HLOOKUP($S$1,Invullen!$N$3:$AJ$254,T240,FALSE)</f>
        <v>0</v>
      </c>
      <c r="T240" s="38">
        <v>241</v>
      </c>
    </row>
    <row r="241" spans="13:20" x14ac:dyDescent="0.3">
      <c r="M241" s="31" t="e">
        <f>IF(OR(ISBLANK(Invullen!D244),ISBLANK(Invullen!#REF!)),NA(),Invullen!K245+(Invullen!#REF!/60)-Invullen!D244+(Invullen!#REF!/60))</f>
        <v>#N/A</v>
      </c>
      <c r="N241" s="31" t="e">
        <f>IF(ISBLANK(Invullen!G244),NA(),IF(Invullen!G244=0,0,(FLOOR(Invullen!G244/100,1)+(Invullen!G244-FLOOR(Invullen!G244/100,1)*100)/60)))</f>
        <v>#N/A</v>
      </c>
      <c r="O241" s="31" t="e">
        <f>IF(ISBLANK(Invullen!F244),NA(),IF(Invullen!F244=0,0,(FLOOR(Invullen!F244/100,1)+(Invullen!F244-FLOOR(Invullen!F244/100,1)*100)/60)))</f>
        <v>#N/A</v>
      </c>
      <c r="P241" s="32" t="e">
        <f>IF(ISBLANK(Invullen!F244),NA(),DegtoICES(O241,N241," "))</f>
        <v>#N/A</v>
      </c>
      <c r="Q241" s="33" t="e">
        <f t="shared" ca="1" si="6"/>
        <v>#N/A</v>
      </c>
      <c r="R241" s="41"/>
      <c r="S241" s="38">
        <f>HLOOKUP($S$1,Invullen!$N$3:$AJ$254,T241,FALSE)</f>
        <v>0</v>
      </c>
      <c r="T241" s="38">
        <v>242</v>
      </c>
    </row>
    <row r="242" spans="13:20" x14ac:dyDescent="0.3">
      <c r="M242" s="31" t="e">
        <f>IF(OR(ISBLANK(Invullen!D245),ISBLANK(Invullen!#REF!)),NA(),Invullen!K246+(Invullen!#REF!/60)-Invullen!D245+(Invullen!#REF!/60))</f>
        <v>#N/A</v>
      </c>
      <c r="N242" s="31" t="e">
        <f>IF(ISBLANK(Invullen!G245),NA(),IF(Invullen!G245=0,0,(FLOOR(Invullen!G245/100,1)+(Invullen!G245-FLOOR(Invullen!G245/100,1)*100)/60)))</f>
        <v>#N/A</v>
      </c>
      <c r="O242" s="31" t="e">
        <f>IF(ISBLANK(Invullen!F245),NA(),IF(Invullen!F245=0,0,(FLOOR(Invullen!F245/100,1)+(Invullen!F245-FLOOR(Invullen!F245/100,1)*100)/60)))</f>
        <v>#N/A</v>
      </c>
      <c r="P242" s="32" t="e">
        <f>IF(ISBLANK(Invullen!F245),NA(),DegtoICES(O242,N242," "))</f>
        <v>#N/A</v>
      </c>
      <c r="Q242" s="33" t="e">
        <f t="shared" ca="1" si="6"/>
        <v>#N/A</v>
      </c>
      <c r="R242" s="41"/>
      <c r="S242" s="38">
        <f>HLOOKUP($S$1,Invullen!$N$3:$AJ$254,T242,FALSE)</f>
        <v>0</v>
      </c>
      <c r="T242" s="38">
        <v>243</v>
      </c>
    </row>
    <row r="243" spans="13:20" x14ac:dyDescent="0.3">
      <c r="M243" s="31" t="e">
        <f>IF(OR(ISBLANK(Invullen!D246),ISBLANK(Invullen!#REF!)),NA(),Invullen!K247+(Invullen!#REF!/60)-Invullen!D246+(Invullen!#REF!/60))</f>
        <v>#N/A</v>
      </c>
      <c r="N243" s="31" t="e">
        <f>IF(ISBLANK(Invullen!G246),NA(),IF(Invullen!G246=0,0,(FLOOR(Invullen!G246/100,1)+(Invullen!G246-FLOOR(Invullen!G246/100,1)*100)/60)))</f>
        <v>#N/A</v>
      </c>
      <c r="O243" s="31" t="e">
        <f>IF(ISBLANK(Invullen!F246),NA(),IF(Invullen!F246=0,0,(FLOOR(Invullen!F246/100,1)+(Invullen!F246-FLOOR(Invullen!F246/100,1)*100)/60)))</f>
        <v>#N/A</v>
      </c>
      <c r="P243" s="32" t="e">
        <f>IF(ISBLANK(Invullen!F246),NA(),DegtoICES(O243,N243," "))</f>
        <v>#N/A</v>
      </c>
      <c r="Q243" s="33" t="e">
        <f t="shared" ca="1" si="6"/>
        <v>#N/A</v>
      </c>
      <c r="R243" s="41"/>
      <c r="S243" s="38">
        <f>HLOOKUP($S$1,Invullen!$N$3:$AJ$254,T243,FALSE)</f>
        <v>0</v>
      </c>
      <c r="T243" s="38">
        <v>244</v>
      </c>
    </row>
    <row r="244" spans="13:20" x14ac:dyDescent="0.3">
      <c r="M244" s="31" t="e">
        <f>IF(OR(ISBLANK(Invullen!D247),ISBLANK(Invullen!#REF!)),NA(),Invullen!K248+(Invullen!#REF!/60)-Invullen!D247+(Invullen!#REF!/60))</f>
        <v>#N/A</v>
      </c>
      <c r="N244" s="31" t="e">
        <f>IF(ISBLANK(Invullen!G247),NA(),IF(Invullen!G247=0,0,(FLOOR(Invullen!G247/100,1)+(Invullen!G247-FLOOR(Invullen!G247/100,1)*100)/60)))</f>
        <v>#N/A</v>
      </c>
      <c r="O244" s="31" t="e">
        <f>IF(ISBLANK(Invullen!F247),NA(),IF(Invullen!F247=0,0,(FLOOR(Invullen!F247/100,1)+(Invullen!F247-FLOOR(Invullen!F247/100,1)*100)/60)))</f>
        <v>#N/A</v>
      </c>
      <c r="P244" s="32" t="e">
        <f>IF(ISBLANK(Invullen!F247),NA(),DegtoICES(O244,N244," "))</f>
        <v>#N/A</v>
      </c>
      <c r="Q244" s="33" t="e">
        <f t="shared" ca="1" si="6"/>
        <v>#N/A</v>
      </c>
      <c r="R244" s="41"/>
      <c r="S244" s="38">
        <f>HLOOKUP($S$1,Invullen!$N$3:$AJ$254,T244,FALSE)</f>
        <v>0</v>
      </c>
      <c r="T244" s="38">
        <v>245</v>
      </c>
    </row>
    <row r="245" spans="13:20" x14ac:dyDescent="0.3">
      <c r="M245" s="31" t="e">
        <f>IF(OR(ISBLANK(Invullen!D248),ISBLANK(Invullen!#REF!)),NA(),Invullen!K249+(Invullen!#REF!/60)-Invullen!D248+(Invullen!#REF!/60))</f>
        <v>#N/A</v>
      </c>
      <c r="N245" s="31" t="e">
        <f>IF(ISBLANK(Invullen!G248),NA(),IF(Invullen!G248=0,0,(FLOOR(Invullen!G248/100,1)+(Invullen!G248-FLOOR(Invullen!G248/100,1)*100)/60)))</f>
        <v>#N/A</v>
      </c>
      <c r="O245" s="31" t="e">
        <f>IF(ISBLANK(Invullen!F248),NA(),IF(Invullen!F248=0,0,(FLOOR(Invullen!F248/100,1)+(Invullen!F248-FLOOR(Invullen!F248/100,1)*100)/60)))</f>
        <v>#N/A</v>
      </c>
      <c r="P245" s="32" t="e">
        <f>IF(ISBLANK(Invullen!F248),NA(),DegtoICES(O245,N245," "))</f>
        <v>#N/A</v>
      </c>
      <c r="Q245" s="33" t="e">
        <f t="shared" ca="1" si="6"/>
        <v>#N/A</v>
      </c>
      <c r="R245" s="41"/>
      <c r="S245" s="38">
        <f>HLOOKUP($S$1,Invullen!$N$3:$AJ$254,T245,FALSE)</f>
        <v>0</v>
      </c>
      <c r="T245" s="38">
        <v>246</v>
      </c>
    </row>
    <row r="246" spans="13:20" x14ac:dyDescent="0.3">
      <c r="M246" s="31" t="e">
        <f>IF(OR(ISBLANK(Invullen!D249),ISBLANK(Invullen!#REF!)),NA(),Invullen!K250+(Invullen!#REF!/60)-Invullen!D249+(Invullen!#REF!/60))</f>
        <v>#N/A</v>
      </c>
      <c r="N246" s="31" t="e">
        <f>IF(ISBLANK(Invullen!G249),NA(),IF(Invullen!G249=0,0,(FLOOR(Invullen!G249/100,1)+(Invullen!G249-FLOOR(Invullen!G249/100,1)*100)/60)))</f>
        <v>#N/A</v>
      </c>
      <c r="O246" s="31" t="e">
        <f>IF(ISBLANK(Invullen!F249),NA(),IF(Invullen!F249=0,0,(FLOOR(Invullen!F249/100,1)+(Invullen!F249-FLOOR(Invullen!F249/100,1)*100)/60)))</f>
        <v>#N/A</v>
      </c>
      <c r="P246" s="32" t="e">
        <f>IF(ISBLANK(Invullen!F249),NA(),DegtoICES(O246,N246," "))</f>
        <v>#N/A</v>
      </c>
      <c r="Q246" s="33" t="e">
        <f t="shared" ca="1" si="6"/>
        <v>#N/A</v>
      </c>
      <c r="R246" s="41"/>
      <c r="S246" s="38">
        <f>HLOOKUP($S$1,Invullen!$N$3:$AJ$254,T246,FALSE)</f>
        <v>0</v>
      </c>
      <c r="T246" s="38">
        <v>247</v>
      </c>
    </row>
    <row r="247" spans="13:20" x14ac:dyDescent="0.3">
      <c r="M247" s="31" t="e">
        <f>IF(OR(ISBLANK(Invullen!D250),ISBLANK(Invullen!#REF!)),NA(),Invullen!K251+(Invullen!#REF!/60)-Invullen!D250+(Invullen!#REF!/60))</f>
        <v>#N/A</v>
      </c>
      <c r="N247" s="31" t="e">
        <f>IF(ISBLANK(Invullen!G250),NA(),IF(Invullen!G250=0,0,(FLOOR(Invullen!G250/100,1)+(Invullen!G250-FLOOR(Invullen!G250/100,1)*100)/60)))</f>
        <v>#N/A</v>
      </c>
      <c r="O247" s="31" t="e">
        <f>IF(ISBLANK(Invullen!F250),NA(),IF(Invullen!F250=0,0,(FLOOR(Invullen!F250/100,1)+(Invullen!F250-FLOOR(Invullen!F250/100,1)*100)/60)))</f>
        <v>#N/A</v>
      </c>
      <c r="P247" s="32" t="e">
        <f>IF(ISBLANK(Invullen!F250),NA(),DegtoICES(O247,N247," "))</f>
        <v>#N/A</v>
      </c>
      <c r="Q247" s="33" t="e">
        <f t="shared" ca="1" si="6"/>
        <v>#N/A</v>
      </c>
      <c r="R247" s="41"/>
      <c r="S247" s="38">
        <f>HLOOKUP($S$1,Invullen!$N$3:$AJ$254,T247,FALSE)</f>
        <v>0</v>
      </c>
      <c r="T247" s="38">
        <v>248</v>
      </c>
    </row>
    <row r="248" spans="13:20" x14ac:dyDescent="0.3">
      <c r="M248" s="31" t="e">
        <f>IF(OR(ISBLANK(Invullen!D251),ISBLANK(Invullen!#REF!)),NA(),Invullen!K252+(Invullen!#REF!/60)-Invullen!D251+(Invullen!#REF!/60))</f>
        <v>#N/A</v>
      </c>
      <c r="N248" s="31" t="e">
        <f>IF(ISBLANK(Invullen!G251),NA(),IF(Invullen!G251=0,0,(FLOOR(Invullen!G251/100,1)+(Invullen!G251-FLOOR(Invullen!G251/100,1)*100)/60)))</f>
        <v>#N/A</v>
      </c>
      <c r="O248" s="31" t="e">
        <f>IF(ISBLANK(Invullen!F251),NA(),IF(Invullen!F251=0,0,(FLOOR(Invullen!F251/100,1)+(Invullen!F251-FLOOR(Invullen!F251/100,1)*100)/60)))</f>
        <v>#N/A</v>
      </c>
      <c r="P248" s="32" t="e">
        <f>IF(ISBLANK(Invullen!F251),NA(),DegtoICES(O248,N248," "))</f>
        <v>#N/A</v>
      </c>
      <c r="Q248" s="33" t="e">
        <f t="shared" ca="1" si="6"/>
        <v>#N/A</v>
      </c>
      <c r="R248" s="41"/>
      <c r="S248" s="38">
        <f>HLOOKUP($S$1,Invullen!$N$3:$AJ$254,T248,FALSE)</f>
        <v>0</v>
      </c>
      <c r="T248" s="38">
        <v>249</v>
      </c>
    </row>
    <row r="249" spans="13:20" x14ac:dyDescent="0.3">
      <c r="M249" s="31" t="e">
        <f>IF(OR(ISBLANK(Invullen!D252),ISBLANK(Invullen!#REF!)),NA(),Invullen!K253+(Invullen!#REF!/60)-Invullen!D252+(Invullen!#REF!/60))</f>
        <v>#N/A</v>
      </c>
      <c r="N249" s="31" t="e">
        <f>IF(ISBLANK(Invullen!G252),NA(),IF(Invullen!G252=0,0,(FLOOR(Invullen!G252/100,1)+(Invullen!G252-FLOOR(Invullen!G252/100,1)*100)/60)))</f>
        <v>#N/A</v>
      </c>
      <c r="O249" s="31" t="e">
        <f>IF(ISBLANK(Invullen!F252),NA(),IF(Invullen!F252=0,0,(FLOOR(Invullen!F252/100,1)+(Invullen!F252-FLOOR(Invullen!F252/100,1)*100)/60)))</f>
        <v>#N/A</v>
      </c>
      <c r="P249" s="32" t="e">
        <f>IF(ISBLANK(Invullen!F252),NA(),DegtoICES(O249,N249," "))</f>
        <v>#N/A</v>
      </c>
      <c r="Q249" s="33" t="e">
        <f t="shared" ca="1" si="6"/>
        <v>#N/A</v>
      </c>
      <c r="R249" s="41"/>
      <c r="S249" s="38">
        <f>HLOOKUP($S$1,Invullen!$N$3:$AJ$254,T249,FALSE)</f>
        <v>0</v>
      </c>
      <c r="T249" s="38">
        <v>250</v>
      </c>
    </row>
    <row r="250" spans="13:20" x14ac:dyDescent="0.3">
      <c r="M250" s="31"/>
      <c r="N250" s="31"/>
      <c r="O250" s="31"/>
      <c r="P250" s="32"/>
      <c r="Q250" s="33"/>
      <c r="R250" s="41"/>
      <c r="S250" s="38"/>
      <c r="T250" s="38"/>
    </row>
    <row r="251" spans="13:20" x14ac:dyDescent="0.3">
      <c r="M251" s="31"/>
      <c r="N251" s="31"/>
      <c r="O251" s="31"/>
      <c r="P251" s="32"/>
      <c r="Q251" s="33"/>
      <c r="R251" s="41"/>
      <c r="S251" s="38"/>
      <c r="T251" s="38"/>
    </row>
  </sheetData>
  <sheetProtection formatCells="0" formatColumns="0" formatRows="0"/>
  <dataValidations count="3">
    <dataValidation allowBlank="1" showInputMessage="1" showErrorMessage="1" errorTitle="Fout" error="In deze cel kunnen alleen getallen tussen 0 en 1000 worden ingevoerd" sqref="M2:M251"/>
    <dataValidation type="list" showInputMessage="1" showErrorMessage="1" error="Invoer moet voorkomen in de soortenlijst (bijvoorbeeld: Pieterman)." sqref="K4">
      <formula1>SpeciesCodeFullList</formula1>
    </dataValidation>
    <dataValidation allowBlank="1" showInputMessage="1" showErrorMessage="1" errorTitle="Formaat klopt niet" error="De invoer voor dit veld kan alleen bestaan uit N of S" sqref="P1:R1048576"/>
  </dataValidations>
  <pageMargins left="0.23622047244094491" right="0.23622047244094491" top="0.19685039370078741" bottom="0.15748031496062992" header="0" footer="0"/>
  <pageSetup paperSize="9" scale="95" orientation="portrait" horizontalDpi="4294967293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2060"/>
    <pageSetUpPr fitToPage="1"/>
  </sheetPr>
  <dimension ref="A1:O269"/>
  <sheetViews>
    <sheetView zoomScale="85" zoomScaleNormal="85" workbookViewId="0">
      <selection activeCell="J3" sqref="J3"/>
    </sheetView>
  </sheetViews>
  <sheetFormatPr defaultRowHeight="14.4" x14ac:dyDescent="0.3"/>
  <cols>
    <col min="3" max="3" width="11.77734375" customWidth="1"/>
    <col min="7" max="7" width="10.77734375" customWidth="1"/>
    <col min="8" max="8" width="11.77734375" customWidth="1"/>
    <col min="9" max="9" width="14.77734375" customWidth="1"/>
    <col min="10" max="10" width="10.21875" customWidth="1"/>
    <col min="11" max="11" width="16.21875" customWidth="1"/>
    <col min="12" max="12" width="10.21875" customWidth="1"/>
    <col min="13" max="13" width="22.21875" customWidth="1"/>
  </cols>
  <sheetData>
    <row r="1" spans="1:15" s="35" customFormat="1" ht="19.5" customHeight="1" thickBot="1" x14ac:dyDescent="0.35">
      <c r="A1" s="251" t="s">
        <v>1055</v>
      </c>
      <c r="B1" s="251" t="s">
        <v>1076</v>
      </c>
      <c r="C1" s="251" t="s">
        <v>1075</v>
      </c>
      <c r="D1" s="251" t="s">
        <v>1078</v>
      </c>
      <c r="E1" s="251"/>
      <c r="F1" s="251" t="s">
        <v>1077</v>
      </c>
      <c r="G1" s="259" t="s">
        <v>1328</v>
      </c>
      <c r="H1" s="258" t="s">
        <v>1132</v>
      </c>
      <c r="I1" s="255" t="s">
        <v>1174</v>
      </c>
      <c r="J1" s="256"/>
      <c r="K1" s="256"/>
      <c r="L1" s="257"/>
      <c r="M1" s="254" t="s">
        <v>1081</v>
      </c>
    </row>
    <row r="2" spans="1:15" s="35" customFormat="1" ht="19.5" customHeight="1" thickBot="1" x14ac:dyDescent="0.35">
      <c r="A2" s="251"/>
      <c r="B2" s="251"/>
      <c r="C2" s="251"/>
      <c r="D2" s="236" t="s">
        <v>1059</v>
      </c>
      <c r="E2" s="236" t="s">
        <v>1058</v>
      </c>
      <c r="F2" s="251"/>
      <c r="G2" s="259"/>
      <c r="H2" s="258"/>
      <c r="I2" s="252" t="s">
        <v>1334</v>
      </c>
      <c r="J2" s="253"/>
      <c r="K2" s="252" t="s">
        <v>1335</v>
      </c>
      <c r="L2" s="253"/>
      <c r="M2" s="254"/>
    </row>
    <row r="3" spans="1:15" s="35" customFormat="1" ht="19.5" customHeight="1" x14ac:dyDescent="0.3">
      <c r="A3" s="251"/>
      <c r="B3" s="251"/>
      <c r="C3" s="251"/>
      <c r="D3" s="237"/>
      <c r="E3" s="237"/>
      <c r="F3" s="251"/>
      <c r="G3" s="259"/>
      <c r="H3" s="258"/>
      <c r="I3" s="179" t="s">
        <v>1332</v>
      </c>
      <c r="J3" s="180">
        <v>0</v>
      </c>
      <c r="K3" s="179" t="s">
        <v>1332</v>
      </c>
      <c r="L3" s="180">
        <v>0</v>
      </c>
      <c r="M3" s="254"/>
    </row>
    <row r="4" spans="1:15" s="35" customFormat="1" ht="19.5" customHeight="1" x14ac:dyDescent="0.3">
      <c r="A4" s="251"/>
      <c r="B4" s="251"/>
      <c r="C4" s="251"/>
      <c r="D4" s="237"/>
      <c r="E4" s="237"/>
      <c r="F4" s="251"/>
      <c r="G4" s="259"/>
      <c r="H4" s="258"/>
      <c r="I4" s="181" t="s">
        <v>1336</v>
      </c>
      <c r="J4" s="182">
        <f>SUM(Invullen!N5:N254)</f>
        <v>1154</v>
      </c>
      <c r="K4" s="181" t="s">
        <v>1336</v>
      </c>
      <c r="L4" s="182">
        <f>SUM(Invullen!O5:O254)</f>
        <v>370</v>
      </c>
      <c r="M4" s="254"/>
    </row>
    <row r="5" spans="1:15" s="49" customFormat="1" ht="17.25" customHeight="1" thickBot="1" x14ac:dyDescent="0.35">
      <c r="A5" s="251"/>
      <c r="B5" s="251"/>
      <c r="C5" s="251"/>
      <c r="D5" s="237"/>
      <c r="E5" s="237"/>
      <c r="F5" s="251"/>
      <c r="G5" s="259"/>
      <c r="H5" s="258"/>
      <c r="I5" s="183" t="s">
        <v>1346</v>
      </c>
      <c r="J5" s="184">
        <f>SUM(J7:J256)</f>
        <v>0</v>
      </c>
      <c r="K5" s="183" t="s">
        <v>1346</v>
      </c>
      <c r="L5" s="184">
        <f>SUM(L7:L256)</f>
        <v>0</v>
      </c>
      <c r="M5" s="254"/>
      <c r="N5" s="153" t="s">
        <v>1333</v>
      </c>
      <c r="O5" s="153"/>
    </row>
    <row r="6" spans="1:15" s="49" customFormat="1" ht="17.25" customHeight="1" x14ac:dyDescent="0.3">
      <c r="A6" s="251"/>
      <c r="B6" s="251"/>
      <c r="C6" s="251"/>
      <c r="D6" s="238"/>
      <c r="E6" s="238"/>
      <c r="F6" s="251"/>
      <c r="G6" s="259"/>
      <c r="H6" s="258"/>
      <c r="I6" s="186" t="s">
        <v>1330</v>
      </c>
      <c r="J6" s="187" t="s">
        <v>1331</v>
      </c>
      <c r="K6" s="193" t="s">
        <v>1330</v>
      </c>
      <c r="L6" s="194" t="s">
        <v>1331</v>
      </c>
      <c r="M6" s="254"/>
    </row>
    <row r="7" spans="1:15" x14ac:dyDescent="0.3">
      <c r="A7" s="148">
        <f>Invullen!A5</f>
        <v>1</v>
      </c>
      <c r="B7" s="149">
        <f>IF(ISBLANK(Invullen!D5),"",Invullen!D5)</f>
        <v>2005</v>
      </c>
      <c r="C7" s="150">
        <f>IF(ISBLANK(Invullen!E5),"",Invullen!E5)</f>
        <v>43119</v>
      </c>
      <c r="D7" s="151">
        <f>IF(ISBLANK(Invullen!F5),"",Invullen!F5)</f>
        <v>5141</v>
      </c>
      <c r="E7" s="151">
        <f>IF(ISBLANK(Invullen!G5),"",Invullen!G5)</f>
        <v>332</v>
      </c>
      <c r="F7" s="149"/>
      <c r="G7" s="152" t="str">
        <f>IF(ISBLANK(Invullen!L5),"",Invullen!L5)</f>
        <v/>
      </c>
      <c r="H7" s="185">
        <f>IF(ISBLANK(Invullen!M5),"",Invullen!M5)</f>
        <v>25</v>
      </c>
      <c r="I7" s="188">
        <f>IF(ISBLANK(Invullen!N5),"",Invullen!N5)</f>
        <v>14</v>
      </c>
      <c r="J7" s="189">
        <f>IF(ISBLANK(Invullen!N5),"",I7*$J$3)</f>
        <v>0</v>
      </c>
      <c r="K7" s="188" t="str">
        <f>IF(ISBLANK(Invullen!O5),"",Invullen!O5)</f>
        <v/>
      </c>
      <c r="L7" s="189" t="str">
        <f>IF(ISBLANK(Invullen!O5),"",K7*$L$3)</f>
        <v/>
      </c>
      <c r="M7" s="192"/>
      <c r="N7" t="s">
        <v>1337</v>
      </c>
    </row>
    <row r="8" spans="1:15" x14ac:dyDescent="0.3">
      <c r="A8" s="148">
        <f>Invullen!A6</f>
        <v>2</v>
      </c>
      <c r="B8" s="149">
        <f>IF(ISBLANK(Invullen!D6),"",Invullen!D6)</f>
        <v>2135</v>
      </c>
      <c r="C8" s="150">
        <f>IF(ISBLANK(Invullen!E6),"",Invullen!E6)</f>
        <v>43119</v>
      </c>
      <c r="D8" s="151">
        <f>IF(ISBLANK(Invullen!F6),"",Invullen!F6)</f>
        <v>5137</v>
      </c>
      <c r="E8" s="151">
        <f>IF(ISBLANK(Invullen!G6),"",Invullen!G6)</f>
        <v>314</v>
      </c>
      <c r="F8" s="149">
        <f>IF(ISBLANK(Invullen!K6),"",Invullen!K6)</f>
        <v>2310</v>
      </c>
      <c r="G8" s="152" t="str">
        <f>IF(ISBLANK(Invullen!L6),"",Invullen!L6)</f>
        <v/>
      </c>
      <c r="H8" s="185">
        <f>IF(ISBLANK(Invullen!M6),"",Invullen!M6)</f>
        <v>30</v>
      </c>
      <c r="I8" s="188">
        <f>IF(ISBLANK(Invullen!N6),"",Invullen!N6)</f>
        <v>20</v>
      </c>
      <c r="J8" s="189">
        <f>IF(ISBLANK(Invullen!N6),"",I8*$J$3)</f>
        <v>0</v>
      </c>
      <c r="K8" s="188" t="str">
        <f>IF(ISBLANK(Invullen!O6),"",Invullen!O6)</f>
        <v/>
      </c>
      <c r="L8" s="189" t="str">
        <f>IF(ISBLANK(Invullen!O6),"",K8*$L$3)</f>
        <v/>
      </c>
      <c r="M8" s="192"/>
    </row>
    <row r="9" spans="1:15" x14ac:dyDescent="0.3">
      <c r="A9" s="148">
        <f>Invullen!A7</f>
        <v>3</v>
      </c>
      <c r="B9" s="149">
        <f>IF(ISBLANK(Invullen!D7),"",Invullen!D7)</f>
        <v>2320</v>
      </c>
      <c r="C9" s="150">
        <f>IF(ISBLANK(Invullen!E7),"",Invullen!E7)</f>
        <v>43119</v>
      </c>
      <c r="D9" s="151">
        <f>IF(ISBLANK(Invullen!F7),"",Invullen!F7)</f>
        <v>5130</v>
      </c>
      <c r="E9" s="151">
        <f>IF(ISBLANK(Invullen!G7),"",Invullen!G7)</f>
        <v>303</v>
      </c>
      <c r="F9" s="149">
        <f>IF(ISBLANK(Invullen!K7),"",Invullen!K7)</f>
        <v>120</v>
      </c>
      <c r="G9" s="152" t="str">
        <f>IF(ISBLANK(Invullen!L7),"",Invullen!L7)</f>
        <v/>
      </c>
      <c r="H9" s="185">
        <f>IF(ISBLANK(Invullen!M7),"",Invullen!M7)</f>
        <v>30</v>
      </c>
      <c r="I9" s="188">
        <f>IF(ISBLANK(Invullen!N7),"",Invullen!N7)</f>
        <v>20</v>
      </c>
      <c r="J9" s="189">
        <f>IF(ISBLANK(Invullen!N7),"",I9*$J$3)</f>
        <v>0</v>
      </c>
      <c r="K9" s="188" t="str">
        <f>IF(ISBLANK(Invullen!O7),"",Invullen!O7)</f>
        <v/>
      </c>
      <c r="L9" s="189" t="str">
        <f>IF(ISBLANK(Invullen!O7),"",K9*$L$3)</f>
        <v/>
      </c>
      <c r="M9" s="192"/>
    </row>
    <row r="10" spans="1:15" x14ac:dyDescent="0.3">
      <c r="A10" s="148">
        <f>Invullen!A8</f>
        <v>4</v>
      </c>
      <c r="B10" s="149">
        <f>IF(ISBLANK(Invullen!D8),"",Invullen!D8)</f>
        <v>125</v>
      </c>
      <c r="C10" s="150">
        <f>IF(ISBLANK(Invullen!E8),"",Invullen!E8)</f>
        <v>43120</v>
      </c>
      <c r="D10" s="151">
        <f>IF(ISBLANK(Invullen!F8),"",Invullen!F8)</f>
        <v>5124</v>
      </c>
      <c r="E10" s="151">
        <f>IF(ISBLANK(Invullen!G8),"",Invullen!G8)</f>
        <v>252</v>
      </c>
      <c r="F10" s="149">
        <f>IF(ISBLANK(Invullen!K8),"",Invullen!K8)</f>
        <v>255</v>
      </c>
      <c r="G10" s="152" t="str">
        <f>IF(ISBLANK(Invullen!L8),"",Invullen!L8)</f>
        <v/>
      </c>
      <c r="H10" s="185">
        <f>IF(ISBLANK(Invullen!M8),"",Invullen!M8)</f>
        <v>40</v>
      </c>
      <c r="I10" s="188">
        <f>IF(ISBLANK(Invullen!N8),"",Invullen!N8)</f>
        <v>15</v>
      </c>
      <c r="J10" s="189">
        <f>IF(ISBLANK(Invullen!N8),"",I10*$J$3)</f>
        <v>0</v>
      </c>
      <c r="K10" s="188">
        <f>IF(ISBLANK(Invullen!O8),"",Invullen!O8)</f>
        <v>10</v>
      </c>
      <c r="L10" s="189">
        <f>IF(ISBLANK(Invullen!O8),"",K10*$L$3)</f>
        <v>0</v>
      </c>
      <c r="M10" s="192"/>
    </row>
    <row r="11" spans="1:15" x14ac:dyDescent="0.3">
      <c r="A11" s="148">
        <f>Invullen!A9</f>
        <v>5</v>
      </c>
      <c r="B11" s="149">
        <f>IF(ISBLANK(Invullen!D9),"",Invullen!D9)</f>
        <v>305</v>
      </c>
      <c r="C11" s="150">
        <f>IF(ISBLANK(Invullen!E9),"",Invullen!E9)</f>
        <v>43120</v>
      </c>
      <c r="D11" s="151">
        <f>IF(ISBLANK(Invullen!F9),"",Invullen!F9)</f>
        <v>5124</v>
      </c>
      <c r="E11" s="151">
        <f>IF(ISBLANK(Invullen!G9),"",Invullen!G9)</f>
        <v>246</v>
      </c>
      <c r="F11" s="149">
        <f>IF(ISBLANK(Invullen!K9),"",Invullen!K9)</f>
        <v>440</v>
      </c>
      <c r="G11" s="152" t="str">
        <f>IF(ISBLANK(Invullen!L9),"",Invullen!L9)</f>
        <v/>
      </c>
      <c r="H11" s="185">
        <f>IF(ISBLANK(Invullen!M9),"",Invullen!M9)</f>
        <v>25</v>
      </c>
      <c r="I11" s="188">
        <f>IF(ISBLANK(Invullen!N9),"",Invullen!N9)</f>
        <v>10</v>
      </c>
      <c r="J11" s="189">
        <f>IF(ISBLANK(Invullen!N9),"",I11*$J$3)</f>
        <v>0</v>
      </c>
      <c r="K11" s="188" t="str">
        <f>IF(ISBLANK(Invullen!O9),"",Invullen!O9)</f>
        <v/>
      </c>
      <c r="L11" s="189" t="str">
        <f>IF(ISBLANK(Invullen!O9),"",K11*$L$3)</f>
        <v/>
      </c>
      <c r="M11" s="192"/>
    </row>
    <row r="12" spans="1:15" x14ac:dyDescent="0.3">
      <c r="A12" s="148">
        <f>Invullen!A10</f>
        <v>6</v>
      </c>
      <c r="B12" s="149">
        <f>IF(ISBLANK(Invullen!D10),"",Invullen!D10)</f>
        <v>450</v>
      </c>
      <c r="C12" s="150">
        <f>IF(ISBLANK(Invullen!E10),"",Invullen!E10)</f>
        <v>43120</v>
      </c>
      <c r="D12" s="151">
        <f>IF(ISBLANK(Invullen!F10),"",Invullen!F10)</f>
        <v>5121</v>
      </c>
      <c r="E12" s="151">
        <f>IF(ISBLANK(Invullen!G10),"",Invullen!G10)</f>
        <v>240</v>
      </c>
      <c r="F12" s="149">
        <f>IF(ISBLANK(Invullen!K10),"",Invullen!K10)</f>
        <v>620</v>
      </c>
      <c r="G12" s="152" t="str">
        <f>IF(ISBLANK(Invullen!L10),"",Invullen!L10)</f>
        <v/>
      </c>
      <c r="H12" s="185">
        <f>IF(ISBLANK(Invullen!M10),"",Invullen!M10)</f>
        <v>35</v>
      </c>
      <c r="I12" s="188">
        <f>IF(ISBLANK(Invullen!N10),"",Invullen!N10)</f>
        <v>20</v>
      </c>
      <c r="J12" s="189">
        <f>IF(ISBLANK(Invullen!N10),"",I12*$J$3)</f>
        <v>0</v>
      </c>
      <c r="K12" s="188" t="str">
        <f>IF(ISBLANK(Invullen!O10),"",Invullen!O10)</f>
        <v/>
      </c>
      <c r="L12" s="189" t="str">
        <f>IF(ISBLANK(Invullen!O10),"",K12*$L$3)</f>
        <v/>
      </c>
      <c r="M12" s="192"/>
    </row>
    <row r="13" spans="1:15" x14ac:dyDescent="0.3">
      <c r="A13" s="148">
        <f>Invullen!A11</f>
        <v>7</v>
      </c>
      <c r="B13" s="149">
        <f>IF(ISBLANK(Invullen!D11),"",Invullen!D11)</f>
        <v>630</v>
      </c>
      <c r="C13" s="150">
        <f>IF(ISBLANK(Invullen!E11),"",Invullen!E11)</f>
        <v>43120</v>
      </c>
      <c r="D13" s="151">
        <f>IF(ISBLANK(Invullen!F11),"",Invullen!F11)</f>
        <v>5116</v>
      </c>
      <c r="E13" s="151">
        <f>IF(ISBLANK(Invullen!G11),"",Invullen!G11)</f>
        <v>236</v>
      </c>
      <c r="F13" s="149">
        <f>IF(ISBLANK(Invullen!K11),"",Invullen!K11)</f>
        <v>800</v>
      </c>
      <c r="G13" s="152" t="str">
        <f>IF(ISBLANK(Invullen!L11),"",Invullen!L11)</f>
        <v/>
      </c>
      <c r="H13" s="185">
        <f>IF(ISBLANK(Invullen!M11),"",Invullen!M11)</f>
        <v>40</v>
      </c>
      <c r="I13" s="188">
        <f>IF(ISBLANK(Invullen!N11),"",Invullen!N11)</f>
        <v>25</v>
      </c>
      <c r="J13" s="189">
        <f>IF(ISBLANK(Invullen!N11),"",I13*$J$3)</f>
        <v>0</v>
      </c>
      <c r="K13" s="188">
        <f>IF(ISBLANK(Invullen!O11),"",Invullen!O11)</f>
        <v>10</v>
      </c>
      <c r="L13" s="189">
        <f>IF(ISBLANK(Invullen!O11),"",K13*$L$3)</f>
        <v>0</v>
      </c>
      <c r="M13" s="192"/>
    </row>
    <row r="14" spans="1:15" x14ac:dyDescent="0.3">
      <c r="A14" s="148">
        <f>Invullen!A12</f>
        <v>8</v>
      </c>
      <c r="B14" s="149">
        <f>IF(ISBLANK(Invullen!D12),"",Invullen!D12)</f>
        <v>810</v>
      </c>
      <c r="C14" s="150">
        <f>IF(ISBLANK(Invullen!E12),"",Invullen!E12)</f>
        <v>43120</v>
      </c>
      <c r="D14" s="151">
        <f>IF(ISBLANK(Invullen!F12),"",Invullen!F12)</f>
        <v>5113</v>
      </c>
      <c r="E14" s="151">
        <f>IF(ISBLANK(Invullen!G12),"",Invullen!G12)</f>
        <v>232</v>
      </c>
      <c r="F14" s="149">
        <f>IF(ISBLANK(Invullen!K12),"",Invullen!K12)</f>
        <v>925</v>
      </c>
      <c r="G14" s="152" t="str">
        <f>IF(ISBLANK(Invullen!L12),"",Invullen!L12)</f>
        <v/>
      </c>
      <c r="H14" s="185">
        <f>IF(ISBLANK(Invullen!M12),"",Invullen!M12)</f>
        <v>30</v>
      </c>
      <c r="I14" s="188">
        <f>IF(ISBLANK(Invullen!N12),"",Invullen!N12)</f>
        <v>20</v>
      </c>
      <c r="J14" s="189">
        <f>IF(ISBLANK(Invullen!N12),"",I14*$J$3)</f>
        <v>0</v>
      </c>
      <c r="K14" s="188" t="str">
        <f>IF(ISBLANK(Invullen!O12),"",Invullen!O12)</f>
        <v/>
      </c>
      <c r="L14" s="189" t="str">
        <f>IF(ISBLANK(Invullen!O12),"",K14*$L$3)</f>
        <v/>
      </c>
      <c r="M14" s="192"/>
    </row>
    <row r="15" spans="1:15" x14ac:dyDescent="0.3">
      <c r="A15" s="148">
        <f>Invullen!A13</f>
        <v>9</v>
      </c>
      <c r="B15" s="149">
        <f>IF(ISBLANK(Invullen!D13),"",Invullen!D13)</f>
        <v>935</v>
      </c>
      <c r="C15" s="150">
        <f>IF(ISBLANK(Invullen!E13),"",Invullen!E13)</f>
        <v>43120</v>
      </c>
      <c r="D15" s="151">
        <f>IF(ISBLANK(Invullen!F13),"",Invullen!F13)</f>
        <v>5114</v>
      </c>
      <c r="E15" s="151">
        <f>IF(ISBLANK(Invullen!G13),"",Invullen!G13)</f>
        <v>233</v>
      </c>
      <c r="F15" s="149">
        <f>IF(ISBLANK(Invullen!K13),"",Invullen!K13)</f>
        <v>1045</v>
      </c>
      <c r="G15" s="152" t="str">
        <f>IF(ISBLANK(Invullen!L13),"",Invullen!L13)</f>
        <v/>
      </c>
      <c r="H15" s="185">
        <f>IF(ISBLANK(Invullen!M13),"",Invullen!M13)</f>
        <v>25</v>
      </c>
      <c r="I15" s="188">
        <f>IF(ISBLANK(Invullen!N13),"",Invullen!N13)</f>
        <v>15</v>
      </c>
      <c r="J15" s="189">
        <f>IF(ISBLANK(Invullen!N13),"",I15*$J$3)</f>
        <v>0</v>
      </c>
      <c r="K15" s="188" t="str">
        <f>IF(ISBLANK(Invullen!O13),"",Invullen!O13)</f>
        <v/>
      </c>
      <c r="L15" s="189" t="str">
        <f>IF(ISBLANK(Invullen!O13),"",K15*$L$3)</f>
        <v/>
      </c>
      <c r="M15" s="192"/>
    </row>
    <row r="16" spans="1:15" x14ac:dyDescent="0.3">
      <c r="A16" s="148">
        <f>Invullen!A14</f>
        <v>10</v>
      </c>
      <c r="B16" s="149">
        <f>IF(ISBLANK(Invullen!D14),"",Invullen!D14)</f>
        <v>1055</v>
      </c>
      <c r="C16" s="150">
        <f>IF(ISBLANK(Invullen!E14),"",Invullen!E14)</f>
        <v>43120</v>
      </c>
      <c r="D16" s="151">
        <f>IF(ISBLANK(Invullen!F14),"",Invullen!F14)</f>
        <v>5113</v>
      </c>
      <c r="E16" s="151">
        <f>IF(ISBLANK(Invullen!G14),"",Invullen!G14)</f>
        <v>231</v>
      </c>
      <c r="F16" s="149">
        <f>IF(ISBLANK(Invullen!K14),"",Invullen!K14)</f>
        <v>1215</v>
      </c>
      <c r="G16" s="152" t="str">
        <f>IF(ISBLANK(Invullen!L14),"",Invullen!L14)</f>
        <v/>
      </c>
      <c r="H16" s="185">
        <f>IF(ISBLANK(Invullen!M14),"",Invullen!M14)</f>
        <v>20</v>
      </c>
      <c r="I16" s="188">
        <f>IF(ISBLANK(Invullen!N14),"",Invullen!N14)</f>
        <v>10</v>
      </c>
      <c r="J16" s="189">
        <f>IF(ISBLANK(Invullen!N14),"",I16*$J$3)</f>
        <v>0</v>
      </c>
      <c r="K16" s="188" t="str">
        <f>IF(ISBLANK(Invullen!O14),"",Invullen!O14)</f>
        <v/>
      </c>
      <c r="L16" s="189" t="str">
        <f>IF(ISBLANK(Invullen!O14),"",K16*$L$3)</f>
        <v/>
      </c>
      <c r="M16" s="192"/>
    </row>
    <row r="17" spans="1:13" x14ac:dyDescent="0.3">
      <c r="A17" s="148">
        <f>Invullen!A15</f>
        <v>11</v>
      </c>
      <c r="B17" s="149">
        <f>IF(ISBLANK(Invullen!D15),"",Invullen!D15)</f>
        <v>1315</v>
      </c>
      <c r="C17" s="150">
        <f>IF(ISBLANK(Invullen!E15),"",Invullen!E15)</f>
        <v>43120</v>
      </c>
      <c r="D17" s="151">
        <f>IF(ISBLANK(Invullen!F15),"",Invullen!F15)</f>
        <v>5117</v>
      </c>
      <c r="E17" s="151">
        <f>IF(ISBLANK(Invullen!G15),"",Invullen!G15)</f>
        <v>227</v>
      </c>
      <c r="F17" s="149">
        <f>IF(ISBLANK(Invullen!K15),"",Invullen!K15)</f>
        <v>1415</v>
      </c>
      <c r="G17" s="152" t="str">
        <f>IF(ISBLANK(Invullen!L15),"",Invullen!L15)</f>
        <v/>
      </c>
      <c r="H17" s="185">
        <f>IF(ISBLANK(Invullen!M15),"",Invullen!M15)</f>
        <v>35</v>
      </c>
      <c r="I17" s="188">
        <f>IF(ISBLANK(Invullen!N15),"",Invullen!N15)</f>
        <v>15</v>
      </c>
      <c r="J17" s="189">
        <f>IF(ISBLANK(Invullen!N15),"",I17*$J$3)</f>
        <v>0</v>
      </c>
      <c r="K17" s="188">
        <f>IF(ISBLANK(Invullen!O15),"",Invullen!O15)</f>
        <v>10</v>
      </c>
      <c r="L17" s="189">
        <f>IF(ISBLANK(Invullen!O15),"",K17*$L$3)</f>
        <v>0</v>
      </c>
      <c r="M17" s="192"/>
    </row>
    <row r="18" spans="1:13" x14ac:dyDescent="0.3">
      <c r="A18" s="148">
        <f>Invullen!A16</f>
        <v>12</v>
      </c>
      <c r="B18" s="149">
        <f>IF(ISBLANK(Invullen!D16),"",Invullen!D16)</f>
        <v>1425</v>
      </c>
      <c r="C18" s="150">
        <f>IF(ISBLANK(Invullen!E16),"",Invullen!E16)</f>
        <v>43120</v>
      </c>
      <c r="D18" s="151">
        <f>IF(ISBLANK(Invullen!F16),"",Invullen!F16)</f>
        <v>5119</v>
      </c>
      <c r="E18" s="151">
        <f>IF(ISBLANK(Invullen!G16),"",Invullen!G16)</f>
        <v>228</v>
      </c>
      <c r="F18" s="149">
        <f>IF(ISBLANK(Invullen!K16),"",Invullen!K16)</f>
        <v>1540</v>
      </c>
      <c r="G18" s="152" t="str">
        <f>IF(ISBLANK(Invullen!L16),"",Invullen!L16)</f>
        <v/>
      </c>
      <c r="H18" s="185">
        <f>IF(ISBLANK(Invullen!M16),"",Invullen!M16)</f>
        <v>30</v>
      </c>
      <c r="I18" s="188">
        <f>IF(ISBLANK(Invullen!N16),"",Invullen!N16)</f>
        <v>15</v>
      </c>
      <c r="J18" s="189">
        <f>IF(ISBLANK(Invullen!N16),"",I18*$J$3)</f>
        <v>0</v>
      </c>
      <c r="K18" s="188" t="str">
        <f>IF(ISBLANK(Invullen!O16),"",Invullen!O16)</f>
        <v/>
      </c>
      <c r="L18" s="189" t="str">
        <f>IF(ISBLANK(Invullen!O16),"",K18*$L$3)</f>
        <v/>
      </c>
      <c r="M18" s="192"/>
    </row>
    <row r="19" spans="1:13" x14ac:dyDescent="0.3">
      <c r="A19" s="148">
        <f>Invullen!A17</f>
        <v>13</v>
      </c>
      <c r="B19" s="149">
        <f>IF(ISBLANK(Invullen!D17),"",Invullen!D17)</f>
        <v>1550</v>
      </c>
      <c r="C19" s="150">
        <f>IF(ISBLANK(Invullen!E17),"",Invullen!E17)</f>
        <v>43120</v>
      </c>
      <c r="D19" s="151">
        <f>IF(ISBLANK(Invullen!F17),"",Invullen!F17)</f>
        <v>5117</v>
      </c>
      <c r="E19" s="151">
        <f>IF(ISBLANK(Invullen!G17),"",Invullen!G17)</f>
        <v>228</v>
      </c>
      <c r="F19" s="149">
        <f>IF(ISBLANK(Invullen!K17),"",Invullen!K17)</f>
        <v>1700</v>
      </c>
      <c r="G19" s="152" t="str">
        <f>IF(ISBLANK(Invullen!L17),"",Invullen!L17)</f>
        <v/>
      </c>
      <c r="H19" s="185">
        <f>IF(ISBLANK(Invullen!M17),"",Invullen!M17)</f>
        <v>25</v>
      </c>
      <c r="I19" s="188">
        <f>IF(ISBLANK(Invullen!N17),"",Invullen!N17)</f>
        <v>15</v>
      </c>
      <c r="J19" s="189">
        <f>IF(ISBLANK(Invullen!N17),"",I19*$J$3)</f>
        <v>0</v>
      </c>
      <c r="K19" s="188" t="str">
        <f>IF(ISBLANK(Invullen!O17),"",Invullen!O17)</f>
        <v/>
      </c>
      <c r="L19" s="189" t="str">
        <f>IF(ISBLANK(Invullen!O17),"",K19*$L$3)</f>
        <v/>
      </c>
      <c r="M19" s="192"/>
    </row>
    <row r="20" spans="1:13" x14ac:dyDescent="0.3">
      <c r="A20" s="148">
        <f>Invullen!A18</f>
        <v>14</v>
      </c>
      <c r="B20" s="149">
        <f>IF(ISBLANK(Invullen!D18),"",Invullen!D18)</f>
        <v>1715</v>
      </c>
      <c r="C20" s="150">
        <f>IF(ISBLANK(Invullen!E18),"",Invullen!E18)</f>
        <v>43120</v>
      </c>
      <c r="D20" s="151">
        <f>IF(ISBLANK(Invullen!F18),"",Invullen!F18)</f>
        <v>5118</v>
      </c>
      <c r="E20" s="151">
        <f>IF(ISBLANK(Invullen!G18),"",Invullen!G18)</f>
        <v>228</v>
      </c>
      <c r="F20" s="149">
        <f>IF(ISBLANK(Invullen!K18),"",Invullen!K18)</f>
        <v>1820</v>
      </c>
      <c r="G20" s="152" t="str">
        <f>IF(ISBLANK(Invullen!L18),"",Invullen!L18)</f>
        <v/>
      </c>
      <c r="H20" s="185">
        <f>IF(ISBLANK(Invullen!M18),"",Invullen!M18)</f>
        <v>35</v>
      </c>
      <c r="I20" s="188">
        <f>IF(ISBLANK(Invullen!N18),"",Invullen!N18)</f>
        <v>25</v>
      </c>
      <c r="J20" s="189">
        <f>IF(ISBLANK(Invullen!N18),"",I20*$J$3)</f>
        <v>0</v>
      </c>
      <c r="K20" s="188" t="str">
        <f>IF(ISBLANK(Invullen!O18),"",Invullen!O18)</f>
        <v/>
      </c>
      <c r="L20" s="189" t="str">
        <f>IF(ISBLANK(Invullen!O18),"",K20*$L$3)</f>
        <v/>
      </c>
      <c r="M20" s="192"/>
    </row>
    <row r="21" spans="1:13" x14ac:dyDescent="0.3">
      <c r="A21" s="148">
        <f>Invullen!A19</f>
        <v>15</v>
      </c>
      <c r="B21" s="149">
        <f>IF(ISBLANK(Invullen!D19),"",Invullen!D19)</f>
        <v>1835</v>
      </c>
      <c r="C21" s="150">
        <f>IF(ISBLANK(Invullen!E19),"",Invullen!E19)</f>
        <v>43120</v>
      </c>
      <c r="D21" s="151">
        <f>IF(ISBLANK(Invullen!F19),"",Invullen!F19)</f>
        <v>5119</v>
      </c>
      <c r="E21" s="151">
        <f>IF(ISBLANK(Invullen!G19),"",Invullen!G19)</f>
        <v>226</v>
      </c>
      <c r="F21" s="149">
        <f>IF(ISBLANK(Invullen!K19),"",Invullen!K19)</f>
        <v>1935</v>
      </c>
      <c r="G21" s="152" t="str">
        <f>IF(ISBLANK(Invullen!L19),"",Invullen!L19)</f>
        <v/>
      </c>
      <c r="H21" s="185">
        <f>IF(ISBLANK(Invullen!M19),"",Invullen!M19)</f>
        <v>40</v>
      </c>
      <c r="I21" s="188">
        <f>IF(ISBLANK(Invullen!N19),"",Invullen!N19)</f>
        <v>20</v>
      </c>
      <c r="J21" s="189">
        <f>IF(ISBLANK(Invullen!N19),"",I21*$J$3)</f>
        <v>0</v>
      </c>
      <c r="K21" s="188">
        <f>IF(ISBLANK(Invullen!O19),"",Invullen!O19)</f>
        <v>10</v>
      </c>
      <c r="L21" s="189">
        <f>IF(ISBLANK(Invullen!O19),"",K21*$L$3)</f>
        <v>0</v>
      </c>
      <c r="M21" s="192"/>
    </row>
    <row r="22" spans="1:13" x14ac:dyDescent="0.3">
      <c r="A22" s="148">
        <f>Invullen!A20</f>
        <v>16</v>
      </c>
      <c r="B22" s="149">
        <f>IF(ISBLANK(Invullen!D20),"",Invullen!D20)</f>
        <v>1945</v>
      </c>
      <c r="C22" s="150">
        <f>IF(ISBLANK(Invullen!E20),"",Invullen!E20)</f>
        <v>43120</v>
      </c>
      <c r="D22" s="151">
        <f>IF(ISBLANK(Invullen!F20),"",Invullen!F20)</f>
        <v>5120</v>
      </c>
      <c r="E22" s="151">
        <f>IF(ISBLANK(Invullen!G20),"",Invullen!G20)</f>
        <v>228</v>
      </c>
      <c r="F22" s="149">
        <f>IF(ISBLANK(Invullen!K20),"",Invullen!K20)</f>
        <v>2100</v>
      </c>
      <c r="G22" s="152" t="str">
        <f>IF(ISBLANK(Invullen!L20),"",Invullen!L20)</f>
        <v/>
      </c>
      <c r="H22" s="185">
        <f>IF(ISBLANK(Invullen!M20),"",Invullen!M20)</f>
        <v>40</v>
      </c>
      <c r="I22" s="188">
        <f>IF(ISBLANK(Invullen!N20),"",Invullen!N20)</f>
        <v>25</v>
      </c>
      <c r="J22" s="189">
        <f>IF(ISBLANK(Invullen!N20),"",I22*$J$3)</f>
        <v>0</v>
      </c>
      <c r="K22" s="188" t="str">
        <f>IF(ISBLANK(Invullen!O20),"",Invullen!O20)</f>
        <v/>
      </c>
      <c r="L22" s="189" t="str">
        <f>IF(ISBLANK(Invullen!O20),"",K22*$L$3)</f>
        <v/>
      </c>
      <c r="M22" s="192"/>
    </row>
    <row r="23" spans="1:13" x14ac:dyDescent="0.3">
      <c r="A23" s="148">
        <f>Invullen!A21</f>
        <v>17</v>
      </c>
      <c r="B23" s="149">
        <f>IF(ISBLANK(Invullen!D21),"",Invullen!D21)</f>
        <v>2115</v>
      </c>
      <c r="C23" s="150">
        <f>IF(ISBLANK(Invullen!E21),"",Invullen!E21)</f>
        <v>43120</v>
      </c>
      <c r="D23" s="151">
        <f>IF(ISBLANK(Invullen!F21),"",Invullen!F21)</f>
        <v>5119</v>
      </c>
      <c r="E23" s="151">
        <f>IF(ISBLANK(Invullen!G21),"",Invullen!G21)</f>
        <v>227</v>
      </c>
      <c r="F23" s="149">
        <f>IF(ISBLANK(Invullen!K21),"",Invullen!K21)</f>
        <v>2235</v>
      </c>
      <c r="G23" s="152" t="str">
        <f>IF(ISBLANK(Invullen!L21),"",Invullen!L21)</f>
        <v/>
      </c>
      <c r="H23" s="185">
        <f>IF(ISBLANK(Invullen!M21),"",Invullen!M21)</f>
        <v>55</v>
      </c>
      <c r="I23" s="188">
        <f>IF(ISBLANK(Invullen!N21),"",Invullen!N21)</f>
        <v>35</v>
      </c>
      <c r="J23" s="189">
        <f>IF(ISBLANK(Invullen!N21),"",I23*$J$3)</f>
        <v>0</v>
      </c>
      <c r="K23" s="188" t="str">
        <f>IF(ISBLANK(Invullen!O21),"",Invullen!O21)</f>
        <v/>
      </c>
      <c r="L23" s="189" t="str">
        <f>IF(ISBLANK(Invullen!O21),"",K23*$L$3)</f>
        <v/>
      </c>
      <c r="M23" s="192"/>
    </row>
    <row r="24" spans="1:13" x14ac:dyDescent="0.3">
      <c r="A24" s="148">
        <f>Invullen!A22</f>
        <v>18</v>
      </c>
      <c r="B24" s="149">
        <f>IF(ISBLANK(Invullen!D22),"",Invullen!D22)</f>
        <v>2245</v>
      </c>
      <c r="C24" s="150">
        <f>IF(ISBLANK(Invullen!E22),"",Invullen!E22)</f>
        <v>43120</v>
      </c>
      <c r="D24" s="151">
        <f>IF(ISBLANK(Invullen!F22),"",Invullen!F22)</f>
        <v>5118</v>
      </c>
      <c r="E24" s="151">
        <f>IF(ISBLANK(Invullen!G22),"",Invullen!G22)</f>
        <v>225</v>
      </c>
      <c r="F24" s="149">
        <f>IF(ISBLANK(Invullen!K22),"",Invullen!K22)</f>
        <v>5</v>
      </c>
      <c r="G24" s="152" t="str">
        <f>IF(ISBLANK(Invullen!L22),"",Invullen!L22)</f>
        <v/>
      </c>
      <c r="H24" s="185">
        <f>IF(ISBLANK(Invullen!M22),"",Invullen!M22)</f>
        <v>50</v>
      </c>
      <c r="I24" s="188">
        <f>IF(ISBLANK(Invullen!N22),"",Invullen!N22)</f>
        <v>35</v>
      </c>
      <c r="J24" s="189">
        <f>IF(ISBLANK(Invullen!N22),"",I24*$J$3)</f>
        <v>0</v>
      </c>
      <c r="K24" s="188" t="str">
        <f>IF(ISBLANK(Invullen!O22),"",Invullen!O22)</f>
        <v/>
      </c>
      <c r="L24" s="189" t="str">
        <f>IF(ISBLANK(Invullen!O22),"",K24*$L$3)</f>
        <v/>
      </c>
      <c r="M24" s="192"/>
    </row>
    <row r="25" spans="1:13" x14ac:dyDescent="0.3">
      <c r="A25" s="148">
        <f>Invullen!A23</f>
        <v>19</v>
      </c>
      <c r="B25" s="149">
        <f>IF(ISBLANK(Invullen!D23),"",Invullen!D23)</f>
        <v>15</v>
      </c>
      <c r="C25" s="150">
        <f>IF(ISBLANK(Invullen!E23),"",Invullen!E23)</f>
        <v>43121</v>
      </c>
      <c r="D25" s="151">
        <f>IF(ISBLANK(Invullen!F23),"",Invullen!F23)</f>
        <v>5118</v>
      </c>
      <c r="E25" s="151">
        <f>IF(ISBLANK(Invullen!G23),"",Invullen!G23)</f>
        <v>226</v>
      </c>
      <c r="F25" s="149">
        <f>IF(ISBLANK(Invullen!K23),"",Invullen!K23)</f>
        <v>140</v>
      </c>
      <c r="G25" s="152" t="str">
        <f>IF(ISBLANK(Invullen!L23),"",Invullen!L23)</f>
        <v/>
      </c>
      <c r="H25" s="185">
        <f>IF(ISBLANK(Invullen!M23),"",Invullen!M23)</f>
        <v>40</v>
      </c>
      <c r="I25" s="188">
        <f>IF(ISBLANK(Invullen!N23),"",Invullen!N23)</f>
        <v>25</v>
      </c>
      <c r="J25" s="189">
        <f>IF(ISBLANK(Invullen!N23),"",I25*$J$3)</f>
        <v>0</v>
      </c>
      <c r="K25" s="188" t="str">
        <f>IF(ISBLANK(Invullen!O23),"",Invullen!O23)</f>
        <v/>
      </c>
      <c r="L25" s="189" t="str">
        <f>IF(ISBLANK(Invullen!O23),"",K25*$L$3)</f>
        <v/>
      </c>
      <c r="M25" s="192"/>
    </row>
    <row r="26" spans="1:13" x14ac:dyDescent="0.3">
      <c r="A26" s="148">
        <f>Invullen!A24</f>
        <v>20</v>
      </c>
      <c r="B26" s="149">
        <f>IF(ISBLANK(Invullen!D24),"",Invullen!D24)</f>
        <v>150</v>
      </c>
      <c r="C26" s="150">
        <f>IF(ISBLANK(Invullen!E24),"",Invullen!E24)</f>
        <v>43121</v>
      </c>
      <c r="D26" s="151">
        <f>IF(ISBLANK(Invullen!F24),"",Invullen!F24)</f>
        <v>5120</v>
      </c>
      <c r="E26" s="151">
        <f>IF(ISBLANK(Invullen!G24),"",Invullen!G24)</f>
        <v>228</v>
      </c>
      <c r="F26" s="149">
        <f>IF(ISBLANK(Invullen!K24),"",Invullen!K24)</f>
        <v>310</v>
      </c>
      <c r="G26" s="152" t="str">
        <f>IF(ISBLANK(Invullen!L24),"",Invullen!L24)</f>
        <v/>
      </c>
      <c r="H26" s="185">
        <f>IF(ISBLANK(Invullen!M24),"",Invullen!M24)</f>
        <v>40</v>
      </c>
      <c r="I26" s="188">
        <f>IF(ISBLANK(Invullen!N24),"",Invullen!N24)</f>
        <v>20</v>
      </c>
      <c r="J26" s="189">
        <f>IF(ISBLANK(Invullen!N24),"",I26*$J$3)</f>
        <v>0</v>
      </c>
      <c r="K26" s="188">
        <f>IF(ISBLANK(Invullen!O24),"",Invullen!O24)</f>
        <v>10</v>
      </c>
      <c r="L26" s="189">
        <f>IF(ISBLANK(Invullen!O24),"",K26*$L$3)</f>
        <v>0</v>
      </c>
      <c r="M26" s="192"/>
    </row>
    <row r="27" spans="1:13" x14ac:dyDescent="0.3">
      <c r="A27" s="148">
        <f>Invullen!A25</f>
        <v>21</v>
      </c>
      <c r="B27" s="149">
        <f>IF(ISBLANK(Invullen!D25),"",Invullen!D25)</f>
        <v>320</v>
      </c>
      <c r="C27" s="150">
        <f>IF(ISBLANK(Invullen!E25),"",Invullen!E25)</f>
        <v>43121</v>
      </c>
      <c r="D27" s="151">
        <f>IF(ISBLANK(Invullen!F25),"",Invullen!F25)</f>
        <v>5119</v>
      </c>
      <c r="E27" s="151">
        <f>IF(ISBLANK(Invullen!G25),"",Invullen!G25)</f>
        <v>226</v>
      </c>
      <c r="F27" s="149">
        <f>IF(ISBLANK(Invullen!K25),"",Invullen!K25)</f>
        <v>440</v>
      </c>
      <c r="G27" s="152" t="str">
        <f>IF(ISBLANK(Invullen!L25),"",Invullen!L25)</f>
        <v/>
      </c>
      <c r="H27" s="185">
        <f>IF(ISBLANK(Invullen!M25),"",Invullen!M25)</f>
        <v>40</v>
      </c>
      <c r="I27" s="188">
        <f>IF(ISBLANK(Invullen!N25),"",Invullen!N25)</f>
        <v>25</v>
      </c>
      <c r="J27" s="189">
        <f>IF(ISBLANK(Invullen!N25),"",I27*$J$3)</f>
        <v>0</v>
      </c>
      <c r="K27" s="188" t="str">
        <f>IF(ISBLANK(Invullen!O25),"",Invullen!O25)</f>
        <v/>
      </c>
      <c r="L27" s="189" t="str">
        <f>IF(ISBLANK(Invullen!O25),"",K27*$L$3)</f>
        <v/>
      </c>
      <c r="M27" s="192"/>
    </row>
    <row r="28" spans="1:13" x14ac:dyDescent="0.3">
      <c r="A28" s="148">
        <f>Invullen!A26</f>
        <v>22</v>
      </c>
      <c r="B28" s="149">
        <f>IF(ISBLANK(Invullen!D26),"",Invullen!D26)</f>
        <v>500</v>
      </c>
      <c r="C28" s="150">
        <f>IF(ISBLANK(Invullen!E26),"",Invullen!E26)</f>
        <v>43121</v>
      </c>
      <c r="D28" s="151">
        <f>IF(ISBLANK(Invullen!F26),"",Invullen!F26)</f>
        <v>5118</v>
      </c>
      <c r="E28" s="151">
        <f>IF(ISBLANK(Invullen!G26),"",Invullen!G26)</f>
        <v>225</v>
      </c>
      <c r="F28" s="149">
        <f>IF(ISBLANK(Invullen!K26),"",Invullen!K26)</f>
        <v>620</v>
      </c>
      <c r="G28" s="152" t="str">
        <f>IF(ISBLANK(Invullen!L26),"",Invullen!L26)</f>
        <v/>
      </c>
      <c r="H28" s="185">
        <f>IF(ISBLANK(Invullen!M26),"",Invullen!M26)</f>
        <v>50</v>
      </c>
      <c r="I28" s="188">
        <f>IF(ISBLANK(Invullen!N26),"",Invullen!N26)</f>
        <v>20</v>
      </c>
      <c r="J28" s="189">
        <f>IF(ISBLANK(Invullen!N26),"",I28*$J$3)</f>
        <v>0</v>
      </c>
      <c r="K28" s="188" t="str">
        <f>IF(ISBLANK(Invullen!O26),"",Invullen!O26)</f>
        <v/>
      </c>
      <c r="L28" s="189" t="str">
        <f>IF(ISBLANK(Invullen!O26),"",K28*$L$3)</f>
        <v/>
      </c>
      <c r="M28" s="192"/>
    </row>
    <row r="29" spans="1:13" x14ac:dyDescent="0.3">
      <c r="A29" s="148">
        <f>Invullen!A27</f>
        <v>23</v>
      </c>
      <c r="B29" s="149">
        <f>IF(ISBLANK(Invullen!D27),"",Invullen!D27)</f>
        <v>630</v>
      </c>
      <c r="C29" s="150">
        <f>IF(ISBLANK(Invullen!E27),"",Invullen!E27)</f>
        <v>43121</v>
      </c>
      <c r="D29" s="151">
        <f>IF(ISBLANK(Invullen!F27),"",Invullen!F27)</f>
        <v>5120</v>
      </c>
      <c r="E29" s="151">
        <f>IF(ISBLANK(Invullen!G27),"",Invullen!G27)</f>
        <v>228</v>
      </c>
      <c r="F29" s="149">
        <f>IF(ISBLANK(Invullen!K27),"",Invullen!K27)</f>
        <v>750</v>
      </c>
      <c r="G29" s="152" t="str">
        <f>IF(ISBLANK(Invullen!L27),"",Invullen!L27)</f>
        <v/>
      </c>
      <c r="H29" s="185">
        <f>IF(ISBLANK(Invullen!M27),"",Invullen!M27)</f>
        <v>40</v>
      </c>
      <c r="I29" s="188">
        <f>IF(ISBLANK(Invullen!N27),"",Invullen!N27)</f>
        <v>15</v>
      </c>
      <c r="J29" s="189">
        <f>IF(ISBLANK(Invullen!N27),"",I29*$J$3)</f>
        <v>0</v>
      </c>
      <c r="K29" s="188">
        <f>IF(ISBLANK(Invullen!O27),"",Invullen!O27)</f>
        <v>10</v>
      </c>
      <c r="L29" s="189">
        <f>IF(ISBLANK(Invullen!O27),"",K29*$L$3)</f>
        <v>0</v>
      </c>
      <c r="M29" s="192"/>
    </row>
    <row r="30" spans="1:13" x14ac:dyDescent="0.3">
      <c r="A30" s="148">
        <f>Invullen!A28</f>
        <v>24</v>
      </c>
      <c r="B30" s="149">
        <f>IF(ISBLANK(Invullen!D28),"",Invullen!D28)</f>
        <v>800</v>
      </c>
      <c r="C30" s="150">
        <f>IF(ISBLANK(Invullen!E28),"",Invullen!E28)</f>
        <v>43121</v>
      </c>
      <c r="D30" s="151">
        <f>IF(ISBLANK(Invullen!F28),"",Invullen!F28)</f>
        <v>5118</v>
      </c>
      <c r="E30" s="151">
        <f>IF(ISBLANK(Invullen!G28),"",Invullen!G28)</f>
        <v>226</v>
      </c>
      <c r="F30" s="149">
        <f>IF(ISBLANK(Invullen!K28),"",Invullen!K28)</f>
        <v>910</v>
      </c>
      <c r="G30" s="152" t="str">
        <f>IF(ISBLANK(Invullen!L28),"",Invullen!L28)</f>
        <v/>
      </c>
      <c r="H30" s="185">
        <f>IF(ISBLANK(Invullen!M28),"",Invullen!M28)</f>
        <v>35</v>
      </c>
      <c r="I30" s="188">
        <f>IF(ISBLANK(Invullen!N28),"",Invullen!N28)</f>
        <v>15</v>
      </c>
      <c r="J30" s="189">
        <f>IF(ISBLANK(Invullen!N28),"",I30*$J$3)</f>
        <v>0</v>
      </c>
      <c r="K30" s="188" t="str">
        <f>IF(ISBLANK(Invullen!O28),"",Invullen!O28)</f>
        <v/>
      </c>
      <c r="L30" s="189" t="str">
        <f>IF(ISBLANK(Invullen!O28),"",K30*$L$3)</f>
        <v/>
      </c>
      <c r="M30" s="192"/>
    </row>
    <row r="31" spans="1:13" x14ac:dyDescent="0.3">
      <c r="A31" s="148">
        <f>Invullen!A29</f>
        <v>25</v>
      </c>
      <c r="B31" s="149">
        <f>IF(ISBLANK(Invullen!D29),"",Invullen!D29)</f>
        <v>920</v>
      </c>
      <c r="C31" s="150">
        <f>IF(ISBLANK(Invullen!E29),"",Invullen!E29)</f>
        <v>43121</v>
      </c>
      <c r="D31" s="151">
        <f>IF(ISBLANK(Invullen!F29),"",Invullen!F29)</f>
        <v>5119</v>
      </c>
      <c r="E31" s="151">
        <f>IF(ISBLANK(Invullen!G29),"",Invullen!G29)</f>
        <v>223</v>
      </c>
      <c r="F31" s="149">
        <f>IF(ISBLANK(Invullen!K29),"",Invullen!K29)</f>
        <v>1030</v>
      </c>
      <c r="G31" s="152" t="str">
        <f>IF(ISBLANK(Invullen!L29),"",Invullen!L29)</f>
        <v/>
      </c>
      <c r="H31" s="185">
        <f>IF(ISBLANK(Invullen!M29),"",Invullen!M29)</f>
        <v>35</v>
      </c>
      <c r="I31" s="188">
        <f>IF(ISBLANK(Invullen!N29),"",Invullen!N29)</f>
        <v>15</v>
      </c>
      <c r="J31" s="189">
        <f>IF(ISBLANK(Invullen!N29),"",I31*$J$3)</f>
        <v>0</v>
      </c>
      <c r="K31" s="188" t="str">
        <f>IF(ISBLANK(Invullen!O29),"",Invullen!O29)</f>
        <v/>
      </c>
      <c r="L31" s="189" t="str">
        <f>IF(ISBLANK(Invullen!O29),"",K31*$L$3)</f>
        <v/>
      </c>
      <c r="M31" s="192"/>
    </row>
    <row r="32" spans="1:13" x14ac:dyDescent="0.3">
      <c r="A32" s="148">
        <f>Invullen!A30</f>
        <v>26</v>
      </c>
      <c r="B32" s="149">
        <f>IF(ISBLANK(Invullen!D30),"",Invullen!D30)</f>
        <v>1040</v>
      </c>
      <c r="C32" s="150">
        <f>IF(ISBLANK(Invullen!E30),"",Invullen!E30)</f>
        <v>43121</v>
      </c>
      <c r="D32" s="151">
        <f>IF(ISBLANK(Invullen!F30),"",Invullen!F30)</f>
        <v>5119</v>
      </c>
      <c r="E32" s="151">
        <f>IF(ISBLANK(Invullen!G30),"",Invullen!G30)</f>
        <v>225</v>
      </c>
      <c r="F32" s="149">
        <f>IF(ISBLANK(Invullen!K30),"",Invullen!K30)</f>
        <v>1140</v>
      </c>
      <c r="G32" s="152" t="str">
        <f>IF(ISBLANK(Invullen!L30),"",Invullen!L30)</f>
        <v/>
      </c>
      <c r="H32" s="185">
        <f>IF(ISBLANK(Invullen!M30),"",Invullen!M30)</f>
        <v>40</v>
      </c>
      <c r="I32" s="188">
        <f>IF(ISBLANK(Invullen!N30),"",Invullen!N30)</f>
        <v>15</v>
      </c>
      <c r="J32" s="189">
        <f>IF(ISBLANK(Invullen!N30),"",I32*$J$3)</f>
        <v>0</v>
      </c>
      <c r="K32" s="188" t="str">
        <f>IF(ISBLANK(Invullen!O30),"",Invullen!O30)</f>
        <v/>
      </c>
      <c r="L32" s="189" t="str">
        <f>IF(ISBLANK(Invullen!O30),"",K32*$L$3)</f>
        <v/>
      </c>
      <c r="M32" s="192"/>
    </row>
    <row r="33" spans="1:13" x14ac:dyDescent="0.3">
      <c r="A33" s="148">
        <f>Invullen!A31</f>
        <v>27</v>
      </c>
      <c r="B33" s="149">
        <f>IF(ISBLANK(Invullen!D31),"",Invullen!D31)</f>
        <v>1150</v>
      </c>
      <c r="C33" s="150">
        <f>IF(ISBLANK(Invullen!E31),"",Invullen!E31)</f>
        <v>43121</v>
      </c>
      <c r="D33" s="151">
        <f>IF(ISBLANK(Invullen!F31),"",Invullen!F31)</f>
        <v>5117</v>
      </c>
      <c r="E33" s="151">
        <f>IF(ISBLANK(Invullen!G31),"",Invullen!G31)</f>
        <v>220</v>
      </c>
      <c r="F33" s="149">
        <f>IF(ISBLANK(Invullen!K31),"",Invullen!K31)</f>
        <v>1250</v>
      </c>
      <c r="G33" s="152" t="str">
        <f>IF(ISBLANK(Invullen!L31),"",Invullen!L31)</f>
        <v/>
      </c>
      <c r="H33" s="185">
        <f>IF(ISBLANK(Invullen!M31),"",Invullen!M31)</f>
        <v>10</v>
      </c>
      <c r="I33" s="188">
        <f>IF(ISBLANK(Invullen!N31),"",Invullen!N31)</f>
        <v>5</v>
      </c>
      <c r="J33" s="189">
        <f>IF(ISBLANK(Invullen!N31),"",I33*$J$3)</f>
        <v>0</v>
      </c>
      <c r="K33" s="188" t="str">
        <f>IF(ISBLANK(Invullen!O31),"",Invullen!O31)</f>
        <v/>
      </c>
      <c r="L33" s="189" t="str">
        <f>IF(ISBLANK(Invullen!O31),"",K33*$L$3)</f>
        <v/>
      </c>
      <c r="M33" s="192"/>
    </row>
    <row r="34" spans="1:13" x14ac:dyDescent="0.3">
      <c r="A34" s="148">
        <f>Invullen!A32</f>
        <v>28</v>
      </c>
      <c r="B34" s="149">
        <f>IF(ISBLANK(Invullen!D32),"",Invullen!D32)</f>
        <v>1300</v>
      </c>
      <c r="C34" s="150">
        <f>IF(ISBLANK(Invullen!E32),"",Invullen!E32)</f>
        <v>43121</v>
      </c>
      <c r="D34" s="151">
        <f>IF(ISBLANK(Invullen!F32),"",Invullen!F32)</f>
        <v>5119</v>
      </c>
      <c r="E34" s="151">
        <f>IF(ISBLANK(Invullen!G32),"",Invullen!G32)</f>
        <v>224</v>
      </c>
      <c r="F34" s="149">
        <f>IF(ISBLANK(Invullen!K32),"",Invullen!K32)</f>
        <v>1420</v>
      </c>
      <c r="G34" s="152" t="str">
        <f>IF(ISBLANK(Invullen!L32),"",Invullen!L32)</f>
        <v/>
      </c>
      <c r="H34" s="185">
        <f>IF(ISBLANK(Invullen!M32),"",Invullen!M32)</f>
        <v>30</v>
      </c>
      <c r="I34" s="188">
        <f>IF(ISBLANK(Invullen!N32),"",Invullen!N32)</f>
        <v>15</v>
      </c>
      <c r="J34" s="189">
        <f>IF(ISBLANK(Invullen!N32),"",I34*$J$3)</f>
        <v>0</v>
      </c>
      <c r="K34" s="188" t="str">
        <f>IF(ISBLANK(Invullen!O32),"",Invullen!O32)</f>
        <v/>
      </c>
      <c r="L34" s="189" t="str">
        <f>IF(ISBLANK(Invullen!O32),"",K34*$L$3)</f>
        <v/>
      </c>
      <c r="M34" s="192"/>
    </row>
    <row r="35" spans="1:13" x14ac:dyDescent="0.3">
      <c r="A35" s="148">
        <f>Invullen!A33</f>
        <v>29</v>
      </c>
      <c r="B35" s="149">
        <f>IF(ISBLANK(Invullen!D33),"",Invullen!D33)</f>
        <v>1430</v>
      </c>
      <c r="C35" s="150">
        <f>IF(ISBLANK(Invullen!E33),"",Invullen!E33)</f>
        <v>43121</v>
      </c>
      <c r="D35" s="151">
        <f>IF(ISBLANK(Invullen!F33),"",Invullen!F33)</f>
        <v>5119</v>
      </c>
      <c r="E35" s="151">
        <f>IF(ISBLANK(Invullen!G33),"",Invullen!G33)</f>
        <v>223</v>
      </c>
      <c r="F35" s="149">
        <f>IF(ISBLANK(Invullen!K33),"",Invullen!K33)</f>
        <v>1545</v>
      </c>
      <c r="G35" s="152" t="str">
        <f>IF(ISBLANK(Invullen!L33),"",Invullen!L33)</f>
        <v/>
      </c>
      <c r="H35" s="185">
        <f>IF(ISBLANK(Invullen!M33),"",Invullen!M33)</f>
        <v>50</v>
      </c>
      <c r="I35" s="188">
        <f>IF(ISBLANK(Invullen!N33),"",Invullen!N33)</f>
        <v>20</v>
      </c>
      <c r="J35" s="189">
        <f>IF(ISBLANK(Invullen!N33),"",I35*$J$3)</f>
        <v>0</v>
      </c>
      <c r="K35" s="188">
        <f>IF(ISBLANK(Invullen!O33),"",Invullen!O33)</f>
        <v>10</v>
      </c>
      <c r="L35" s="189">
        <f>IF(ISBLANK(Invullen!O33),"",K35*$L$3)</f>
        <v>0</v>
      </c>
      <c r="M35" s="192"/>
    </row>
    <row r="36" spans="1:13" x14ac:dyDescent="0.3">
      <c r="A36" s="148">
        <f>Invullen!A34</f>
        <v>30</v>
      </c>
      <c r="B36" s="149">
        <f>IF(ISBLANK(Invullen!D34),"",Invullen!D34)</f>
        <v>1550</v>
      </c>
      <c r="C36" s="150">
        <f>IF(ISBLANK(Invullen!E34),"",Invullen!E34)</f>
        <v>43121</v>
      </c>
      <c r="D36" s="151">
        <f>IF(ISBLANK(Invullen!F34),"",Invullen!F34)</f>
        <v>5119</v>
      </c>
      <c r="E36" s="151">
        <f>IF(ISBLANK(Invullen!G34),"",Invullen!G34)</f>
        <v>227</v>
      </c>
      <c r="F36" s="149">
        <f>IF(ISBLANK(Invullen!K34),"",Invullen!K34)</f>
        <v>1650</v>
      </c>
      <c r="G36" s="152" t="str">
        <f>IF(ISBLANK(Invullen!L34),"",Invullen!L34)</f>
        <v/>
      </c>
      <c r="H36" s="185">
        <f>IF(ISBLANK(Invullen!M34),"",Invullen!M34)</f>
        <v>30</v>
      </c>
      <c r="I36" s="188">
        <f>IF(ISBLANK(Invullen!N34),"",Invullen!N34)</f>
        <v>20</v>
      </c>
      <c r="J36" s="189">
        <f>IF(ISBLANK(Invullen!N34),"",I36*$J$3)</f>
        <v>0</v>
      </c>
      <c r="K36" s="188" t="str">
        <f>IF(ISBLANK(Invullen!O34),"",Invullen!O34)</f>
        <v/>
      </c>
      <c r="L36" s="189" t="str">
        <f>IF(ISBLANK(Invullen!O34),"",K36*$L$3)</f>
        <v/>
      </c>
      <c r="M36" s="192"/>
    </row>
    <row r="37" spans="1:13" x14ac:dyDescent="0.3">
      <c r="A37" s="148">
        <f>Invullen!A35</f>
        <v>31</v>
      </c>
      <c r="B37" s="149">
        <f>IF(ISBLANK(Invullen!D35),"",Invullen!D35)</f>
        <v>1700</v>
      </c>
      <c r="C37" s="150">
        <f>IF(ISBLANK(Invullen!E35),"",Invullen!E35)</f>
        <v>43121</v>
      </c>
      <c r="D37" s="151">
        <f>IF(ISBLANK(Invullen!F35),"",Invullen!F35)</f>
        <v>5119</v>
      </c>
      <c r="E37" s="151">
        <f>IF(ISBLANK(Invullen!G35),"",Invullen!G35)</f>
        <v>227</v>
      </c>
      <c r="F37" s="149">
        <f>IF(ISBLANK(Invullen!K35),"",Invullen!K35)</f>
        <v>1815</v>
      </c>
      <c r="G37" s="152" t="str">
        <f>IF(ISBLANK(Invullen!L35),"",Invullen!L35)</f>
        <v/>
      </c>
      <c r="H37" s="185">
        <f>IF(ISBLANK(Invullen!M35),"",Invullen!M35)</f>
        <v>40</v>
      </c>
      <c r="I37" s="188">
        <f>IF(ISBLANK(Invullen!N35),"",Invullen!N35)</f>
        <v>25</v>
      </c>
      <c r="J37" s="189">
        <f>IF(ISBLANK(Invullen!N35),"",I37*$J$3)</f>
        <v>0</v>
      </c>
      <c r="K37" s="188" t="str">
        <f>IF(ISBLANK(Invullen!O35),"",Invullen!O35)</f>
        <v/>
      </c>
      <c r="L37" s="189" t="str">
        <f>IF(ISBLANK(Invullen!O35),"",K37*$L$3)</f>
        <v/>
      </c>
      <c r="M37" s="192"/>
    </row>
    <row r="38" spans="1:13" x14ac:dyDescent="0.3">
      <c r="A38" s="148">
        <f>Invullen!A36</f>
        <v>32</v>
      </c>
      <c r="B38" s="149">
        <f>IF(ISBLANK(Invullen!D36),"",Invullen!D36)</f>
        <v>1825</v>
      </c>
      <c r="C38" s="150">
        <f>IF(ISBLANK(Invullen!E36),"",Invullen!E36)</f>
        <v>43121</v>
      </c>
      <c r="D38" s="151">
        <f>IF(ISBLANK(Invullen!F36),"",Invullen!F36)</f>
        <v>5118</v>
      </c>
      <c r="E38" s="151">
        <f>IF(ISBLANK(Invullen!G36),"",Invullen!G36)</f>
        <v>226</v>
      </c>
      <c r="F38" s="149">
        <f>IF(ISBLANK(Invullen!K36),"",Invullen!K36)</f>
        <v>1950</v>
      </c>
      <c r="G38" s="152" t="str">
        <f>IF(ISBLANK(Invullen!L36),"",Invullen!L36)</f>
        <v/>
      </c>
      <c r="H38" s="185">
        <f>IF(ISBLANK(Invullen!M36),"",Invullen!M36)</f>
        <v>60</v>
      </c>
      <c r="I38" s="188">
        <f>IF(ISBLANK(Invullen!N36),"",Invullen!N36)</f>
        <v>45</v>
      </c>
      <c r="J38" s="189">
        <f>IF(ISBLANK(Invullen!N36),"",I38*$J$3)</f>
        <v>0</v>
      </c>
      <c r="K38" s="188" t="str">
        <f>IF(ISBLANK(Invullen!O36),"",Invullen!O36)</f>
        <v/>
      </c>
      <c r="L38" s="189" t="str">
        <f>IF(ISBLANK(Invullen!O36),"",K38*$L$3)</f>
        <v/>
      </c>
      <c r="M38" s="192"/>
    </row>
    <row r="39" spans="1:13" x14ac:dyDescent="0.3">
      <c r="A39" s="148">
        <f>Invullen!A37</f>
        <v>33</v>
      </c>
      <c r="B39" s="149">
        <f>IF(ISBLANK(Invullen!D37),"",Invullen!D37)</f>
        <v>2000</v>
      </c>
      <c r="C39" s="150">
        <f>IF(ISBLANK(Invullen!E37),"",Invullen!E37)</f>
        <v>43121</v>
      </c>
      <c r="D39" s="151">
        <f>IF(ISBLANK(Invullen!F37),"",Invullen!F37)</f>
        <v>5118</v>
      </c>
      <c r="E39" s="151">
        <f>IF(ISBLANK(Invullen!G37),"",Invullen!G37)</f>
        <v>226</v>
      </c>
      <c r="F39" s="149">
        <f>IF(ISBLANK(Invullen!K37),"",Invullen!K37)</f>
        <v>2120</v>
      </c>
      <c r="G39" s="152" t="str">
        <f>IF(ISBLANK(Invullen!L37),"",Invullen!L37)</f>
        <v/>
      </c>
      <c r="H39" s="185">
        <f>IF(ISBLANK(Invullen!M37),"",Invullen!M37)</f>
        <v>45</v>
      </c>
      <c r="I39" s="188">
        <f>IF(ISBLANK(Invullen!N37),"",Invullen!N37)</f>
        <v>35</v>
      </c>
      <c r="J39" s="189">
        <f>IF(ISBLANK(Invullen!N37),"",I39*$J$3)</f>
        <v>0</v>
      </c>
      <c r="K39" s="188" t="str">
        <f>IF(ISBLANK(Invullen!O37),"",Invullen!O37)</f>
        <v/>
      </c>
      <c r="L39" s="189" t="str">
        <f>IF(ISBLANK(Invullen!O37),"",K39*$L$3)</f>
        <v/>
      </c>
      <c r="M39" s="192"/>
    </row>
    <row r="40" spans="1:13" x14ac:dyDescent="0.3">
      <c r="A40" s="148">
        <f>Invullen!A38</f>
        <v>34</v>
      </c>
      <c r="B40" s="149">
        <f>IF(ISBLANK(Invullen!D38),"",Invullen!D38)</f>
        <v>2130</v>
      </c>
      <c r="C40" s="150">
        <f>IF(ISBLANK(Invullen!E38),"",Invullen!E38)</f>
        <v>43121</v>
      </c>
      <c r="D40" s="151">
        <f>IF(ISBLANK(Invullen!F38),"",Invullen!F38)</f>
        <v>5118</v>
      </c>
      <c r="E40" s="151">
        <f>IF(ISBLANK(Invullen!G38),"",Invullen!G38)</f>
        <v>226</v>
      </c>
      <c r="F40" s="149">
        <f>IF(ISBLANK(Invullen!K38),"",Invullen!K38)</f>
        <v>2250</v>
      </c>
      <c r="G40" s="152" t="str">
        <f>IF(ISBLANK(Invullen!L38),"",Invullen!L38)</f>
        <v/>
      </c>
      <c r="H40" s="185">
        <f>IF(ISBLANK(Invullen!M38),"",Invullen!M38)</f>
        <v>35</v>
      </c>
      <c r="I40" s="188">
        <f>IF(ISBLANK(Invullen!N38),"",Invullen!N38)</f>
        <v>25</v>
      </c>
      <c r="J40" s="189">
        <f>IF(ISBLANK(Invullen!N38),"",I40*$J$3)</f>
        <v>0</v>
      </c>
      <c r="K40" s="188" t="str">
        <f>IF(ISBLANK(Invullen!O38),"",Invullen!O38)</f>
        <v/>
      </c>
      <c r="L40" s="189" t="str">
        <f>IF(ISBLANK(Invullen!O38),"",K40*$L$3)</f>
        <v/>
      </c>
      <c r="M40" s="192"/>
    </row>
    <row r="41" spans="1:13" x14ac:dyDescent="0.3">
      <c r="A41" s="148">
        <f>Invullen!A39</f>
        <v>35</v>
      </c>
      <c r="B41" s="149">
        <f>IF(ISBLANK(Invullen!D39),"",Invullen!D39)</f>
        <v>2300</v>
      </c>
      <c r="C41" s="150">
        <f>IF(ISBLANK(Invullen!E39),"",Invullen!E39)</f>
        <v>43121</v>
      </c>
      <c r="D41" s="151">
        <f>IF(ISBLANK(Invullen!F39),"",Invullen!F39)</f>
        <v>5118</v>
      </c>
      <c r="E41" s="151">
        <f>IF(ISBLANK(Invullen!G39),"",Invullen!G39)</f>
        <v>226</v>
      </c>
      <c r="F41" s="149">
        <f>IF(ISBLANK(Invullen!K39),"",Invullen!K39)</f>
        <v>20</v>
      </c>
      <c r="G41" s="152" t="str">
        <f>IF(ISBLANK(Invullen!L39),"",Invullen!L39)</f>
        <v/>
      </c>
      <c r="H41" s="185">
        <f>IF(ISBLANK(Invullen!M39),"",Invullen!M39)</f>
        <v>35</v>
      </c>
      <c r="I41" s="188">
        <f>IF(ISBLANK(Invullen!N39),"",Invullen!N39)</f>
        <v>25</v>
      </c>
      <c r="J41" s="189">
        <f>IF(ISBLANK(Invullen!N39),"",I41*$J$3)</f>
        <v>0</v>
      </c>
      <c r="K41" s="188" t="str">
        <f>IF(ISBLANK(Invullen!O39),"",Invullen!O39)</f>
        <v/>
      </c>
      <c r="L41" s="189" t="str">
        <f>IF(ISBLANK(Invullen!O39),"",K41*$L$3)</f>
        <v/>
      </c>
      <c r="M41" s="192"/>
    </row>
    <row r="42" spans="1:13" x14ac:dyDescent="0.3">
      <c r="A42" s="148">
        <f>Invullen!A40</f>
        <v>36</v>
      </c>
      <c r="B42" s="149">
        <f>IF(ISBLANK(Invullen!D40),"",Invullen!D40)</f>
        <v>30</v>
      </c>
      <c r="C42" s="150">
        <f>IF(ISBLANK(Invullen!E40),"",Invullen!E40)</f>
        <v>43122</v>
      </c>
      <c r="D42" s="151">
        <f>IF(ISBLANK(Invullen!F40),"",Invullen!F40)</f>
        <v>5119</v>
      </c>
      <c r="E42" s="151">
        <f>IF(ISBLANK(Invullen!G40),"",Invullen!G40)</f>
        <v>227</v>
      </c>
      <c r="F42" s="149">
        <f>IF(ISBLANK(Invullen!K40),"",Invullen!K40)</f>
        <v>155</v>
      </c>
      <c r="G42" s="152" t="str">
        <f>IF(ISBLANK(Invullen!L40),"",Invullen!L40)</f>
        <v/>
      </c>
      <c r="H42" s="185">
        <f>IF(ISBLANK(Invullen!M40),"",Invullen!M40)</f>
        <v>40</v>
      </c>
      <c r="I42" s="188">
        <f>IF(ISBLANK(Invullen!N40),"",Invullen!N40)</f>
        <v>25</v>
      </c>
      <c r="J42" s="189">
        <f>IF(ISBLANK(Invullen!N40),"",I42*$J$3)</f>
        <v>0</v>
      </c>
      <c r="K42" s="188" t="str">
        <f>IF(ISBLANK(Invullen!O40),"",Invullen!O40)</f>
        <v/>
      </c>
      <c r="L42" s="189" t="str">
        <f>IF(ISBLANK(Invullen!O40),"",K42*$L$3)</f>
        <v/>
      </c>
      <c r="M42" s="192"/>
    </row>
    <row r="43" spans="1:13" x14ac:dyDescent="0.3">
      <c r="A43" s="148">
        <f>Invullen!A41</f>
        <v>37</v>
      </c>
      <c r="B43" s="149">
        <f>IF(ISBLANK(Invullen!D41),"",Invullen!D41)</f>
        <v>215</v>
      </c>
      <c r="C43" s="150">
        <f>IF(ISBLANK(Invullen!E41),"",Invullen!E41)</f>
        <v>43122</v>
      </c>
      <c r="D43" s="151">
        <f>IF(ISBLANK(Invullen!F41),"",Invullen!F41)</f>
        <v>5120</v>
      </c>
      <c r="E43" s="151">
        <f>IF(ISBLANK(Invullen!G41),"",Invullen!G41)</f>
        <v>228</v>
      </c>
      <c r="F43" s="149">
        <f>IF(ISBLANK(Invullen!K41),"",Invullen!K41)</f>
        <v>335</v>
      </c>
      <c r="G43" s="152" t="str">
        <f>IF(ISBLANK(Invullen!L41),"",Invullen!L41)</f>
        <v/>
      </c>
      <c r="H43" s="185">
        <f>IF(ISBLANK(Invullen!M41),"",Invullen!M41)</f>
        <v>30</v>
      </c>
      <c r="I43" s="188">
        <f>IF(ISBLANK(Invullen!N41),"",Invullen!N41)</f>
        <v>10</v>
      </c>
      <c r="J43" s="189">
        <f>IF(ISBLANK(Invullen!N41),"",I43*$J$3)</f>
        <v>0</v>
      </c>
      <c r="K43" s="188" t="str">
        <f>IF(ISBLANK(Invullen!O41),"",Invullen!O41)</f>
        <v/>
      </c>
      <c r="L43" s="189" t="str">
        <f>IF(ISBLANK(Invullen!O41),"",K43*$L$3)</f>
        <v/>
      </c>
      <c r="M43" s="192"/>
    </row>
    <row r="44" spans="1:13" x14ac:dyDescent="0.3">
      <c r="A44" s="148">
        <f>Invullen!A42</f>
        <v>38</v>
      </c>
      <c r="B44" s="149">
        <f>IF(ISBLANK(Invullen!D42),"",Invullen!D42)</f>
        <v>345</v>
      </c>
      <c r="C44" s="150">
        <f>IF(ISBLANK(Invullen!E42),"",Invullen!E42)</f>
        <v>43122</v>
      </c>
      <c r="D44" s="151">
        <f>IF(ISBLANK(Invullen!F42),"",Invullen!F42)</f>
        <v>5117</v>
      </c>
      <c r="E44" s="151">
        <f>IF(ISBLANK(Invullen!G42),"",Invullen!G42)</f>
        <v>226</v>
      </c>
      <c r="F44" s="149">
        <f>IF(ISBLANK(Invullen!K42),"",Invullen!K42)</f>
        <v>505</v>
      </c>
      <c r="G44" s="152" t="str">
        <f>IF(ISBLANK(Invullen!L42),"",Invullen!L42)</f>
        <v/>
      </c>
      <c r="H44" s="185">
        <f>IF(ISBLANK(Invullen!M42),"",Invullen!M42)</f>
        <v>40</v>
      </c>
      <c r="I44" s="188">
        <f>IF(ISBLANK(Invullen!N42),"",Invullen!N42)</f>
        <v>20</v>
      </c>
      <c r="J44" s="189">
        <f>IF(ISBLANK(Invullen!N42),"",I44*$J$3)</f>
        <v>0</v>
      </c>
      <c r="K44" s="188" t="str">
        <f>IF(ISBLANK(Invullen!O42),"",Invullen!O42)</f>
        <v/>
      </c>
      <c r="L44" s="189" t="str">
        <f>IF(ISBLANK(Invullen!O42),"",K44*$L$3)</f>
        <v/>
      </c>
      <c r="M44" s="192"/>
    </row>
    <row r="45" spans="1:13" x14ac:dyDescent="0.3">
      <c r="A45" s="148">
        <f>Invullen!A43</f>
        <v>39</v>
      </c>
      <c r="B45" s="149">
        <f>IF(ISBLANK(Invullen!D43),"",Invullen!D43)</f>
        <v>520</v>
      </c>
      <c r="C45" s="150">
        <f>IF(ISBLANK(Invullen!E43),"",Invullen!E43)</f>
        <v>43122</v>
      </c>
      <c r="D45" s="151">
        <f>IF(ISBLANK(Invullen!F43),"",Invullen!F43)</f>
        <v>5119</v>
      </c>
      <c r="E45" s="151">
        <f>IF(ISBLANK(Invullen!G43),"",Invullen!G43)</f>
        <v>228</v>
      </c>
      <c r="F45" s="149">
        <f>IF(ISBLANK(Invullen!K43),"",Invullen!K43)</f>
        <v>640</v>
      </c>
      <c r="G45" s="152" t="str">
        <f>IF(ISBLANK(Invullen!L43),"",Invullen!L43)</f>
        <v/>
      </c>
      <c r="H45" s="185">
        <f>IF(ISBLANK(Invullen!M43),"",Invullen!M43)</f>
        <v>40</v>
      </c>
      <c r="I45" s="188">
        <f>IF(ISBLANK(Invullen!N43),"",Invullen!N43)</f>
        <v>20</v>
      </c>
      <c r="J45" s="189">
        <f>IF(ISBLANK(Invullen!N43),"",I45*$J$3)</f>
        <v>0</v>
      </c>
      <c r="K45" s="188" t="str">
        <f>IF(ISBLANK(Invullen!O43),"",Invullen!O43)</f>
        <v/>
      </c>
      <c r="L45" s="189" t="str">
        <f>IF(ISBLANK(Invullen!O43),"",K45*$L$3)</f>
        <v/>
      </c>
      <c r="M45" s="192"/>
    </row>
    <row r="46" spans="1:13" x14ac:dyDescent="0.3">
      <c r="A46" s="148">
        <f>Invullen!A44</f>
        <v>40</v>
      </c>
      <c r="B46" s="149">
        <f>IF(ISBLANK(Invullen!D44),"",Invullen!D44)</f>
        <v>700</v>
      </c>
      <c r="C46" s="150">
        <f>IF(ISBLANK(Invullen!E44),"",Invullen!E44)</f>
        <v>43122</v>
      </c>
      <c r="D46" s="151">
        <f>IF(ISBLANK(Invullen!F44),"",Invullen!F44)</f>
        <v>5115</v>
      </c>
      <c r="E46" s="151">
        <f>IF(ISBLANK(Invullen!G44),"",Invullen!G44)</f>
        <v>223</v>
      </c>
      <c r="F46" s="149">
        <f>IF(ISBLANK(Invullen!K44),"",Invullen!K44)</f>
        <v>820</v>
      </c>
      <c r="G46" s="152" t="str">
        <f>IF(ISBLANK(Invullen!L44),"",Invullen!L44)</f>
        <v/>
      </c>
      <c r="H46" s="185">
        <f>IF(ISBLANK(Invullen!M44),"",Invullen!M44)</f>
        <v>45</v>
      </c>
      <c r="I46" s="188">
        <f>IF(ISBLANK(Invullen!N44),"",Invullen!N44)</f>
        <v>25</v>
      </c>
      <c r="J46" s="189">
        <f>IF(ISBLANK(Invullen!N44),"",I46*$J$3)</f>
        <v>0</v>
      </c>
      <c r="K46" s="188" t="str">
        <f>IF(ISBLANK(Invullen!O44),"",Invullen!O44)</f>
        <v/>
      </c>
      <c r="L46" s="189" t="str">
        <f>IF(ISBLANK(Invullen!O44),"",K46*$L$3)</f>
        <v/>
      </c>
      <c r="M46" s="192"/>
    </row>
    <row r="47" spans="1:13" x14ac:dyDescent="0.3">
      <c r="A47" s="148">
        <f>Invullen!A45</f>
        <v>41</v>
      </c>
      <c r="B47" s="149">
        <f>IF(ISBLANK(Invullen!D45),"",Invullen!D45)</f>
        <v>830</v>
      </c>
      <c r="C47" s="150">
        <f>IF(ISBLANK(Invullen!E45),"",Invullen!E45)</f>
        <v>43122</v>
      </c>
      <c r="D47" s="151">
        <f>IF(ISBLANK(Invullen!F45),"",Invullen!F45)</f>
        <v>5116</v>
      </c>
      <c r="E47" s="151">
        <f>IF(ISBLANK(Invullen!G45),"",Invullen!G45)</f>
        <v>225</v>
      </c>
      <c r="F47" s="149">
        <f>IF(ISBLANK(Invullen!K45),"",Invullen!K45)</f>
        <v>950</v>
      </c>
      <c r="G47" s="152" t="str">
        <f>IF(ISBLANK(Invullen!L45),"",Invullen!L45)</f>
        <v/>
      </c>
      <c r="H47" s="185">
        <f>IF(ISBLANK(Invullen!M45),"",Invullen!M45)</f>
        <v>45</v>
      </c>
      <c r="I47" s="188">
        <f>IF(ISBLANK(Invullen!N45),"",Invullen!N45)</f>
        <v>25</v>
      </c>
      <c r="J47" s="189">
        <f>IF(ISBLANK(Invullen!N45),"",I47*$J$3)</f>
        <v>0</v>
      </c>
      <c r="K47" s="188" t="str">
        <f>IF(ISBLANK(Invullen!O45),"",Invullen!O45)</f>
        <v/>
      </c>
      <c r="L47" s="189" t="str">
        <f>IF(ISBLANK(Invullen!O45),"",K47*$L$3)</f>
        <v/>
      </c>
      <c r="M47" s="192"/>
    </row>
    <row r="48" spans="1:13" x14ac:dyDescent="0.3">
      <c r="A48" s="148">
        <f>Invullen!A46</f>
        <v>42</v>
      </c>
      <c r="B48" s="149">
        <f>IF(ISBLANK(Invullen!D46),"",Invullen!D46)</f>
        <v>1010</v>
      </c>
      <c r="C48" s="150">
        <f>IF(ISBLANK(Invullen!E46),"",Invullen!E46)</f>
        <v>43122</v>
      </c>
      <c r="D48" s="151">
        <f>IF(ISBLANK(Invullen!F46),"",Invullen!F46)</f>
        <v>5116</v>
      </c>
      <c r="E48" s="151">
        <f>IF(ISBLANK(Invullen!G46),"",Invullen!G46)</f>
        <v>224</v>
      </c>
      <c r="F48" s="149">
        <f>IF(ISBLANK(Invullen!K46),"",Invullen!K46)</f>
        <v>1135</v>
      </c>
      <c r="G48" s="152" t="str">
        <f>IF(ISBLANK(Invullen!L46),"",Invullen!L46)</f>
        <v/>
      </c>
      <c r="H48" s="185">
        <f>IF(ISBLANK(Invullen!M46),"",Invullen!M46)</f>
        <v>30</v>
      </c>
      <c r="I48" s="188">
        <f>IF(ISBLANK(Invullen!N46),"",Invullen!N46)</f>
        <v>15</v>
      </c>
      <c r="J48" s="189">
        <f>IF(ISBLANK(Invullen!N46),"",I48*$J$3)</f>
        <v>0</v>
      </c>
      <c r="K48" s="188" t="str">
        <f>IF(ISBLANK(Invullen!O46),"",Invullen!O46)</f>
        <v/>
      </c>
      <c r="L48" s="189" t="str">
        <f>IF(ISBLANK(Invullen!O46),"",K48*$L$3)</f>
        <v/>
      </c>
      <c r="M48" s="192"/>
    </row>
    <row r="49" spans="1:13" x14ac:dyDescent="0.3">
      <c r="A49" s="148">
        <f>Invullen!A47</f>
        <v>43</v>
      </c>
      <c r="B49" s="149">
        <f>IF(ISBLANK(Invullen!D47),"",Invullen!D47)</f>
        <v>1145</v>
      </c>
      <c r="C49" s="150">
        <f>IF(ISBLANK(Invullen!E47),"",Invullen!E47)</f>
        <v>43122</v>
      </c>
      <c r="D49" s="151">
        <f>IF(ISBLANK(Invullen!F47),"",Invullen!F47)</f>
        <v>5117</v>
      </c>
      <c r="E49" s="151">
        <f>IF(ISBLANK(Invullen!G47),"",Invullen!G47)</f>
        <v>224</v>
      </c>
      <c r="F49" s="149">
        <f>IF(ISBLANK(Invullen!K47),"",Invullen!K47)</f>
        <v>1300</v>
      </c>
      <c r="G49" s="152" t="str">
        <f>IF(ISBLANK(Invullen!L47),"",Invullen!L47)</f>
        <v/>
      </c>
      <c r="H49" s="185">
        <f>IF(ISBLANK(Invullen!M47),"",Invullen!M47)</f>
        <v>20</v>
      </c>
      <c r="I49" s="188">
        <f>IF(ISBLANK(Invullen!N47),"",Invullen!N47)</f>
        <v>15</v>
      </c>
      <c r="J49" s="189">
        <f>IF(ISBLANK(Invullen!N47),"",I49*$J$3)</f>
        <v>0</v>
      </c>
      <c r="K49" s="188" t="str">
        <f>IF(ISBLANK(Invullen!O47),"",Invullen!O47)</f>
        <v/>
      </c>
      <c r="L49" s="189" t="str">
        <f>IF(ISBLANK(Invullen!O47),"",K49*$L$3)</f>
        <v/>
      </c>
      <c r="M49" s="192"/>
    </row>
    <row r="50" spans="1:13" x14ac:dyDescent="0.3">
      <c r="A50" s="148">
        <f>Invullen!A48</f>
        <v>44</v>
      </c>
      <c r="B50" s="149">
        <f>IF(ISBLANK(Invullen!D48),"",Invullen!D48)</f>
        <v>1310</v>
      </c>
      <c r="C50" s="150">
        <f>IF(ISBLANK(Invullen!E48),"",Invullen!E48)</f>
        <v>43122</v>
      </c>
      <c r="D50" s="151">
        <f>IF(ISBLANK(Invullen!F48),"",Invullen!F48)</f>
        <v>5114</v>
      </c>
      <c r="E50" s="151">
        <f>IF(ISBLANK(Invullen!G48),"",Invullen!G48)</f>
        <v>222</v>
      </c>
      <c r="F50" s="149">
        <f>IF(ISBLANK(Invullen!K48),"",Invullen!K48)</f>
        <v>1410</v>
      </c>
      <c r="G50" s="152" t="str">
        <f>IF(ISBLANK(Invullen!L48),"",Invullen!L48)</f>
        <v/>
      </c>
      <c r="H50" s="185">
        <f>IF(ISBLANK(Invullen!M48),"",Invullen!M48)</f>
        <v>20</v>
      </c>
      <c r="I50" s="188">
        <f>IF(ISBLANK(Invullen!N48),"",Invullen!N48)</f>
        <v>10</v>
      </c>
      <c r="J50" s="189">
        <f>IF(ISBLANK(Invullen!N48),"",I50*$J$3)</f>
        <v>0</v>
      </c>
      <c r="K50" s="188" t="str">
        <f>IF(ISBLANK(Invullen!O48),"",Invullen!O48)</f>
        <v/>
      </c>
      <c r="L50" s="189" t="str">
        <f>IF(ISBLANK(Invullen!O48),"",K50*$L$3)</f>
        <v/>
      </c>
      <c r="M50" s="192"/>
    </row>
    <row r="51" spans="1:13" x14ac:dyDescent="0.3">
      <c r="A51" s="148">
        <f>Invullen!A49</f>
        <v>45</v>
      </c>
      <c r="B51" s="149">
        <f>IF(ISBLANK(Invullen!D49),"",Invullen!D49)</f>
        <v>1515</v>
      </c>
      <c r="C51" s="150">
        <f>IF(ISBLANK(Invullen!E49),"",Invullen!E49)</f>
        <v>43122</v>
      </c>
      <c r="D51" s="151">
        <f>IF(ISBLANK(Invullen!F49),"",Invullen!F49)</f>
        <v>5117</v>
      </c>
      <c r="E51" s="151">
        <f>IF(ISBLANK(Invullen!G49),"",Invullen!G49)</f>
        <v>225</v>
      </c>
      <c r="F51" s="149">
        <f>IF(ISBLANK(Invullen!K50),"",Invullen!K50)</f>
        <v>1530</v>
      </c>
      <c r="G51" s="152" t="str">
        <f>IF(ISBLANK(Invullen!L49),"",Invullen!L49)</f>
        <v/>
      </c>
      <c r="H51" s="185">
        <f>IF(ISBLANK(Invullen!M49),"",Invullen!M49)</f>
        <v>25</v>
      </c>
      <c r="I51" s="188">
        <f>IF(ISBLANK(Invullen!N49),"",Invullen!N49)</f>
        <v>15</v>
      </c>
      <c r="J51" s="189">
        <f>IF(ISBLANK(Invullen!N49),"",I51*$J$3)</f>
        <v>0</v>
      </c>
      <c r="K51" s="188" t="str">
        <f>IF(ISBLANK(Invullen!O49),"",Invullen!O49)</f>
        <v/>
      </c>
      <c r="L51" s="189" t="str">
        <f>IF(ISBLANK(Invullen!O49),"",K51*$L$3)</f>
        <v/>
      </c>
      <c r="M51" s="192"/>
    </row>
    <row r="52" spans="1:13" x14ac:dyDescent="0.3">
      <c r="A52" s="148">
        <f>Invullen!A50</f>
        <v>46</v>
      </c>
      <c r="B52" s="149">
        <f>IF(ISBLANK(Invullen!D50),"",Invullen!D50)</f>
        <v>1415</v>
      </c>
      <c r="C52" s="150">
        <f>IF(ISBLANK(Invullen!E50),"",Invullen!E50)</f>
        <v>43123</v>
      </c>
      <c r="D52" s="151">
        <f>IF(ISBLANK(Invullen!F50),"",Invullen!F50)</f>
        <v>5119</v>
      </c>
      <c r="E52" s="151">
        <f>IF(ISBLANK(Invullen!G50),"",Invullen!G50)</f>
        <v>229</v>
      </c>
      <c r="F52" s="149">
        <f>IF(ISBLANK(Invullen!K51),"",Invullen!K51)</f>
        <v>1655</v>
      </c>
      <c r="G52" s="152" t="str">
        <f>IF(ISBLANK(Invullen!L50),"",Invullen!L50)</f>
        <v/>
      </c>
      <c r="H52" s="185">
        <f>IF(ISBLANK(Invullen!M50),"",Invullen!M50)</f>
        <v>45</v>
      </c>
      <c r="I52" s="188">
        <f>IF(ISBLANK(Invullen!N50),"",Invullen!N50)</f>
        <v>25</v>
      </c>
      <c r="J52" s="189">
        <f>IF(ISBLANK(Invullen!N50),"",I52*$J$3)</f>
        <v>0</v>
      </c>
      <c r="K52" s="188" t="str">
        <f>IF(ISBLANK(Invullen!O50),"",Invullen!O50)</f>
        <v/>
      </c>
      <c r="L52" s="189" t="str">
        <f>IF(ISBLANK(Invullen!O50),"",K52*$L$3)</f>
        <v/>
      </c>
      <c r="M52" s="192"/>
    </row>
    <row r="53" spans="1:13" x14ac:dyDescent="0.3">
      <c r="A53" s="148">
        <f>Invullen!A51</f>
        <v>47</v>
      </c>
      <c r="B53" s="149">
        <f>IF(ISBLANK(Invullen!D51),"",Invullen!D51)</f>
        <v>1540</v>
      </c>
      <c r="C53" s="150">
        <f>IF(ISBLANK(Invullen!E51),"",Invullen!E51)</f>
        <v>43123</v>
      </c>
      <c r="D53" s="151">
        <f>IF(ISBLANK(Invullen!F51),"",Invullen!F51)</f>
        <v>5118</v>
      </c>
      <c r="E53" s="151">
        <f>IF(ISBLANK(Invullen!G51),"",Invullen!G51)</f>
        <v>228</v>
      </c>
      <c r="F53" s="149">
        <f>IF(ISBLANK(Invullen!K52),"",Invullen!K52)</f>
        <v>1830</v>
      </c>
      <c r="G53" s="152" t="str">
        <f>IF(ISBLANK(Invullen!L51),"",Invullen!L51)</f>
        <v/>
      </c>
      <c r="H53" s="185">
        <f>IF(ISBLANK(Invullen!M51),"",Invullen!M51)</f>
        <v>35</v>
      </c>
      <c r="I53" s="188">
        <f>IF(ISBLANK(Invullen!N51),"",Invullen!N51)</f>
        <v>20</v>
      </c>
      <c r="J53" s="189">
        <f>IF(ISBLANK(Invullen!N51),"",I53*$J$3)</f>
        <v>0</v>
      </c>
      <c r="K53" s="188" t="str">
        <f>IF(ISBLANK(Invullen!O51),"",Invullen!O51)</f>
        <v/>
      </c>
      <c r="L53" s="189" t="str">
        <f>IF(ISBLANK(Invullen!O51),"",K53*$L$3)</f>
        <v/>
      </c>
      <c r="M53" s="192"/>
    </row>
    <row r="54" spans="1:13" x14ac:dyDescent="0.3">
      <c r="A54" s="148">
        <f>Invullen!A52</f>
        <v>48</v>
      </c>
      <c r="B54" s="149">
        <f>IF(ISBLANK(Invullen!D52),"",Invullen!D52)</f>
        <v>1710</v>
      </c>
      <c r="C54" s="150">
        <f>IF(ISBLANK(Invullen!E52),"",Invullen!E52)</f>
        <v>43123</v>
      </c>
      <c r="D54" s="151">
        <f>IF(ISBLANK(Invullen!F52),"",Invullen!F52)</f>
        <v>5119</v>
      </c>
      <c r="E54" s="151">
        <f>IF(ISBLANK(Invullen!G52),"",Invullen!G52)</f>
        <v>229</v>
      </c>
      <c r="F54" s="149">
        <f>IF(ISBLANK(Invullen!K53),"",Invullen!K53)</f>
        <v>1850</v>
      </c>
      <c r="G54" s="152" t="str">
        <f>IF(ISBLANK(Invullen!L52),"",Invullen!L52)</f>
        <v/>
      </c>
      <c r="H54" s="185">
        <f>IF(ISBLANK(Invullen!M52),"",Invullen!M52)</f>
        <v>25</v>
      </c>
      <c r="I54" s="188">
        <f>IF(ISBLANK(Invullen!N52),"",Invullen!N52)</f>
        <v>10</v>
      </c>
      <c r="J54" s="189">
        <f>IF(ISBLANK(Invullen!N52),"",I54*$J$3)</f>
        <v>0</v>
      </c>
      <c r="K54" s="188" t="str">
        <f>IF(ISBLANK(Invullen!O52),"",Invullen!O52)</f>
        <v/>
      </c>
      <c r="L54" s="189" t="str">
        <f>IF(ISBLANK(Invullen!O52),"",K54*$L$3)</f>
        <v/>
      </c>
      <c r="M54" s="192"/>
    </row>
    <row r="55" spans="1:13" x14ac:dyDescent="0.3">
      <c r="A55" s="148">
        <f>Invullen!A53</f>
        <v>49</v>
      </c>
      <c r="B55" s="149">
        <f>IF(ISBLANK(Invullen!D53),"",Invullen!D53)</f>
        <v>1840</v>
      </c>
      <c r="C55" s="150">
        <f>IF(ISBLANK(Invullen!E53),"",Invullen!E53)</f>
        <v>43123</v>
      </c>
      <c r="D55" s="151">
        <f>IF(ISBLANK(Invullen!F53),"",Invullen!F53)</f>
        <v>5117</v>
      </c>
      <c r="E55" s="151">
        <f>IF(ISBLANK(Invullen!G53),"",Invullen!G53)</f>
        <v>226</v>
      </c>
      <c r="F55" s="149">
        <f>IF(ISBLANK(Invullen!K54),"",Invullen!K54)</f>
        <v>2115</v>
      </c>
      <c r="G55" s="152" t="str">
        <f>IF(ISBLANK(Invullen!L53),"",Invullen!L53)</f>
        <v/>
      </c>
      <c r="H55" s="185">
        <f>IF(ISBLANK(Invullen!M53),"",Invullen!M53)</f>
        <v>25</v>
      </c>
      <c r="I55" s="188">
        <f>IF(ISBLANK(Invullen!N53),"",Invullen!N53)</f>
        <v>10</v>
      </c>
      <c r="J55" s="189">
        <f>IF(ISBLANK(Invullen!N53),"",I55*$J$3)</f>
        <v>0</v>
      </c>
      <c r="K55" s="188" t="str">
        <f>IF(ISBLANK(Invullen!O53),"",Invullen!O53)</f>
        <v/>
      </c>
      <c r="L55" s="189" t="str">
        <f>IF(ISBLANK(Invullen!O53),"",K55*$L$3)</f>
        <v/>
      </c>
      <c r="M55" s="192"/>
    </row>
    <row r="56" spans="1:13" x14ac:dyDescent="0.3">
      <c r="A56" s="148">
        <f>Invullen!A54</f>
        <v>50</v>
      </c>
      <c r="B56" s="149">
        <f>IF(ISBLANK(Invullen!D54),"",Invullen!D54)</f>
        <v>2000</v>
      </c>
      <c r="C56" s="150">
        <f>IF(ISBLANK(Invullen!E54),"",Invullen!E54)</f>
        <v>43123</v>
      </c>
      <c r="D56" s="151">
        <f>IF(ISBLANK(Invullen!F54),"",Invullen!F54)</f>
        <v>5119</v>
      </c>
      <c r="E56" s="151">
        <f>IF(ISBLANK(Invullen!G54),"",Invullen!G54)</f>
        <v>222</v>
      </c>
      <c r="F56" s="149">
        <f>IF(ISBLANK(Invullen!K55),"",Invullen!K55)</f>
        <v>2240</v>
      </c>
      <c r="G56" s="152" t="str">
        <f>IF(ISBLANK(Invullen!L54),"",Invullen!L54)</f>
        <v/>
      </c>
      <c r="H56" s="185">
        <f>IF(ISBLANK(Invullen!M54),"",Invullen!M54)</f>
        <v>35</v>
      </c>
      <c r="I56" s="188">
        <f>IF(ISBLANK(Invullen!N54),"",Invullen!N54)</f>
        <v>20</v>
      </c>
      <c r="J56" s="189">
        <f>IF(ISBLANK(Invullen!N54),"",I56*$J$3)</f>
        <v>0</v>
      </c>
      <c r="K56" s="188" t="str">
        <f>IF(ISBLANK(Invullen!O54),"",Invullen!O54)</f>
        <v/>
      </c>
      <c r="L56" s="189" t="str">
        <f>IF(ISBLANK(Invullen!O54),"",K56*$L$3)</f>
        <v/>
      </c>
      <c r="M56" s="192"/>
    </row>
    <row r="57" spans="1:13" x14ac:dyDescent="0.3">
      <c r="A57" s="148">
        <f>Invullen!A55</f>
        <v>51</v>
      </c>
      <c r="B57" s="149">
        <f>IF(ISBLANK(Invullen!D55),"",Invullen!D55)</f>
        <v>2125</v>
      </c>
      <c r="C57" s="150">
        <f>IF(ISBLANK(Invullen!E55),"",Invullen!E55)</f>
        <v>43123</v>
      </c>
      <c r="D57" s="151">
        <f>IF(ISBLANK(Invullen!F55),"",Invullen!F55)</f>
        <v>5118</v>
      </c>
      <c r="E57" s="151">
        <f>IF(ISBLANK(Invullen!G55),"",Invullen!G55)</f>
        <v>230</v>
      </c>
      <c r="F57" s="149">
        <f>IF(ISBLANK(Invullen!K56),"",Invullen!K56)</f>
        <v>10</v>
      </c>
      <c r="G57" s="152" t="str">
        <f>IF(ISBLANK(Invullen!L55),"",Invullen!L55)</f>
        <v/>
      </c>
      <c r="H57" s="185">
        <f>IF(ISBLANK(Invullen!M55),"",Invullen!M55)</f>
        <v>35</v>
      </c>
      <c r="I57" s="188">
        <f>IF(ISBLANK(Invullen!N55),"",Invullen!N55)</f>
        <v>20</v>
      </c>
      <c r="J57" s="189">
        <f>IF(ISBLANK(Invullen!N55),"",I57*$J$3)</f>
        <v>0</v>
      </c>
      <c r="K57" s="188" t="str">
        <f>IF(ISBLANK(Invullen!O55),"",Invullen!O55)</f>
        <v/>
      </c>
      <c r="L57" s="189" t="str">
        <f>IF(ISBLANK(Invullen!O55),"",K57*$L$3)</f>
        <v/>
      </c>
      <c r="M57" s="192"/>
    </row>
    <row r="58" spans="1:13" x14ac:dyDescent="0.3">
      <c r="A58" s="148">
        <f>Invullen!A56</f>
        <v>52</v>
      </c>
      <c r="B58" s="149">
        <f>IF(ISBLANK(Invullen!D56),"",Invullen!D56)</f>
        <v>2255</v>
      </c>
      <c r="C58" s="150">
        <f>IF(ISBLANK(Invullen!E56),"",Invullen!E56)</f>
        <v>43123</v>
      </c>
      <c r="D58" s="151">
        <f>IF(ISBLANK(Invullen!F56),"",Invullen!F56)</f>
        <v>5117</v>
      </c>
      <c r="E58" s="151">
        <f>IF(ISBLANK(Invullen!G56),"",Invullen!G56)</f>
        <v>230</v>
      </c>
      <c r="F58" s="149">
        <f>IF(ISBLANK(Invullen!K57),"",Invullen!K57)</f>
        <v>155</v>
      </c>
      <c r="G58" s="152" t="str">
        <f>IF(ISBLANK(Invullen!L56),"",Invullen!L56)</f>
        <v/>
      </c>
      <c r="H58" s="185">
        <f>IF(ISBLANK(Invullen!M56),"",Invullen!M56)</f>
        <v>35</v>
      </c>
      <c r="I58" s="188">
        <f>IF(ISBLANK(Invullen!N56),"",Invullen!N56)</f>
        <v>20</v>
      </c>
      <c r="J58" s="189">
        <f>IF(ISBLANK(Invullen!N56),"",I58*$J$3)</f>
        <v>0</v>
      </c>
      <c r="K58" s="188" t="str">
        <f>IF(ISBLANK(Invullen!O56),"",Invullen!O56)</f>
        <v/>
      </c>
      <c r="L58" s="189" t="str">
        <f>IF(ISBLANK(Invullen!O56),"",K58*$L$3)</f>
        <v/>
      </c>
      <c r="M58" s="192"/>
    </row>
    <row r="59" spans="1:13" x14ac:dyDescent="0.3">
      <c r="A59" s="148">
        <f>Invullen!A57</f>
        <v>53</v>
      </c>
      <c r="B59" s="149">
        <f>IF(ISBLANK(Invullen!D57),"",Invullen!D57)</f>
        <v>25</v>
      </c>
      <c r="C59" s="150">
        <f>IF(ISBLANK(Invullen!E57),"",Invullen!E57)</f>
        <v>43124</v>
      </c>
      <c r="D59" s="151">
        <f>IF(ISBLANK(Invullen!F57),"",Invullen!F57)</f>
        <v>5117</v>
      </c>
      <c r="E59" s="151">
        <f>IF(ISBLANK(Invullen!G57),"",Invullen!G57)</f>
        <v>230</v>
      </c>
      <c r="F59" s="149">
        <f>IF(ISBLANK(Invullen!K58),"",Invullen!K58)</f>
        <v>335</v>
      </c>
      <c r="G59" s="152" t="str">
        <f>IF(ISBLANK(Invullen!L57),"",Invullen!L57)</f>
        <v/>
      </c>
      <c r="H59" s="185">
        <f>IF(ISBLANK(Invullen!M57),"",Invullen!M57)</f>
        <v>25</v>
      </c>
      <c r="I59" s="188">
        <f>IF(ISBLANK(Invullen!N57),"",Invullen!N57)</f>
        <v>10</v>
      </c>
      <c r="J59" s="189">
        <f>IF(ISBLANK(Invullen!N57),"",I59*$J$3)</f>
        <v>0</v>
      </c>
      <c r="K59" s="188" t="str">
        <f>IF(ISBLANK(Invullen!O57),"",Invullen!O57)</f>
        <v/>
      </c>
      <c r="L59" s="189" t="str">
        <f>IF(ISBLANK(Invullen!O57),"",K59*$L$3)</f>
        <v/>
      </c>
      <c r="M59" s="192"/>
    </row>
    <row r="60" spans="1:13" x14ac:dyDescent="0.3">
      <c r="A60" s="148">
        <f>Invullen!A58</f>
        <v>54</v>
      </c>
      <c r="B60" s="149">
        <f>IF(ISBLANK(Invullen!D58),"",Invullen!D58)</f>
        <v>215</v>
      </c>
      <c r="C60" s="150">
        <f>IF(ISBLANK(Invullen!E58),"",Invullen!E58)</f>
        <v>43124</v>
      </c>
      <c r="D60" s="151">
        <f>IF(ISBLANK(Invullen!F58),"",Invullen!F58)</f>
        <v>5117</v>
      </c>
      <c r="E60" s="151">
        <f>IF(ISBLANK(Invullen!G58),"",Invullen!G58)</f>
        <v>230</v>
      </c>
      <c r="F60" s="149">
        <f>IF(ISBLANK(Invullen!K59),"",Invullen!K59)</f>
        <v>505</v>
      </c>
      <c r="G60" s="152" t="str">
        <f>IF(ISBLANK(Invullen!L58),"",Invullen!L58)</f>
        <v/>
      </c>
      <c r="H60" s="185">
        <f>IF(ISBLANK(Invullen!M58),"",Invullen!M58)</f>
        <v>25</v>
      </c>
      <c r="I60" s="188">
        <f>IF(ISBLANK(Invullen!N58),"",Invullen!N58)</f>
        <v>10</v>
      </c>
      <c r="J60" s="189">
        <f>IF(ISBLANK(Invullen!N58),"",I60*$J$3)</f>
        <v>0</v>
      </c>
      <c r="K60" s="188" t="str">
        <f>IF(ISBLANK(Invullen!O58),"",Invullen!O58)</f>
        <v/>
      </c>
      <c r="L60" s="189" t="str">
        <f>IF(ISBLANK(Invullen!O58),"",K60*$L$3)</f>
        <v/>
      </c>
      <c r="M60" s="192"/>
    </row>
    <row r="61" spans="1:13" x14ac:dyDescent="0.3">
      <c r="A61" s="148">
        <f>Invullen!A59</f>
        <v>55</v>
      </c>
      <c r="B61" s="149">
        <f>IF(ISBLANK(Invullen!D59),"",Invullen!D59)</f>
        <v>345</v>
      </c>
      <c r="C61" s="150">
        <f>IF(ISBLANK(Invullen!E59),"",Invullen!E59)</f>
        <v>43124</v>
      </c>
      <c r="D61" s="151">
        <f>IF(ISBLANK(Invullen!F59),"",Invullen!F59)</f>
        <v>5120</v>
      </c>
      <c r="E61" s="151">
        <f>IF(ISBLANK(Invullen!G59),"",Invullen!G59)</f>
        <v>240</v>
      </c>
      <c r="F61" s="149">
        <f>IF(ISBLANK(Invullen!K60),"",Invullen!K60)</f>
        <v>630</v>
      </c>
      <c r="G61" s="152" t="str">
        <f>IF(ISBLANK(Invullen!L59),"",Invullen!L59)</f>
        <v/>
      </c>
      <c r="H61" s="185">
        <f>IF(ISBLANK(Invullen!M59),"",Invullen!M59)</f>
        <v>25</v>
      </c>
      <c r="I61" s="188">
        <f>IF(ISBLANK(Invullen!N59),"",Invullen!N59)</f>
        <v>10</v>
      </c>
      <c r="J61" s="189">
        <f>IF(ISBLANK(Invullen!N59),"",I61*$J$3)</f>
        <v>0</v>
      </c>
      <c r="K61" s="188" t="str">
        <f>IF(ISBLANK(Invullen!O59),"",Invullen!O59)</f>
        <v/>
      </c>
      <c r="L61" s="189" t="str">
        <f>IF(ISBLANK(Invullen!O59),"",K61*$L$3)</f>
        <v/>
      </c>
      <c r="M61" s="192"/>
    </row>
    <row r="62" spans="1:13" x14ac:dyDescent="0.3">
      <c r="A62" s="148">
        <f>Invullen!A60</f>
        <v>56</v>
      </c>
      <c r="B62" s="149">
        <f>IF(ISBLANK(Invullen!D60),"",Invullen!D60)</f>
        <v>515</v>
      </c>
      <c r="C62" s="150">
        <f>IF(ISBLANK(Invullen!E60),"",Invullen!E60)</f>
        <v>43124</v>
      </c>
      <c r="D62" s="151">
        <f>IF(ISBLANK(Invullen!F60),"",Invullen!F60)</f>
        <v>5124</v>
      </c>
      <c r="E62" s="151">
        <f>IF(ISBLANK(Invullen!G60),"",Invullen!G60)</f>
        <v>247</v>
      </c>
      <c r="F62" s="149">
        <f>IF(ISBLANK(Invullen!K61),"",Invullen!K61)</f>
        <v>800</v>
      </c>
      <c r="G62" s="152" t="str">
        <f>IF(ISBLANK(Invullen!L60),"",Invullen!L60)</f>
        <v/>
      </c>
      <c r="H62" s="185">
        <f>IF(ISBLANK(Invullen!M60),"",Invullen!M60)</f>
        <v>35</v>
      </c>
      <c r="I62" s="188">
        <f>IF(ISBLANK(Invullen!N60),"",Invullen!N60)</f>
        <v>20</v>
      </c>
      <c r="J62" s="189">
        <f>IF(ISBLANK(Invullen!N60),"",I62*$J$3)</f>
        <v>0</v>
      </c>
      <c r="K62" s="188" t="str">
        <f>IF(ISBLANK(Invullen!O60),"",Invullen!O60)</f>
        <v/>
      </c>
      <c r="L62" s="189" t="str">
        <f>IF(ISBLANK(Invullen!O60),"",K62*$L$3)</f>
        <v/>
      </c>
      <c r="M62" s="192"/>
    </row>
    <row r="63" spans="1:13" x14ac:dyDescent="0.3">
      <c r="A63" s="148">
        <f>Invullen!A61</f>
        <v>57</v>
      </c>
      <c r="B63" s="149">
        <f>IF(ISBLANK(Invullen!D61),"",Invullen!D61)</f>
        <v>640</v>
      </c>
      <c r="C63" s="150">
        <f>IF(ISBLANK(Invullen!E61),"",Invullen!E61)</f>
        <v>43124</v>
      </c>
      <c r="D63" s="151">
        <f>IF(ISBLANK(Invullen!F61),"",Invullen!F61)</f>
        <v>5128</v>
      </c>
      <c r="E63" s="151">
        <f>IF(ISBLANK(Invullen!G61),"",Invullen!G61)</f>
        <v>258</v>
      </c>
      <c r="F63" s="149">
        <f>IF(ISBLANK(Invullen!K62),"",Invullen!K62)</f>
        <v>940</v>
      </c>
      <c r="G63" s="152" t="str">
        <f>IF(ISBLANK(Invullen!L61),"",Invullen!L61)</f>
        <v/>
      </c>
      <c r="H63" s="185">
        <f>IF(ISBLANK(Invullen!M61),"",Invullen!M61)</f>
        <v>35</v>
      </c>
      <c r="I63" s="188">
        <f>IF(ISBLANK(Invullen!N61),"",Invullen!N61)</f>
        <v>20</v>
      </c>
      <c r="J63" s="189">
        <f>IF(ISBLANK(Invullen!N61),"",I63*$J$3)</f>
        <v>0</v>
      </c>
      <c r="K63" s="188" t="str">
        <f>IF(ISBLANK(Invullen!O61),"",Invullen!O61)</f>
        <v/>
      </c>
      <c r="L63" s="189" t="str">
        <f>IF(ISBLANK(Invullen!O61),"",K63*$L$3)</f>
        <v/>
      </c>
      <c r="M63" s="192"/>
    </row>
    <row r="64" spans="1:13" x14ac:dyDescent="0.3">
      <c r="A64" s="148">
        <f>Invullen!A62</f>
        <v>58</v>
      </c>
      <c r="B64" s="149">
        <f>IF(ISBLANK(Invullen!D62),"",Invullen!D62)</f>
        <v>815</v>
      </c>
      <c r="C64" s="150">
        <f>IF(ISBLANK(Invullen!E62),"",Invullen!E62)</f>
        <v>43124</v>
      </c>
      <c r="D64" s="151">
        <f>IF(ISBLANK(Invullen!F62),"",Invullen!F62)</f>
        <v>5131</v>
      </c>
      <c r="E64" s="151">
        <f>IF(ISBLANK(Invullen!G62),"",Invullen!G62)</f>
        <v>305</v>
      </c>
      <c r="F64" s="149">
        <f>IF(ISBLANK(Invullen!K63),"",Invullen!K63)</f>
        <v>1105</v>
      </c>
      <c r="G64" s="152" t="str">
        <f>IF(ISBLANK(Invullen!L62),"",Invullen!L62)</f>
        <v/>
      </c>
      <c r="H64" s="185">
        <f>IF(ISBLANK(Invullen!M62),"",Invullen!M62)</f>
        <v>35</v>
      </c>
      <c r="I64" s="188">
        <f>IF(ISBLANK(Invullen!N62),"",Invullen!N62)</f>
        <v>15</v>
      </c>
      <c r="J64" s="189">
        <f>IF(ISBLANK(Invullen!N62),"",I64*$J$3)</f>
        <v>0</v>
      </c>
      <c r="K64" s="188" t="str">
        <f>IF(ISBLANK(Invullen!O62),"",Invullen!O62)</f>
        <v/>
      </c>
      <c r="L64" s="189" t="str">
        <f>IF(ISBLANK(Invullen!O62),"",K64*$L$3)</f>
        <v/>
      </c>
      <c r="M64" s="192"/>
    </row>
    <row r="65" spans="1:13" x14ac:dyDescent="0.3">
      <c r="A65" s="148">
        <f>Invullen!A63</f>
        <v>59</v>
      </c>
      <c r="B65" s="149">
        <f>IF(ISBLANK(Invullen!D63),"",Invullen!D63)</f>
        <v>950</v>
      </c>
      <c r="C65" s="150">
        <f>IF(ISBLANK(Invullen!E63),"",Invullen!E63)</f>
        <v>43124</v>
      </c>
      <c r="D65" s="151">
        <f>IF(ISBLANK(Invullen!F63),"",Invullen!F63)</f>
        <v>5129</v>
      </c>
      <c r="E65" s="151">
        <f>IF(ISBLANK(Invullen!G63),"",Invullen!G63)</f>
        <v>300</v>
      </c>
      <c r="F65" s="149">
        <f>IF(ISBLANK(Invullen!K64),"",Invullen!K64)</f>
        <v>1240</v>
      </c>
      <c r="G65" s="152" t="str">
        <f>IF(ISBLANK(Invullen!L63),"",Invullen!L63)</f>
        <v/>
      </c>
      <c r="H65" s="185">
        <f>IF(ISBLANK(Invullen!M63),"",Invullen!M63)</f>
        <v>25</v>
      </c>
      <c r="I65" s="188">
        <f>IF(ISBLANK(Invullen!N63),"",Invullen!N63)</f>
        <v>15</v>
      </c>
      <c r="J65" s="189">
        <f>IF(ISBLANK(Invullen!N63),"",I65*$J$3)</f>
        <v>0</v>
      </c>
      <c r="K65" s="188" t="str">
        <f>IF(ISBLANK(Invullen!O63),"",Invullen!O63)</f>
        <v/>
      </c>
      <c r="L65" s="189" t="str">
        <f>IF(ISBLANK(Invullen!O63),"",K65*$L$3)</f>
        <v/>
      </c>
      <c r="M65" s="192"/>
    </row>
    <row r="66" spans="1:13" x14ac:dyDescent="0.3">
      <c r="A66" s="148">
        <f>Invullen!A64</f>
        <v>60</v>
      </c>
      <c r="B66" s="149">
        <f>IF(ISBLANK(Invullen!D64),"",Invullen!D64)</f>
        <v>1120</v>
      </c>
      <c r="C66" s="150">
        <f>IF(ISBLANK(Invullen!E64),"",Invullen!E64)</f>
        <v>43124</v>
      </c>
      <c r="D66" s="151">
        <f>IF(ISBLANK(Invullen!F64),"",Invullen!F64)</f>
        <v>5127</v>
      </c>
      <c r="E66" s="151">
        <f>IF(ISBLANK(Invullen!G64),"",Invullen!G64)</f>
        <v>256</v>
      </c>
      <c r="F66" s="149">
        <f>IF(ISBLANK(Invullen!K65),"",Invullen!K65)</f>
        <v>1430</v>
      </c>
      <c r="G66" s="152" t="str">
        <f>IF(ISBLANK(Invullen!L64),"",Invullen!L64)</f>
        <v/>
      </c>
      <c r="H66" s="185">
        <f>IF(ISBLANK(Invullen!M64),"",Invullen!M64)</f>
        <v>25</v>
      </c>
      <c r="I66" s="188">
        <f>IF(ISBLANK(Invullen!N64),"",Invullen!N64)</f>
        <v>15</v>
      </c>
      <c r="J66" s="189">
        <f>IF(ISBLANK(Invullen!N64),"",I66*$J$3)</f>
        <v>0</v>
      </c>
      <c r="K66" s="188" t="str">
        <f>IF(ISBLANK(Invullen!O64),"",Invullen!O64)</f>
        <v/>
      </c>
      <c r="L66" s="189" t="str">
        <f>IF(ISBLANK(Invullen!O64),"",K66*$L$3)</f>
        <v/>
      </c>
      <c r="M66" s="192"/>
    </row>
    <row r="67" spans="1:13" x14ac:dyDescent="0.3">
      <c r="A67" s="148">
        <f>Invullen!A65</f>
        <v>61</v>
      </c>
      <c r="B67" s="149">
        <f>IF(ISBLANK(Invullen!D65),"",Invullen!D65)</f>
        <v>1250</v>
      </c>
      <c r="C67" s="150">
        <f>IF(ISBLANK(Invullen!E65),"",Invullen!E65)</f>
        <v>43124</v>
      </c>
      <c r="D67" s="151">
        <f>IF(ISBLANK(Invullen!F65),"",Invullen!F65)</f>
        <v>5128</v>
      </c>
      <c r="E67" s="151">
        <f>IF(ISBLANK(Invullen!G65),"",Invullen!G65)</f>
        <v>256</v>
      </c>
      <c r="F67" s="149" t="str">
        <f>IF(ISBLANK(Invullen!K66),"",Invullen!K66)</f>
        <v/>
      </c>
      <c r="G67" s="152" t="str">
        <f>IF(ISBLANK(Invullen!L65),"",Invullen!L65)</f>
        <v/>
      </c>
      <c r="H67" s="185" t="str">
        <f>IF(ISBLANK(Invullen!M65),"",Invullen!M65)</f>
        <v/>
      </c>
      <c r="I67" s="188">
        <f>IF(ISBLANK(Invullen!N65),"",Invullen!N65)</f>
        <v>15</v>
      </c>
      <c r="J67" s="189">
        <f>IF(ISBLANK(Invullen!N65),"",I67*$J$3)</f>
        <v>0</v>
      </c>
      <c r="K67" s="188" t="str">
        <f>IF(ISBLANK(Invullen!O65),"",Invullen!O65)</f>
        <v/>
      </c>
      <c r="L67" s="189" t="str">
        <f>IF(ISBLANK(Invullen!O65),"",K67*$L$3)</f>
        <v/>
      </c>
      <c r="M67" s="192"/>
    </row>
    <row r="68" spans="1:13" x14ac:dyDescent="0.3">
      <c r="A68" s="148">
        <f>Invullen!A66</f>
        <v>62</v>
      </c>
      <c r="B68" s="149" t="str">
        <f>IF(ISBLANK(Invullen!D66),"",Invullen!D66)</f>
        <v/>
      </c>
      <c r="C68" s="150" t="str">
        <f>IF(ISBLANK(Invullen!E66),"",Invullen!E66)</f>
        <v>vul eerst tijd zetten in</v>
      </c>
      <c r="D68" s="151" t="str">
        <f>IF(ISBLANK(Invullen!F66),"",Invullen!F66)</f>
        <v/>
      </c>
      <c r="E68" s="151" t="str">
        <f>IF(ISBLANK(Invullen!G66),"",Invullen!G66)</f>
        <v/>
      </c>
      <c r="F68" s="149" t="str">
        <f>IF(ISBLANK(Invullen!K67),"",Invullen!K67)</f>
        <v/>
      </c>
      <c r="G68" s="152" t="str">
        <f>IF(ISBLANK(Invullen!L66),"",Invullen!L66)</f>
        <v/>
      </c>
      <c r="H68" s="185" t="str">
        <f>IF(ISBLANK(Invullen!M66),"",Invullen!M66)</f>
        <v/>
      </c>
      <c r="I68" s="188" t="str">
        <f>IF(ISBLANK(Invullen!N66),"",Invullen!N66)</f>
        <v/>
      </c>
      <c r="J68" s="189" t="str">
        <f>IF(ISBLANK(Invullen!N66),"",I68*$J$3)</f>
        <v/>
      </c>
      <c r="K68" s="188" t="str">
        <f>IF(ISBLANK(Invullen!O66),"",Invullen!O66)</f>
        <v/>
      </c>
      <c r="L68" s="189" t="str">
        <f>IF(ISBLANK(Invullen!O66),"",K68*$L$3)</f>
        <v/>
      </c>
      <c r="M68" s="192"/>
    </row>
    <row r="69" spans="1:13" x14ac:dyDescent="0.3">
      <c r="A69" s="148">
        <f>Invullen!A67</f>
        <v>63</v>
      </c>
      <c r="B69" s="149" t="str">
        <f>IF(ISBLANK(Invullen!D67),"",Invullen!D67)</f>
        <v/>
      </c>
      <c r="C69" s="150" t="str">
        <f>IF(ISBLANK(Invullen!E67),"",Invullen!E67)</f>
        <v>check dan de datum</v>
      </c>
      <c r="D69" s="151" t="str">
        <f>IF(ISBLANK(Invullen!F67),"",Invullen!F67)</f>
        <v/>
      </c>
      <c r="E69" s="151" t="str">
        <f>IF(ISBLANK(Invullen!G67),"",Invullen!G67)</f>
        <v/>
      </c>
      <c r="F69" s="149" t="str">
        <f>IF(ISBLANK(Invullen!K68),"",Invullen!K68)</f>
        <v/>
      </c>
      <c r="G69" s="152" t="str">
        <f>IF(ISBLANK(Invullen!L67),"",Invullen!L67)</f>
        <v/>
      </c>
      <c r="H69" s="185" t="str">
        <f>IF(ISBLANK(Invullen!M67),"",Invullen!M67)</f>
        <v/>
      </c>
      <c r="I69" s="188" t="str">
        <f>IF(ISBLANK(Invullen!N67),"",Invullen!N67)</f>
        <v/>
      </c>
      <c r="J69" s="189" t="str">
        <f>IF(ISBLANK(Invullen!N67),"",I69*$J$3)</f>
        <v/>
      </c>
      <c r="K69" s="188">
        <f>IF(ISBLANK(Invullen!O67),"",Invullen!O67)</f>
        <v>300</v>
      </c>
      <c r="L69" s="189">
        <f>IF(ISBLANK(Invullen!O67),"",K69*$L$3)</f>
        <v>0</v>
      </c>
      <c r="M69" s="192"/>
    </row>
    <row r="70" spans="1:13" x14ac:dyDescent="0.3">
      <c r="A70" s="148">
        <f>Invullen!A68</f>
        <v>64</v>
      </c>
      <c r="B70" s="149" t="str">
        <f>IF(ISBLANK(Invullen!D68),"",Invullen!D68)</f>
        <v/>
      </c>
      <c r="C70" s="150" t="str">
        <f>IF(ISBLANK(Invullen!E68),"",Invullen!E68)</f>
        <v/>
      </c>
      <c r="D70" s="151" t="str">
        <f>IF(ISBLANK(Invullen!F68),"",Invullen!F68)</f>
        <v/>
      </c>
      <c r="E70" s="151" t="str">
        <f>IF(ISBLANK(Invullen!G68),"",Invullen!G68)</f>
        <v/>
      </c>
      <c r="F70" s="149" t="str">
        <f>IF(ISBLANK(Invullen!K69),"",Invullen!K69)</f>
        <v/>
      </c>
      <c r="G70" s="152" t="str">
        <f>IF(ISBLANK(Invullen!L68),"",Invullen!L68)</f>
        <v/>
      </c>
      <c r="H70" s="185" t="str">
        <f>IF(ISBLANK(Invullen!M68),"",Invullen!M68)</f>
        <v/>
      </c>
      <c r="I70" s="188" t="str">
        <f>IF(ISBLANK(Invullen!N68),"",Invullen!N68)</f>
        <v/>
      </c>
      <c r="J70" s="189" t="str">
        <f>IF(ISBLANK(Invullen!N68),"",I70*$J$3)</f>
        <v/>
      </c>
      <c r="K70" s="188" t="str">
        <f>IF(ISBLANK(Invullen!O68),"",Invullen!O68)</f>
        <v/>
      </c>
      <c r="L70" s="189" t="str">
        <f>IF(ISBLANK(Invullen!O68),"",K70*$L$3)</f>
        <v/>
      </c>
      <c r="M70" s="192"/>
    </row>
    <row r="71" spans="1:13" x14ac:dyDescent="0.3">
      <c r="A71" s="148">
        <f>Invullen!A69</f>
        <v>65</v>
      </c>
      <c r="B71" s="149" t="str">
        <f>IF(ISBLANK(Invullen!D69),"",Invullen!D69)</f>
        <v/>
      </c>
      <c r="C71" s="150" t="str">
        <f>IF(ISBLANK(Invullen!E69),"",Invullen!E69)</f>
        <v/>
      </c>
      <c r="D71" s="151" t="str">
        <f>IF(ISBLANK(Invullen!F69),"",Invullen!F69)</f>
        <v/>
      </c>
      <c r="E71" s="151" t="str">
        <f>IF(ISBLANK(Invullen!G69),"",Invullen!G69)</f>
        <v/>
      </c>
      <c r="F71" s="149" t="str">
        <f>IF(ISBLANK(Invullen!K70),"",Invullen!K70)</f>
        <v/>
      </c>
      <c r="G71" s="152" t="str">
        <f>IF(ISBLANK(Invullen!L69),"",Invullen!L69)</f>
        <v/>
      </c>
      <c r="H71" s="185" t="str">
        <f>IF(ISBLANK(Invullen!M69),"",Invullen!M69)</f>
        <v/>
      </c>
      <c r="I71" s="188" t="str">
        <f>IF(ISBLANK(Invullen!N69),"",Invullen!N69)</f>
        <v/>
      </c>
      <c r="J71" s="189" t="str">
        <f>IF(ISBLANK(Invullen!N69),"",I71*$J$3)</f>
        <v/>
      </c>
      <c r="K71" s="188" t="str">
        <f>IF(ISBLANK(Invullen!O69),"",Invullen!O69)</f>
        <v/>
      </c>
      <c r="L71" s="189" t="str">
        <f>IF(ISBLANK(Invullen!O69),"",K71*$L$3)</f>
        <v/>
      </c>
      <c r="M71" s="192"/>
    </row>
    <row r="72" spans="1:13" x14ac:dyDescent="0.3">
      <c r="A72" s="148">
        <f>Invullen!A70</f>
        <v>66</v>
      </c>
      <c r="B72" s="149" t="str">
        <f>IF(ISBLANK(Invullen!D70),"",Invullen!D70)</f>
        <v/>
      </c>
      <c r="C72" s="150" t="str">
        <f>IF(ISBLANK(Invullen!E70),"",Invullen!E70)</f>
        <v/>
      </c>
      <c r="D72" s="151" t="str">
        <f>IF(ISBLANK(Invullen!F70),"",Invullen!F70)</f>
        <v/>
      </c>
      <c r="E72" s="151" t="str">
        <f>IF(ISBLANK(Invullen!G70),"",Invullen!G70)</f>
        <v/>
      </c>
      <c r="F72" s="149" t="str">
        <f>IF(ISBLANK(Invullen!K71),"",Invullen!K71)</f>
        <v/>
      </c>
      <c r="G72" s="152" t="str">
        <f>IF(ISBLANK(Invullen!L70),"",Invullen!L70)</f>
        <v/>
      </c>
      <c r="H72" s="185" t="str">
        <f>IF(ISBLANK(Invullen!M70),"",Invullen!M70)</f>
        <v/>
      </c>
      <c r="I72" s="188" t="str">
        <f>IF(ISBLANK(Invullen!N70),"",Invullen!N70)</f>
        <v/>
      </c>
      <c r="J72" s="189" t="str">
        <f>IF(ISBLANK(Invullen!N70),"",I72*$J$3)</f>
        <v/>
      </c>
      <c r="K72" s="188" t="str">
        <f>IF(ISBLANK(Invullen!O70),"",Invullen!O70)</f>
        <v/>
      </c>
      <c r="L72" s="189" t="str">
        <f>IF(ISBLANK(Invullen!O70),"",K72*$L$3)</f>
        <v/>
      </c>
      <c r="M72" s="192"/>
    </row>
    <row r="73" spans="1:13" x14ac:dyDescent="0.3">
      <c r="A73" s="148">
        <f>Invullen!A71</f>
        <v>67</v>
      </c>
      <c r="B73" s="149" t="str">
        <f>IF(ISBLANK(Invullen!D71),"",Invullen!D71)</f>
        <v/>
      </c>
      <c r="C73" s="150" t="str">
        <f>IF(ISBLANK(Invullen!E71),"",Invullen!E71)</f>
        <v/>
      </c>
      <c r="D73" s="151" t="str">
        <f>IF(ISBLANK(Invullen!F71),"",Invullen!F71)</f>
        <v/>
      </c>
      <c r="E73" s="151" t="str">
        <f>IF(ISBLANK(Invullen!G71),"",Invullen!G71)</f>
        <v/>
      </c>
      <c r="F73" s="149" t="str">
        <f>IF(ISBLANK(Invullen!K72),"",Invullen!K72)</f>
        <v/>
      </c>
      <c r="G73" s="152" t="str">
        <f>IF(ISBLANK(Invullen!L71),"",Invullen!L71)</f>
        <v/>
      </c>
      <c r="H73" s="185">
        <f>IF(ISBLANK(Invullen!M71),"",Invullen!M71)</f>
        <v>25</v>
      </c>
      <c r="I73" s="188" t="str">
        <f>IF(ISBLANK(Invullen!N71),"",Invullen!N71)</f>
        <v/>
      </c>
      <c r="J73" s="189" t="str">
        <f>IF(ISBLANK(Invullen!N71),"",I73*$J$3)</f>
        <v/>
      </c>
      <c r="K73" s="188" t="str">
        <f>IF(ISBLANK(Invullen!O71),"",Invullen!O71)</f>
        <v/>
      </c>
      <c r="L73" s="189" t="str">
        <f>IF(ISBLANK(Invullen!O71),"",K73*$L$3)</f>
        <v/>
      </c>
      <c r="M73" s="192"/>
    </row>
    <row r="74" spans="1:13" x14ac:dyDescent="0.3">
      <c r="A74" s="148">
        <f>Invullen!A72</f>
        <v>68</v>
      </c>
      <c r="B74" s="149" t="str">
        <f>IF(ISBLANK(Invullen!D72),"",Invullen!D72)</f>
        <v/>
      </c>
      <c r="C74" s="150" t="str">
        <f>IF(ISBLANK(Invullen!E72),"",Invullen!E72)</f>
        <v/>
      </c>
      <c r="D74" s="151" t="str">
        <f>IF(ISBLANK(Invullen!F72),"",Invullen!F72)</f>
        <v/>
      </c>
      <c r="E74" s="151" t="str">
        <f>IF(ISBLANK(Invullen!G72),"",Invullen!G72)</f>
        <v/>
      </c>
      <c r="F74" s="149" t="str">
        <f>IF(ISBLANK(Invullen!K73),"",Invullen!K73)</f>
        <v/>
      </c>
      <c r="G74" s="152" t="str">
        <f>IF(ISBLANK(Invullen!L72),"",Invullen!L72)</f>
        <v/>
      </c>
      <c r="H74" s="185">
        <f>IF(ISBLANK(Invullen!M72),"",Invullen!M72)</f>
        <v>25</v>
      </c>
      <c r="I74" s="188" t="str">
        <f>IF(ISBLANK(Invullen!N72),"",Invullen!N72)</f>
        <v/>
      </c>
      <c r="J74" s="189" t="str">
        <f>IF(ISBLANK(Invullen!N72),"",I74*$J$3)</f>
        <v/>
      </c>
      <c r="K74" s="188" t="str">
        <f>IF(ISBLANK(Invullen!O72),"",Invullen!O72)</f>
        <v/>
      </c>
      <c r="L74" s="189" t="str">
        <f>IF(ISBLANK(Invullen!O72),"",K74*$L$3)</f>
        <v/>
      </c>
      <c r="M74" s="192"/>
    </row>
    <row r="75" spans="1:13" x14ac:dyDescent="0.3">
      <c r="A75" s="148">
        <f>Invullen!A73</f>
        <v>69</v>
      </c>
      <c r="B75" s="149" t="str">
        <f>IF(ISBLANK(Invullen!D73),"",Invullen!D73)</f>
        <v/>
      </c>
      <c r="C75" s="150" t="str">
        <f>IF(ISBLANK(Invullen!E73),"",Invullen!E73)</f>
        <v/>
      </c>
      <c r="D75" s="151" t="str">
        <f>IF(ISBLANK(Invullen!F73),"",Invullen!F73)</f>
        <v/>
      </c>
      <c r="E75" s="151" t="str">
        <f>IF(ISBLANK(Invullen!G73),"",Invullen!G73)</f>
        <v/>
      </c>
      <c r="F75" s="149" t="str">
        <f>IF(ISBLANK(Invullen!K74),"",Invullen!K74)</f>
        <v/>
      </c>
      <c r="G75" s="152" t="str">
        <f>IF(ISBLANK(Invullen!L73),"",Invullen!L73)</f>
        <v/>
      </c>
      <c r="H75" s="185" t="str">
        <f>IF(ISBLANK(Invullen!M73),"",Invullen!M73)</f>
        <v/>
      </c>
      <c r="I75" s="188" t="str">
        <f>IF(ISBLANK(Invullen!N73),"",Invullen!N73)</f>
        <v/>
      </c>
      <c r="J75" s="189" t="str">
        <f>IF(ISBLANK(Invullen!N73),"",I75*$J$3)</f>
        <v/>
      </c>
      <c r="K75" s="188" t="str">
        <f>IF(ISBLANK(Invullen!O73),"",Invullen!O73)</f>
        <v/>
      </c>
      <c r="L75" s="189" t="str">
        <f>IF(ISBLANK(Invullen!O73),"",K75*$L$3)</f>
        <v/>
      </c>
      <c r="M75" s="192"/>
    </row>
    <row r="76" spans="1:13" x14ac:dyDescent="0.3">
      <c r="A76" s="148">
        <f>Invullen!A74</f>
        <v>70</v>
      </c>
      <c r="B76" s="149" t="str">
        <f>IF(ISBLANK(Invullen!D74),"",Invullen!D74)</f>
        <v/>
      </c>
      <c r="C76" s="150" t="str">
        <f>IF(ISBLANK(Invullen!E74),"",Invullen!E74)</f>
        <v/>
      </c>
      <c r="D76" s="151" t="str">
        <f>IF(ISBLANK(Invullen!F74),"",Invullen!F74)</f>
        <v/>
      </c>
      <c r="E76" s="151" t="str">
        <f>IF(ISBLANK(Invullen!G74),"",Invullen!G74)</f>
        <v/>
      </c>
      <c r="F76" s="149" t="str">
        <f>IF(ISBLANK(Invullen!K75),"",Invullen!K75)</f>
        <v/>
      </c>
      <c r="G76" s="152" t="str">
        <f>IF(ISBLANK(Invullen!L74),"",Invullen!L74)</f>
        <v/>
      </c>
      <c r="H76" s="185" t="str">
        <f>IF(ISBLANK(Invullen!M74),"",Invullen!M74)</f>
        <v/>
      </c>
      <c r="I76" s="188" t="str">
        <f>IF(ISBLANK(Invullen!N74),"",Invullen!N74)</f>
        <v/>
      </c>
      <c r="J76" s="189" t="str">
        <f>IF(ISBLANK(Invullen!N74),"",I76*$J$3)</f>
        <v/>
      </c>
      <c r="K76" s="188" t="str">
        <f>IF(ISBLANK(Invullen!O74),"",Invullen!O74)</f>
        <v/>
      </c>
      <c r="L76" s="189" t="str">
        <f>IF(ISBLANK(Invullen!O74),"",K76*$L$3)</f>
        <v/>
      </c>
      <c r="M76" s="192"/>
    </row>
    <row r="77" spans="1:13" x14ac:dyDescent="0.3">
      <c r="A77" s="148">
        <f>Invullen!A75</f>
        <v>71</v>
      </c>
      <c r="B77" s="149" t="str">
        <f>IF(ISBLANK(Invullen!D75),"",Invullen!D75)</f>
        <v/>
      </c>
      <c r="C77" s="150" t="str">
        <f>IF(ISBLANK(Invullen!E75),"",Invullen!E75)</f>
        <v/>
      </c>
      <c r="D77" s="151" t="str">
        <f>IF(ISBLANK(Invullen!F75),"",Invullen!F75)</f>
        <v/>
      </c>
      <c r="E77" s="151" t="str">
        <f>IF(ISBLANK(Invullen!G75),"",Invullen!G75)</f>
        <v/>
      </c>
      <c r="F77" s="149" t="str">
        <f>IF(ISBLANK(Invullen!K76),"",Invullen!K76)</f>
        <v/>
      </c>
      <c r="G77" s="152" t="str">
        <f>IF(ISBLANK(Invullen!L75),"",Invullen!L75)</f>
        <v/>
      </c>
      <c r="H77" s="185" t="str">
        <f>IF(ISBLANK(Invullen!M75),"",Invullen!M75)</f>
        <v/>
      </c>
      <c r="I77" s="188" t="str">
        <f>IF(ISBLANK(Invullen!N75),"",Invullen!N75)</f>
        <v/>
      </c>
      <c r="J77" s="189" t="str">
        <f>IF(ISBLANK(Invullen!N75),"",I77*$J$3)</f>
        <v/>
      </c>
      <c r="K77" s="188" t="str">
        <f>IF(ISBLANK(Invullen!O75),"",Invullen!O75)</f>
        <v/>
      </c>
      <c r="L77" s="189" t="str">
        <f>IF(ISBLANK(Invullen!O75),"",K77*$L$3)</f>
        <v/>
      </c>
      <c r="M77" s="192"/>
    </row>
    <row r="78" spans="1:13" x14ac:dyDescent="0.3">
      <c r="A78" s="148">
        <f>Invullen!A76</f>
        <v>72</v>
      </c>
      <c r="B78" s="149" t="str">
        <f>IF(ISBLANK(Invullen!D76),"",Invullen!D76)</f>
        <v/>
      </c>
      <c r="C78" s="150" t="str">
        <f>IF(ISBLANK(Invullen!E76),"",Invullen!E76)</f>
        <v/>
      </c>
      <c r="D78" s="151" t="str">
        <f>IF(ISBLANK(Invullen!F76),"",Invullen!F76)</f>
        <v/>
      </c>
      <c r="E78" s="151" t="str">
        <f>IF(ISBLANK(Invullen!G76),"",Invullen!G76)</f>
        <v/>
      </c>
      <c r="F78" s="149" t="str">
        <f>IF(ISBLANK(Invullen!K77),"",Invullen!K77)</f>
        <v/>
      </c>
      <c r="G78" s="152" t="str">
        <f>IF(ISBLANK(Invullen!L76),"",Invullen!L76)</f>
        <v/>
      </c>
      <c r="H78" s="185" t="str">
        <f>IF(ISBLANK(Invullen!M76),"",Invullen!M76)</f>
        <v/>
      </c>
      <c r="I78" s="188" t="str">
        <f>IF(ISBLANK(Invullen!N76),"",Invullen!N76)</f>
        <v/>
      </c>
      <c r="J78" s="189" t="str">
        <f>IF(ISBLANK(Invullen!N76),"",I78*$J$3)</f>
        <v/>
      </c>
      <c r="K78" s="188" t="str">
        <f>IF(ISBLANK(Invullen!O76),"",Invullen!O76)</f>
        <v/>
      </c>
      <c r="L78" s="189" t="str">
        <f>IF(ISBLANK(Invullen!O76),"",K78*$L$3)</f>
        <v/>
      </c>
      <c r="M78" s="192"/>
    </row>
    <row r="79" spans="1:13" x14ac:dyDescent="0.3">
      <c r="A79" s="148">
        <f>Invullen!A77</f>
        <v>73</v>
      </c>
      <c r="B79" s="149" t="str">
        <f>IF(ISBLANK(Invullen!D77),"",Invullen!D77)</f>
        <v/>
      </c>
      <c r="C79" s="150" t="str">
        <f>IF(ISBLANK(Invullen!E77),"",Invullen!E77)</f>
        <v/>
      </c>
      <c r="D79" s="151" t="str">
        <f>IF(ISBLANK(Invullen!F77),"",Invullen!F77)</f>
        <v/>
      </c>
      <c r="E79" s="151" t="str">
        <f>IF(ISBLANK(Invullen!G77),"",Invullen!G77)</f>
        <v/>
      </c>
      <c r="F79" s="149" t="str">
        <f>IF(ISBLANK(Invullen!K78),"",Invullen!K78)</f>
        <v/>
      </c>
      <c r="G79" s="152" t="str">
        <f>IF(ISBLANK(Invullen!L77),"",Invullen!L77)</f>
        <v/>
      </c>
      <c r="H79" s="185" t="str">
        <f>IF(ISBLANK(Invullen!M77),"",Invullen!M77)</f>
        <v/>
      </c>
      <c r="I79" s="188" t="str">
        <f>IF(ISBLANK(Invullen!N77),"",Invullen!N77)</f>
        <v/>
      </c>
      <c r="J79" s="189" t="str">
        <f>IF(ISBLANK(Invullen!N77),"",I79*$J$3)</f>
        <v/>
      </c>
      <c r="K79" s="188" t="str">
        <f>IF(ISBLANK(Invullen!O77),"",Invullen!O77)</f>
        <v/>
      </c>
      <c r="L79" s="189" t="str">
        <f>IF(ISBLANK(Invullen!O77),"",K79*$L$3)</f>
        <v/>
      </c>
      <c r="M79" s="192"/>
    </row>
    <row r="80" spans="1:13" x14ac:dyDescent="0.3">
      <c r="A80" s="148">
        <f>Invullen!A78</f>
        <v>74</v>
      </c>
      <c r="B80" s="149" t="str">
        <f>IF(ISBLANK(Invullen!D78),"",Invullen!D78)</f>
        <v/>
      </c>
      <c r="C80" s="150" t="str">
        <f>IF(ISBLANK(Invullen!E78),"",Invullen!E78)</f>
        <v/>
      </c>
      <c r="D80" s="151" t="str">
        <f>IF(ISBLANK(Invullen!F78),"",Invullen!F78)</f>
        <v/>
      </c>
      <c r="E80" s="151" t="str">
        <f>IF(ISBLANK(Invullen!G78),"",Invullen!G78)</f>
        <v/>
      </c>
      <c r="F80" s="149" t="str">
        <f>IF(ISBLANK(Invullen!K79),"",Invullen!K79)</f>
        <v/>
      </c>
      <c r="G80" s="152" t="str">
        <f>IF(ISBLANK(Invullen!L78),"",Invullen!L78)</f>
        <v/>
      </c>
      <c r="H80" s="185" t="str">
        <f>IF(ISBLANK(Invullen!M78),"",Invullen!M78)</f>
        <v/>
      </c>
      <c r="I80" s="188" t="str">
        <f>IF(ISBLANK(Invullen!N78),"",Invullen!N78)</f>
        <v/>
      </c>
      <c r="J80" s="189" t="str">
        <f>IF(ISBLANK(Invullen!N78),"",I80*$J$3)</f>
        <v/>
      </c>
      <c r="K80" s="188" t="str">
        <f>IF(ISBLANK(Invullen!O78),"",Invullen!O78)</f>
        <v/>
      </c>
      <c r="L80" s="189" t="str">
        <f>IF(ISBLANK(Invullen!O78),"",K80*$L$3)</f>
        <v/>
      </c>
      <c r="M80" s="192"/>
    </row>
    <row r="81" spans="1:13" x14ac:dyDescent="0.3">
      <c r="A81" s="148">
        <f>Invullen!A79</f>
        <v>75</v>
      </c>
      <c r="B81" s="149" t="str">
        <f>IF(ISBLANK(Invullen!D79),"",Invullen!D79)</f>
        <v/>
      </c>
      <c r="C81" s="150" t="str">
        <f>IF(ISBLANK(Invullen!E79),"",Invullen!E79)</f>
        <v/>
      </c>
      <c r="D81" s="151" t="str">
        <f>IF(ISBLANK(Invullen!F79),"",Invullen!F79)</f>
        <v/>
      </c>
      <c r="E81" s="151" t="str">
        <f>IF(ISBLANK(Invullen!G79),"",Invullen!G79)</f>
        <v/>
      </c>
      <c r="F81" s="149" t="str">
        <f>IF(ISBLANK(Invullen!K80),"",Invullen!K80)</f>
        <v/>
      </c>
      <c r="G81" s="152" t="str">
        <f>IF(ISBLANK(Invullen!L79),"",Invullen!L79)</f>
        <v/>
      </c>
      <c r="H81" s="185" t="str">
        <f>IF(ISBLANK(Invullen!M79),"",Invullen!M79)</f>
        <v/>
      </c>
      <c r="I81" s="188" t="str">
        <f>IF(ISBLANK(Invullen!N79),"",Invullen!N79)</f>
        <v/>
      </c>
      <c r="J81" s="189" t="str">
        <f>IF(ISBLANK(Invullen!N79),"",I81*$J$3)</f>
        <v/>
      </c>
      <c r="K81" s="188" t="str">
        <f>IF(ISBLANK(Invullen!O79),"",Invullen!O79)</f>
        <v/>
      </c>
      <c r="L81" s="189" t="str">
        <f>IF(ISBLANK(Invullen!O79),"",K81*$L$3)</f>
        <v/>
      </c>
      <c r="M81" s="192"/>
    </row>
    <row r="82" spans="1:13" x14ac:dyDescent="0.3">
      <c r="A82" s="148">
        <f>Invullen!A80</f>
        <v>76</v>
      </c>
      <c r="B82" s="149" t="str">
        <f>IF(ISBLANK(Invullen!D80),"",Invullen!D80)</f>
        <v/>
      </c>
      <c r="C82" s="150" t="str">
        <f>IF(ISBLANK(Invullen!E80),"",Invullen!E80)</f>
        <v/>
      </c>
      <c r="D82" s="151" t="str">
        <f>IF(ISBLANK(Invullen!F80),"",Invullen!F80)</f>
        <v/>
      </c>
      <c r="E82" s="151" t="str">
        <f>IF(ISBLANK(Invullen!G80),"",Invullen!G80)</f>
        <v/>
      </c>
      <c r="F82" s="149" t="str">
        <f>IF(ISBLANK(Invullen!K81),"",Invullen!K81)</f>
        <v/>
      </c>
      <c r="G82" s="152" t="str">
        <f>IF(ISBLANK(Invullen!L80),"",Invullen!L80)</f>
        <v/>
      </c>
      <c r="H82" s="185" t="str">
        <f>IF(ISBLANK(Invullen!M80),"",Invullen!M80)</f>
        <v/>
      </c>
      <c r="I82" s="188" t="str">
        <f>IF(ISBLANK(Invullen!N80),"",Invullen!N80)</f>
        <v/>
      </c>
      <c r="J82" s="189" t="str">
        <f>IF(ISBLANK(Invullen!N80),"",I82*$J$3)</f>
        <v/>
      </c>
      <c r="K82" s="188" t="str">
        <f>IF(ISBLANK(Invullen!O80),"",Invullen!O80)</f>
        <v/>
      </c>
      <c r="L82" s="189" t="str">
        <f>IF(ISBLANK(Invullen!O80),"",K82*$L$3)</f>
        <v/>
      </c>
      <c r="M82" s="192"/>
    </row>
    <row r="83" spans="1:13" x14ac:dyDescent="0.3">
      <c r="A83" s="148">
        <f>Invullen!A81</f>
        <v>77</v>
      </c>
      <c r="B83" s="149" t="str">
        <f>IF(ISBLANK(Invullen!D81),"",Invullen!D81)</f>
        <v/>
      </c>
      <c r="C83" s="150" t="str">
        <f>IF(ISBLANK(Invullen!E81),"",Invullen!E81)</f>
        <v/>
      </c>
      <c r="D83" s="151" t="str">
        <f>IF(ISBLANK(Invullen!F81),"",Invullen!F81)</f>
        <v/>
      </c>
      <c r="E83" s="151" t="str">
        <f>IF(ISBLANK(Invullen!G81),"",Invullen!G81)</f>
        <v/>
      </c>
      <c r="F83" s="149" t="str">
        <f>IF(ISBLANK(Invullen!K82),"",Invullen!K82)</f>
        <v/>
      </c>
      <c r="G83" s="152" t="str">
        <f>IF(ISBLANK(Invullen!L81),"",Invullen!L81)</f>
        <v/>
      </c>
      <c r="H83" s="185" t="str">
        <f>IF(ISBLANK(Invullen!M81),"",Invullen!M81)</f>
        <v/>
      </c>
      <c r="I83" s="188" t="str">
        <f>IF(ISBLANK(Invullen!N81),"",Invullen!N81)</f>
        <v/>
      </c>
      <c r="J83" s="189" t="str">
        <f>IF(ISBLANK(Invullen!N81),"",I83*$J$3)</f>
        <v/>
      </c>
      <c r="K83" s="188" t="str">
        <f>IF(ISBLANK(Invullen!O81),"",Invullen!O81)</f>
        <v/>
      </c>
      <c r="L83" s="189" t="str">
        <f>IF(ISBLANK(Invullen!O81),"",K83*$L$3)</f>
        <v/>
      </c>
      <c r="M83" s="192"/>
    </row>
    <row r="84" spans="1:13" x14ac:dyDescent="0.3">
      <c r="A84" s="148">
        <f>Invullen!A82</f>
        <v>78</v>
      </c>
      <c r="B84" s="149" t="str">
        <f>IF(ISBLANK(Invullen!D82),"",Invullen!D82)</f>
        <v/>
      </c>
      <c r="C84" s="150" t="str">
        <f>IF(ISBLANK(Invullen!E82),"",Invullen!E82)</f>
        <v/>
      </c>
      <c r="D84" s="151" t="str">
        <f>IF(ISBLANK(Invullen!F82),"",Invullen!F82)</f>
        <v/>
      </c>
      <c r="E84" s="151" t="str">
        <f>IF(ISBLANK(Invullen!G82),"",Invullen!G82)</f>
        <v/>
      </c>
      <c r="F84" s="149" t="str">
        <f>IF(ISBLANK(Invullen!K83),"",Invullen!K83)</f>
        <v/>
      </c>
      <c r="G84" s="152" t="str">
        <f>IF(ISBLANK(Invullen!L82),"",Invullen!L82)</f>
        <v/>
      </c>
      <c r="H84" s="185" t="str">
        <f>IF(ISBLANK(Invullen!M82),"",Invullen!M82)</f>
        <v/>
      </c>
      <c r="I84" s="188" t="str">
        <f>IF(ISBLANK(Invullen!N82),"",Invullen!N82)</f>
        <v/>
      </c>
      <c r="J84" s="189" t="str">
        <f>IF(ISBLANK(Invullen!N82),"",I84*$J$3)</f>
        <v/>
      </c>
      <c r="K84" s="188" t="str">
        <f>IF(ISBLANK(Invullen!O82),"",Invullen!O82)</f>
        <v/>
      </c>
      <c r="L84" s="189" t="str">
        <f>IF(ISBLANK(Invullen!O82),"",K84*$L$3)</f>
        <v/>
      </c>
      <c r="M84" s="192"/>
    </row>
    <row r="85" spans="1:13" x14ac:dyDescent="0.3">
      <c r="A85" s="148">
        <f>Invullen!A83</f>
        <v>79</v>
      </c>
      <c r="B85" s="149" t="str">
        <f>IF(ISBLANK(Invullen!D83),"",Invullen!D83)</f>
        <v/>
      </c>
      <c r="C85" s="150" t="str">
        <f>IF(ISBLANK(Invullen!E83),"",Invullen!E83)</f>
        <v/>
      </c>
      <c r="D85" s="151" t="str">
        <f>IF(ISBLANK(Invullen!F83),"",Invullen!F83)</f>
        <v/>
      </c>
      <c r="E85" s="151" t="str">
        <f>IF(ISBLANK(Invullen!G83),"",Invullen!G83)</f>
        <v/>
      </c>
      <c r="F85" s="149" t="str">
        <f>IF(ISBLANK(Invullen!K84),"",Invullen!K84)</f>
        <v/>
      </c>
      <c r="G85" s="152" t="str">
        <f>IF(ISBLANK(Invullen!L83),"",Invullen!L83)</f>
        <v/>
      </c>
      <c r="H85" s="185" t="str">
        <f>IF(ISBLANK(Invullen!M83),"",Invullen!M83)</f>
        <v/>
      </c>
      <c r="I85" s="188" t="str">
        <f>IF(ISBLANK(Invullen!N83),"",Invullen!N83)</f>
        <v/>
      </c>
      <c r="J85" s="189" t="str">
        <f>IF(ISBLANK(Invullen!N83),"",I85*$J$3)</f>
        <v/>
      </c>
      <c r="K85" s="188" t="str">
        <f>IF(ISBLANK(Invullen!O83),"",Invullen!O83)</f>
        <v/>
      </c>
      <c r="L85" s="189" t="str">
        <f>IF(ISBLANK(Invullen!O83),"",K85*$L$3)</f>
        <v/>
      </c>
      <c r="M85" s="192"/>
    </row>
    <row r="86" spans="1:13" x14ac:dyDescent="0.3">
      <c r="A86" s="148">
        <f>Invullen!A84</f>
        <v>80</v>
      </c>
      <c r="B86" s="149" t="str">
        <f>IF(ISBLANK(Invullen!D84),"",Invullen!D84)</f>
        <v/>
      </c>
      <c r="C86" s="150" t="str">
        <f>IF(ISBLANK(Invullen!E84),"",Invullen!E84)</f>
        <v/>
      </c>
      <c r="D86" s="151" t="str">
        <f>IF(ISBLANK(Invullen!F84),"",Invullen!F84)</f>
        <v/>
      </c>
      <c r="E86" s="151" t="str">
        <f>IF(ISBLANK(Invullen!G84),"",Invullen!G84)</f>
        <v/>
      </c>
      <c r="F86" s="149" t="str">
        <f>IF(ISBLANK(Invullen!K85),"",Invullen!K85)</f>
        <v/>
      </c>
      <c r="G86" s="152" t="str">
        <f>IF(ISBLANK(Invullen!L84),"",Invullen!L84)</f>
        <v/>
      </c>
      <c r="H86" s="185" t="str">
        <f>IF(ISBLANK(Invullen!M84),"",Invullen!M84)</f>
        <v/>
      </c>
      <c r="I86" s="188" t="str">
        <f>IF(ISBLANK(Invullen!N84),"",Invullen!N84)</f>
        <v/>
      </c>
      <c r="J86" s="189" t="str">
        <f>IF(ISBLANK(Invullen!N84),"",I86*$J$3)</f>
        <v/>
      </c>
      <c r="K86" s="188" t="str">
        <f>IF(ISBLANK(Invullen!O84),"",Invullen!O84)</f>
        <v/>
      </c>
      <c r="L86" s="189" t="str">
        <f>IF(ISBLANK(Invullen!O84),"",K86*$L$3)</f>
        <v/>
      </c>
      <c r="M86" s="192"/>
    </row>
    <row r="87" spans="1:13" x14ac:dyDescent="0.3">
      <c r="A87" s="148">
        <f>Invullen!A85</f>
        <v>81</v>
      </c>
      <c r="B87" s="149" t="str">
        <f>IF(ISBLANK(Invullen!D85),"",Invullen!D85)</f>
        <v/>
      </c>
      <c r="C87" s="150" t="str">
        <f>IF(ISBLANK(Invullen!E85),"",Invullen!E85)</f>
        <v/>
      </c>
      <c r="D87" s="151" t="str">
        <f>IF(ISBLANK(Invullen!F85),"",Invullen!F85)</f>
        <v/>
      </c>
      <c r="E87" s="151" t="str">
        <f>IF(ISBLANK(Invullen!G85),"",Invullen!G85)</f>
        <v/>
      </c>
      <c r="F87" s="149" t="str">
        <f>IF(ISBLANK(Invullen!K86),"",Invullen!K86)</f>
        <v/>
      </c>
      <c r="G87" s="152" t="str">
        <f>IF(ISBLANK(Invullen!L85),"",Invullen!L85)</f>
        <v/>
      </c>
      <c r="H87" s="185" t="str">
        <f>IF(ISBLANK(Invullen!M85),"",Invullen!M85)</f>
        <v/>
      </c>
      <c r="I87" s="188" t="str">
        <f>IF(ISBLANK(Invullen!N85),"",Invullen!N85)</f>
        <v/>
      </c>
      <c r="J87" s="189" t="str">
        <f>IF(ISBLANK(Invullen!N85),"",I87*$J$3)</f>
        <v/>
      </c>
      <c r="K87" s="188" t="str">
        <f>IF(ISBLANK(Invullen!O85),"",Invullen!O85)</f>
        <v/>
      </c>
      <c r="L87" s="189" t="str">
        <f>IF(ISBLANK(Invullen!O85),"",K87*$L$3)</f>
        <v/>
      </c>
      <c r="M87" s="192"/>
    </row>
    <row r="88" spans="1:13" x14ac:dyDescent="0.3">
      <c r="A88" s="148">
        <f>Invullen!A86</f>
        <v>82</v>
      </c>
      <c r="B88" s="149" t="str">
        <f>IF(ISBLANK(Invullen!D86),"",Invullen!D86)</f>
        <v/>
      </c>
      <c r="C88" s="150" t="str">
        <f>IF(ISBLANK(Invullen!E86),"",Invullen!E86)</f>
        <v/>
      </c>
      <c r="D88" s="151" t="str">
        <f>IF(ISBLANK(Invullen!F86),"",Invullen!F86)</f>
        <v/>
      </c>
      <c r="E88" s="151" t="str">
        <f>IF(ISBLANK(Invullen!G86),"",Invullen!G86)</f>
        <v/>
      </c>
      <c r="F88" s="149" t="str">
        <f>IF(ISBLANK(Invullen!K87),"",Invullen!K87)</f>
        <v/>
      </c>
      <c r="G88" s="152" t="str">
        <f>IF(ISBLANK(Invullen!L86),"",Invullen!L86)</f>
        <v/>
      </c>
      <c r="H88" s="185" t="str">
        <f>IF(ISBLANK(Invullen!M86),"",Invullen!M86)</f>
        <v/>
      </c>
      <c r="I88" s="188" t="str">
        <f>IF(ISBLANK(Invullen!N86),"",Invullen!N86)</f>
        <v/>
      </c>
      <c r="J88" s="189" t="str">
        <f>IF(ISBLANK(Invullen!N86),"",I88*$J$3)</f>
        <v/>
      </c>
      <c r="K88" s="188" t="str">
        <f>IF(ISBLANK(Invullen!O86),"",Invullen!O86)</f>
        <v/>
      </c>
      <c r="L88" s="189" t="str">
        <f>IF(ISBLANK(Invullen!O86),"",K88*$L$3)</f>
        <v/>
      </c>
      <c r="M88" s="192"/>
    </row>
    <row r="89" spans="1:13" x14ac:dyDescent="0.3">
      <c r="A89" s="148">
        <f>Invullen!A87</f>
        <v>83</v>
      </c>
      <c r="B89" s="149" t="str">
        <f>IF(ISBLANK(Invullen!D87),"",Invullen!D87)</f>
        <v/>
      </c>
      <c r="C89" s="150" t="str">
        <f>IF(ISBLANK(Invullen!E87),"",Invullen!E87)</f>
        <v/>
      </c>
      <c r="D89" s="151" t="str">
        <f>IF(ISBLANK(Invullen!F87),"",Invullen!F87)</f>
        <v/>
      </c>
      <c r="E89" s="151" t="str">
        <f>IF(ISBLANK(Invullen!G87),"",Invullen!G87)</f>
        <v/>
      </c>
      <c r="F89" s="149" t="str">
        <f>IF(ISBLANK(Invullen!K88),"",Invullen!K88)</f>
        <v/>
      </c>
      <c r="G89" s="152" t="str">
        <f>IF(ISBLANK(Invullen!L87),"",Invullen!L87)</f>
        <v/>
      </c>
      <c r="H89" s="185" t="str">
        <f>IF(ISBLANK(Invullen!M87),"",Invullen!M87)</f>
        <v/>
      </c>
      <c r="I89" s="188" t="str">
        <f>IF(ISBLANK(Invullen!N87),"",Invullen!N87)</f>
        <v/>
      </c>
      <c r="J89" s="189" t="str">
        <f>IF(ISBLANK(Invullen!N87),"",I89*$J$3)</f>
        <v/>
      </c>
      <c r="K89" s="188" t="str">
        <f>IF(ISBLANK(Invullen!O87),"",Invullen!O87)</f>
        <v/>
      </c>
      <c r="L89" s="189" t="str">
        <f>IF(ISBLANK(Invullen!O87),"",K89*$L$3)</f>
        <v/>
      </c>
      <c r="M89" s="192"/>
    </row>
    <row r="90" spans="1:13" x14ac:dyDescent="0.3">
      <c r="A90" s="148">
        <f>Invullen!A88</f>
        <v>84</v>
      </c>
      <c r="B90" s="149" t="str">
        <f>IF(ISBLANK(Invullen!D88),"",Invullen!D88)</f>
        <v/>
      </c>
      <c r="C90" s="150" t="str">
        <f>IF(ISBLANK(Invullen!E88),"",Invullen!E88)</f>
        <v/>
      </c>
      <c r="D90" s="151" t="str">
        <f>IF(ISBLANK(Invullen!F88),"",Invullen!F88)</f>
        <v/>
      </c>
      <c r="E90" s="151" t="str">
        <f>IF(ISBLANK(Invullen!G88),"",Invullen!G88)</f>
        <v/>
      </c>
      <c r="F90" s="149" t="str">
        <f>IF(ISBLANK(Invullen!K89),"",Invullen!K89)</f>
        <v/>
      </c>
      <c r="G90" s="152" t="str">
        <f>IF(ISBLANK(Invullen!L88),"",Invullen!L88)</f>
        <v/>
      </c>
      <c r="H90" s="185" t="str">
        <f>IF(ISBLANK(Invullen!M88),"",Invullen!M88)</f>
        <v/>
      </c>
      <c r="I90" s="188" t="str">
        <f>IF(ISBLANK(Invullen!N88),"",Invullen!N88)</f>
        <v/>
      </c>
      <c r="J90" s="189" t="str">
        <f>IF(ISBLANK(Invullen!N88),"",I90*$J$3)</f>
        <v/>
      </c>
      <c r="K90" s="188" t="str">
        <f>IF(ISBLANK(Invullen!O88),"",Invullen!O88)</f>
        <v/>
      </c>
      <c r="L90" s="189" t="str">
        <f>IF(ISBLANK(Invullen!O88),"",K90*$L$3)</f>
        <v/>
      </c>
      <c r="M90" s="192"/>
    </row>
    <row r="91" spans="1:13" x14ac:dyDescent="0.3">
      <c r="A91" s="148">
        <f>Invullen!A89</f>
        <v>85</v>
      </c>
      <c r="B91" s="149" t="str">
        <f>IF(ISBLANK(Invullen!D89),"",Invullen!D89)</f>
        <v/>
      </c>
      <c r="C91" s="150" t="str">
        <f>IF(ISBLANK(Invullen!E89),"",Invullen!E89)</f>
        <v/>
      </c>
      <c r="D91" s="151" t="str">
        <f>IF(ISBLANK(Invullen!F89),"",Invullen!F89)</f>
        <v/>
      </c>
      <c r="E91" s="151" t="str">
        <f>IF(ISBLANK(Invullen!G89),"",Invullen!G89)</f>
        <v/>
      </c>
      <c r="F91" s="149" t="str">
        <f>IF(ISBLANK(Invullen!K90),"",Invullen!K90)</f>
        <v/>
      </c>
      <c r="G91" s="152" t="str">
        <f>IF(ISBLANK(Invullen!L89),"",Invullen!L89)</f>
        <v/>
      </c>
      <c r="H91" s="185" t="str">
        <f>IF(ISBLANK(Invullen!M89),"",Invullen!M89)</f>
        <v/>
      </c>
      <c r="I91" s="188" t="str">
        <f>IF(ISBLANK(Invullen!N89),"",Invullen!N89)</f>
        <v/>
      </c>
      <c r="J91" s="189" t="str">
        <f>IF(ISBLANK(Invullen!N89),"",I91*$J$3)</f>
        <v/>
      </c>
      <c r="K91" s="188" t="str">
        <f>IF(ISBLANK(Invullen!O89),"",Invullen!O89)</f>
        <v/>
      </c>
      <c r="L91" s="189" t="str">
        <f>IF(ISBLANK(Invullen!O89),"",K91*$L$3)</f>
        <v/>
      </c>
      <c r="M91" s="192"/>
    </row>
    <row r="92" spans="1:13" x14ac:dyDescent="0.3">
      <c r="A92" s="148">
        <f>Invullen!A90</f>
        <v>86</v>
      </c>
      <c r="B92" s="149" t="str">
        <f>IF(ISBLANK(Invullen!D90),"",Invullen!D90)</f>
        <v/>
      </c>
      <c r="C92" s="150" t="str">
        <f>IF(ISBLANK(Invullen!E90),"",Invullen!E90)</f>
        <v/>
      </c>
      <c r="D92" s="151" t="str">
        <f>IF(ISBLANK(Invullen!F90),"",Invullen!F90)</f>
        <v/>
      </c>
      <c r="E92" s="151" t="str">
        <f>IF(ISBLANK(Invullen!G90),"",Invullen!G90)</f>
        <v/>
      </c>
      <c r="F92" s="149" t="str">
        <f>IF(ISBLANK(Invullen!K91),"",Invullen!K91)</f>
        <v/>
      </c>
      <c r="G92" s="152" t="str">
        <f>IF(ISBLANK(Invullen!L90),"",Invullen!L90)</f>
        <v/>
      </c>
      <c r="H92" s="185" t="str">
        <f>IF(ISBLANK(Invullen!M90),"",Invullen!M90)</f>
        <v/>
      </c>
      <c r="I92" s="188" t="str">
        <f>IF(ISBLANK(Invullen!N90),"",Invullen!N90)</f>
        <v/>
      </c>
      <c r="J92" s="189" t="str">
        <f>IF(ISBLANK(Invullen!N90),"",I92*$J$3)</f>
        <v/>
      </c>
      <c r="K92" s="188" t="str">
        <f>IF(ISBLANK(Invullen!O90),"",Invullen!O90)</f>
        <v/>
      </c>
      <c r="L92" s="189" t="str">
        <f>IF(ISBLANK(Invullen!O90),"",K92*$L$3)</f>
        <v/>
      </c>
      <c r="M92" s="192"/>
    </row>
    <row r="93" spans="1:13" x14ac:dyDescent="0.3">
      <c r="A93" s="148">
        <f>Invullen!A91</f>
        <v>87</v>
      </c>
      <c r="B93" s="149" t="str">
        <f>IF(ISBLANK(Invullen!D91),"",Invullen!D91)</f>
        <v/>
      </c>
      <c r="C93" s="150" t="str">
        <f>IF(ISBLANK(Invullen!E91),"",Invullen!E91)</f>
        <v/>
      </c>
      <c r="D93" s="151" t="str">
        <f>IF(ISBLANK(Invullen!F91),"",Invullen!F91)</f>
        <v/>
      </c>
      <c r="E93" s="151" t="str">
        <f>IF(ISBLANK(Invullen!G91),"",Invullen!G91)</f>
        <v/>
      </c>
      <c r="F93" s="149" t="str">
        <f>IF(ISBLANK(Invullen!K92),"",Invullen!K92)</f>
        <v/>
      </c>
      <c r="G93" s="152" t="str">
        <f>IF(ISBLANK(Invullen!L91),"",Invullen!L91)</f>
        <v/>
      </c>
      <c r="H93" s="185" t="str">
        <f>IF(ISBLANK(Invullen!M91),"",Invullen!M91)</f>
        <v/>
      </c>
      <c r="I93" s="188" t="str">
        <f>IF(ISBLANK(Invullen!N91),"",Invullen!N91)</f>
        <v/>
      </c>
      <c r="J93" s="189" t="str">
        <f>IF(ISBLANK(Invullen!N91),"",I93*$J$3)</f>
        <v/>
      </c>
      <c r="K93" s="188" t="str">
        <f>IF(ISBLANK(Invullen!O91),"",Invullen!O91)</f>
        <v/>
      </c>
      <c r="L93" s="189" t="str">
        <f>IF(ISBLANK(Invullen!O91),"",K93*$L$3)</f>
        <v/>
      </c>
      <c r="M93" s="192"/>
    </row>
    <row r="94" spans="1:13" x14ac:dyDescent="0.3">
      <c r="A94" s="148">
        <f>Invullen!A92</f>
        <v>88</v>
      </c>
      <c r="B94" s="149" t="str">
        <f>IF(ISBLANK(Invullen!D92),"",Invullen!D92)</f>
        <v/>
      </c>
      <c r="C94" s="150" t="str">
        <f>IF(ISBLANK(Invullen!E92),"",Invullen!E92)</f>
        <v/>
      </c>
      <c r="D94" s="151" t="str">
        <f>IF(ISBLANK(Invullen!F92),"",Invullen!F92)</f>
        <v/>
      </c>
      <c r="E94" s="151" t="str">
        <f>IF(ISBLANK(Invullen!G92),"",Invullen!G92)</f>
        <v/>
      </c>
      <c r="F94" s="149" t="str">
        <f>IF(ISBLANK(Invullen!K93),"",Invullen!K93)</f>
        <v/>
      </c>
      <c r="G94" s="152" t="str">
        <f>IF(ISBLANK(Invullen!L92),"",Invullen!L92)</f>
        <v/>
      </c>
      <c r="H94" s="185" t="str">
        <f>IF(ISBLANK(Invullen!M92),"",Invullen!M92)</f>
        <v/>
      </c>
      <c r="I94" s="188" t="str">
        <f>IF(ISBLANK(Invullen!N92),"",Invullen!N92)</f>
        <v/>
      </c>
      <c r="J94" s="189" t="str">
        <f>IF(ISBLANK(Invullen!N92),"",I94*$J$3)</f>
        <v/>
      </c>
      <c r="K94" s="188" t="str">
        <f>IF(ISBLANK(Invullen!O92),"",Invullen!O92)</f>
        <v/>
      </c>
      <c r="L94" s="189" t="str">
        <f>IF(ISBLANK(Invullen!O92),"",K94*$L$3)</f>
        <v/>
      </c>
      <c r="M94" s="192"/>
    </row>
    <row r="95" spans="1:13" x14ac:dyDescent="0.3">
      <c r="A95" s="148">
        <f>Invullen!A93</f>
        <v>89</v>
      </c>
      <c r="B95" s="149" t="str">
        <f>IF(ISBLANK(Invullen!D93),"",Invullen!D93)</f>
        <v/>
      </c>
      <c r="C95" s="150" t="str">
        <f>IF(ISBLANK(Invullen!E93),"",Invullen!E93)</f>
        <v/>
      </c>
      <c r="D95" s="151" t="str">
        <f>IF(ISBLANK(Invullen!F93),"",Invullen!F93)</f>
        <v/>
      </c>
      <c r="E95" s="151" t="str">
        <f>IF(ISBLANK(Invullen!G93),"",Invullen!G93)</f>
        <v/>
      </c>
      <c r="F95" s="149" t="str">
        <f>IF(ISBLANK(Invullen!K94),"",Invullen!K94)</f>
        <v/>
      </c>
      <c r="G95" s="152" t="str">
        <f>IF(ISBLANK(Invullen!L93),"",Invullen!L93)</f>
        <v/>
      </c>
      <c r="H95" s="185" t="str">
        <f>IF(ISBLANK(Invullen!M93),"",Invullen!M93)</f>
        <v/>
      </c>
      <c r="I95" s="188" t="str">
        <f>IF(ISBLANK(Invullen!N93),"",Invullen!N93)</f>
        <v/>
      </c>
      <c r="J95" s="189" t="str">
        <f>IF(ISBLANK(Invullen!N93),"",I95*$J$3)</f>
        <v/>
      </c>
      <c r="K95" s="188" t="str">
        <f>IF(ISBLANK(Invullen!O93),"",Invullen!O93)</f>
        <v/>
      </c>
      <c r="L95" s="189" t="str">
        <f>IF(ISBLANK(Invullen!O93),"",K95*$L$3)</f>
        <v/>
      </c>
      <c r="M95" s="192"/>
    </row>
    <row r="96" spans="1:13" x14ac:dyDescent="0.3">
      <c r="A96" s="148">
        <f>Invullen!A94</f>
        <v>90</v>
      </c>
      <c r="B96" s="149" t="str">
        <f>IF(ISBLANK(Invullen!D94),"",Invullen!D94)</f>
        <v/>
      </c>
      <c r="C96" s="150" t="str">
        <f>IF(ISBLANK(Invullen!E94),"",Invullen!E94)</f>
        <v/>
      </c>
      <c r="D96" s="151" t="str">
        <f>IF(ISBLANK(Invullen!F94),"",Invullen!F94)</f>
        <v/>
      </c>
      <c r="E96" s="151" t="str">
        <f>IF(ISBLANK(Invullen!G94),"",Invullen!G94)</f>
        <v/>
      </c>
      <c r="F96" s="149" t="str">
        <f>IF(ISBLANK(Invullen!K95),"",Invullen!K95)</f>
        <v/>
      </c>
      <c r="G96" s="152" t="str">
        <f>IF(ISBLANK(Invullen!L94),"",Invullen!L94)</f>
        <v/>
      </c>
      <c r="H96" s="185" t="str">
        <f>IF(ISBLANK(Invullen!M94),"",Invullen!M94)</f>
        <v/>
      </c>
      <c r="I96" s="188" t="str">
        <f>IF(ISBLANK(Invullen!N94),"",Invullen!N94)</f>
        <v/>
      </c>
      <c r="J96" s="189" t="str">
        <f>IF(ISBLANK(Invullen!N94),"",I96*$J$3)</f>
        <v/>
      </c>
      <c r="K96" s="188" t="str">
        <f>IF(ISBLANK(Invullen!O94),"",Invullen!O94)</f>
        <v/>
      </c>
      <c r="L96" s="189" t="str">
        <f>IF(ISBLANK(Invullen!O94),"",K96*$L$3)</f>
        <v/>
      </c>
      <c r="M96" s="192"/>
    </row>
    <row r="97" spans="1:13" x14ac:dyDescent="0.3">
      <c r="A97" s="148">
        <f>Invullen!A95</f>
        <v>91</v>
      </c>
      <c r="B97" s="149" t="str">
        <f>IF(ISBLANK(Invullen!D95),"",Invullen!D95)</f>
        <v/>
      </c>
      <c r="C97" s="150" t="str">
        <f>IF(ISBLANK(Invullen!E95),"",Invullen!E95)</f>
        <v/>
      </c>
      <c r="D97" s="151" t="str">
        <f>IF(ISBLANK(Invullen!F95),"",Invullen!F95)</f>
        <v/>
      </c>
      <c r="E97" s="151" t="str">
        <f>IF(ISBLANK(Invullen!G95),"",Invullen!G95)</f>
        <v/>
      </c>
      <c r="F97" s="149" t="str">
        <f>IF(ISBLANK(Invullen!K96),"",Invullen!K96)</f>
        <v/>
      </c>
      <c r="G97" s="152" t="str">
        <f>IF(ISBLANK(Invullen!L95),"",Invullen!L95)</f>
        <v/>
      </c>
      <c r="H97" s="185" t="str">
        <f>IF(ISBLANK(Invullen!M95),"",Invullen!M95)</f>
        <v/>
      </c>
      <c r="I97" s="188" t="str">
        <f>IF(ISBLANK(Invullen!N95),"",Invullen!N95)</f>
        <v/>
      </c>
      <c r="J97" s="189" t="str">
        <f>IF(ISBLANK(Invullen!N95),"",I97*$J$3)</f>
        <v/>
      </c>
      <c r="K97" s="188" t="str">
        <f>IF(ISBLANK(Invullen!O95),"",Invullen!O95)</f>
        <v/>
      </c>
      <c r="L97" s="189" t="str">
        <f>IF(ISBLANK(Invullen!O95),"",K97*$L$3)</f>
        <v/>
      </c>
      <c r="M97" s="192"/>
    </row>
    <row r="98" spans="1:13" x14ac:dyDescent="0.3">
      <c r="A98" s="148">
        <f>Invullen!A96</f>
        <v>92</v>
      </c>
      <c r="B98" s="149" t="str">
        <f>IF(ISBLANK(Invullen!D96),"",Invullen!D96)</f>
        <v/>
      </c>
      <c r="C98" s="150" t="str">
        <f>IF(ISBLANK(Invullen!E96),"",Invullen!E96)</f>
        <v/>
      </c>
      <c r="D98" s="151" t="str">
        <f>IF(ISBLANK(Invullen!F96),"",Invullen!F96)</f>
        <v/>
      </c>
      <c r="E98" s="151" t="str">
        <f>IF(ISBLANK(Invullen!G96),"",Invullen!G96)</f>
        <v/>
      </c>
      <c r="F98" s="149" t="str">
        <f>IF(ISBLANK(Invullen!K97),"",Invullen!K97)</f>
        <v/>
      </c>
      <c r="G98" s="152" t="str">
        <f>IF(ISBLANK(Invullen!L96),"",Invullen!L96)</f>
        <v/>
      </c>
      <c r="H98" s="185" t="str">
        <f>IF(ISBLANK(Invullen!M96),"",Invullen!M96)</f>
        <v/>
      </c>
      <c r="I98" s="188" t="str">
        <f>IF(ISBLANK(Invullen!N96),"",Invullen!N96)</f>
        <v/>
      </c>
      <c r="J98" s="189" t="str">
        <f>IF(ISBLANK(Invullen!N96),"",I98*$J$3)</f>
        <v/>
      </c>
      <c r="K98" s="188" t="str">
        <f>IF(ISBLANK(Invullen!O96),"",Invullen!O96)</f>
        <v/>
      </c>
      <c r="L98" s="189" t="str">
        <f>IF(ISBLANK(Invullen!O96),"",K98*$L$3)</f>
        <v/>
      </c>
      <c r="M98" s="192"/>
    </row>
    <row r="99" spans="1:13" x14ac:dyDescent="0.3">
      <c r="A99" s="148">
        <f>Invullen!A97</f>
        <v>93</v>
      </c>
      <c r="B99" s="149" t="str">
        <f>IF(ISBLANK(Invullen!D97),"",Invullen!D97)</f>
        <v/>
      </c>
      <c r="C99" s="150" t="str">
        <f>IF(ISBLANK(Invullen!E97),"",Invullen!E97)</f>
        <v/>
      </c>
      <c r="D99" s="151" t="str">
        <f>IF(ISBLANK(Invullen!F97),"",Invullen!F97)</f>
        <v/>
      </c>
      <c r="E99" s="151" t="str">
        <f>IF(ISBLANK(Invullen!G97),"",Invullen!G97)</f>
        <v/>
      </c>
      <c r="F99" s="149" t="str">
        <f>IF(ISBLANK(Invullen!K98),"",Invullen!K98)</f>
        <v/>
      </c>
      <c r="G99" s="152" t="str">
        <f>IF(ISBLANK(Invullen!L97),"",Invullen!L97)</f>
        <v/>
      </c>
      <c r="H99" s="185" t="str">
        <f>IF(ISBLANK(Invullen!M97),"",Invullen!M97)</f>
        <v/>
      </c>
      <c r="I99" s="188" t="str">
        <f>IF(ISBLANK(Invullen!N97),"",Invullen!N97)</f>
        <v/>
      </c>
      <c r="J99" s="189" t="str">
        <f>IF(ISBLANK(Invullen!N97),"",I99*$J$3)</f>
        <v/>
      </c>
      <c r="K99" s="188" t="str">
        <f>IF(ISBLANK(Invullen!O97),"",Invullen!O97)</f>
        <v/>
      </c>
      <c r="L99" s="189" t="str">
        <f>IF(ISBLANK(Invullen!O97),"",K99*$L$3)</f>
        <v/>
      </c>
      <c r="M99" s="192"/>
    </row>
    <row r="100" spans="1:13" x14ac:dyDescent="0.3">
      <c r="A100" s="148">
        <f>Invullen!A98</f>
        <v>94</v>
      </c>
      <c r="B100" s="149" t="str">
        <f>IF(ISBLANK(Invullen!D98),"",Invullen!D98)</f>
        <v/>
      </c>
      <c r="C100" s="150" t="str">
        <f>IF(ISBLANK(Invullen!E98),"",Invullen!E98)</f>
        <v/>
      </c>
      <c r="D100" s="151" t="str">
        <f>IF(ISBLANK(Invullen!F98),"",Invullen!F98)</f>
        <v/>
      </c>
      <c r="E100" s="151" t="str">
        <f>IF(ISBLANK(Invullen!G98),"",Invullen!G98)</f>
        <v/>
      </c>
      <c r="F100" s="149" t="str">
        <f>IF(ISBLANK(Invullen!K99),"",Invullen!K99)</f>
        <v/>
      </c>
      <c r="G100" s="152" t="str">
        <f>IF(ISBLANK(Invullen!L98),"",Invullen!L98)</f>
        <v/>
      </c>
      <c r="H100" s="185" t="str">
        <f>IF(ISBLANK(Invullen!M98),"",Invullen!M98)</f>
        <v/>
      </c>
      <c r="I100" s="188" t="str">
        <f>IF(ISBLANK(Invullen!N98),"",Invullen!N98)</f>
        <v/>
      </c>
      <c r="J100" s="189" t="str">
        <f>IF(ISBLANK(Invullen!N98),"",I100*$J$3)</f>
        <v/>
      </c>
      <c r="K100" s="188" t="str">
        <f>IF(ISBLANK(Invullen!O98),"",Invullen!O98)</f>
        <v/>
      </c>
      <c r="L100" s="189" t="str">
        <f>IF(ISBLANK(Invullen!O98),"",K100*$L$3)</f>
        <v/>
      </c>
      <c r="M100" s="192"/>
    </row>
    <row r="101" spans="1:13" x14ac:dyDescent="0.3">
      <c r="A101" s="148">
        <f>Invullen!A99</f>
        <v>95</v>
      </c>
      <c r="B101" s="149" t="str">
        <f>IF(ISBLANK(Invullen!D99),"",Invullen!D99)</f>
        <v/>
      </c>
      <c r="C101" s="150" t="str">
        <f>IF(ISBLANK(Invullen!E99),"",Invullen!E99)</f>
        <v/>
      </c>
      <c r="D101" s="151" t="str">
        <f>IF(ISBLANK(Invullen!F99),"",Invullen!F99)</f>
        <v/>
      </c>
      <c r="E101" s="151" t="str">
        <f>IF(ISBLANK(Invullen!G99),"",Invullen!G99)</f>
        <v/>
      </c>
      <c r="F101" s="149" t="str">
        <f>IF(ISBLANK(Invullen!K100),"",Invullen!K100)</f>
        <v/>
      </c>
      <c r="G101" s="152" t="str">
        <f>IF(ISBLANK(Invullen!L99),"",Invullen!L99)</f>
        <v/>
      </c>
      <c r="H101" s="185" t="str">
        <f>IF(ISBLANK(Invullen!M99),"",Invullen!M99)</f>
        <v/>
      </c>
      <c r="I101" s="188" t="str">
        <f>IF(ISBLANK(Invullen!N99),"",Invullen!N99)</f>
        <v/>
      </c>
      <c r="J101" s="189" t="str">
        <f>IF(ISBLANK(Invullen!N99),"",I101*$J$3)</f>
        <v/>
      </c>
      <c r="K101" s="188" t="str">
        <f>IF(ISBLANK(Invullen!O99),"",Invullen!O99)</f>
        <v/>
      </c>
      <c r="L101" s="189" t="str">
        <f>IF(ISBLANK(Invullen!O99),"",K101*$L$3)</f>
        <v/>
      </c>
      <c r="M101" s="192"/>
    </row>
    <row r="102" spans="1:13" x14ac:dyDescent="0.3">
      <c r="A102" s="148">
        <f>Invullen!A100</f>
        <v>96</v>
      </c>
      <c r="B102" s="149" t="str">
        <f>IF(ISBLANK(Invullen!D100),"",Invullen!D100)</f>
        <v/>
      </c>
      <c r="C102" s="150" t="str">
        <f>IF(ISBLANK(Invullen!E100),"",Invullen!E100)</f>
        <v/>
      </c>
      <c r="D102" s="151" t="str">
        <f>IF(ISBLANK(Invullen!F100),"",Invullen!F100)</f>
        <v/>
      </c>
      <c r="E102" s="151" t="str">
        <f>IF(ISBLANK(Invullen!G100),"",Invullen!G100)</f>
        <v/>
      </c>
      <c r="F102" s="149" t="str">
        <f>IF(ISBLANK(Invullen!K101),"",Invullen!K101)</f>
        <v/>
      </c>
      <c r="G102" s="152" t="str">
        <f>IF(ISBLANK(Invullen!L100),"",Invullen!L100)</f>
        <v/>
      </c>
      <c r="H102" s="185" t="str">
        <f>IF(ISBLANK(Invullen!M100),"",Invullen!M100)</f>
        <v/>
      </c>
      <c r="I102" s="188" t="str">
        <f>IF(ISBLANK(Invullen!N100),"",Invullen!N100)</f>
        <v/>
      </c>
      <c r="J102" s="189" t="str">
        <f>IF(ISBLANK(Invullen!N100),"",I102*$J$3)</f>
        <v/>
      </c>
      <c r="K102" s="188" t="str">
        <f>IF(ISBLANK(Invullen!O100),"",Invullen!O100)</f>
        <v/>
      </c>
      <c r="L102" s="189" t="str">
        <f>IF(ISBLANK(Invullen!O100),"",K102*$L$3)</f>
        <v/>
      </c>
      <c r="M102" s="192"/>
    </row>
    <row r="103" spans="1:13" x14ac:dyDescent="0.3">
      <c r="A103" s="148">
        <f>Invullen!A101</f>
        <v>97</v>
      </c>
      <c r="B103" s="149" t="str">
        <f>IF(ISBLANK(Invullen!D101),"",Invullen!D101)</f>
        <v/>
      </c>
      <c r="C103" s="150" t="str">
        <f>IF(ISBLANK(Invullen!E101),"",Invullen!E101)</f>
        <v/>
      </c>
      <c r="D103" s="151" t="str">
        <f>IF(ISBLANK(Invullen!F101),"",Invullen!F101)</f>
        <v/>
      </c>
      <c r="E103" s="151" t="str">
        <f>IF(ISBLANK(Invullen!G101),"",Invullen!G101)</f>
        <v/>
      </c>
      <c r="F103" s="149" t="str">
        <f>IF(ISBLANK(Invullen!K102),"",Invullen!K102)</f>
        <v/>
      </c>
      <c r="G103" s="152" t="str">
        <f>IF(ISBLANK(Invullen!L101),"",Invullen!L101)</f>
        <v/>
      </c>
      <c r="H103" s="185" t="str">
        <f>IF(ISBLANK(Invullen!M101),"",Invullen!M101)</f>
        <v/>
      </c>
      <c r="I103" s="188" t="str">
        <f>IF(ISBLANK(Invullen!N101),"",Invullen!N101)</f>
        <v/>
      </c>
      <c r="J103" s="189" t="str">
        <f>IF(ISBLANK(Invullen!N101),"",I103*$J$3)</f>
        <v/>
      </c>
      <c r="K103" s="188" t="str">
        <f>IF(ISBLANK(Invullen!O101),"",Invullen!O101)</f>
        <v/>
      </c>
      <c r="L103" s="189" t="str">
        <f>IF(ISBLANK(Invullen!O101),"",K103*$L$3)</f>
        <v/>
      </c>
      <c r="M103" s="192"/>
    </row>
    <row r="104" spans="1:13" x14ac:dyDescent="0.3">
      <c r="A104" s="148">
        <f>Invullen!A102</f>
        <v>98</v>
      </c>
      <c r="B104" s="149" t="str">
        <f>IF(ISBLANK(Invullen!D102),"",Invullen!D102)</f>
        <v/>
      </c>
      <c r="C104" s="150" t="str">
        <f>IF(ISBLANK(Invullen!E102),"",Invullen!E102)</f>
        <v/>
      </c>
      <c r="D104" s="151" t="str">
        <f>IF(ISBLANK(Invullen!F102),"",Invullen!F102)</f>
        <v/>
      </c>
      <c r="E104" s="151" t="str">
        <f>IF(ISBLANK(Invullen!G102),"",Invullen!G102)</f>
        <v/>
      </c>
      <c r="F104" s="149" t="str">
        <f>IF(ISBLANK(Invullen!K103),"",Invullen!K103)</f>
        <v/>
      </c>
      <c r="G104" s="152" t="str">
        <f>IF(ISBLANK(Invullen!L102),"",Invullen!L102)</f>
        <v/>
      </c>
      <c r="H104" s="185" t="str">
        <f>IF(ISBLANK(Invullen!M102),"",Invullen!M102)</f>
        <v/>
      </c>
      <c r="I104" s="188" t="str">
        <f>IF(ISBLANK(Invullen!N102),"",Invullen!N102)</f>
        <v/>
      </c>
      <c r="J104" s="189" t="str">
        <f>IF(ISBLANK(Invullen!N102),"",I104*$J$3)</f>
        <v/>
      </c>
      <c r="K104" s="188" t="str">
        <f>IF(ISBLANK(Invullen!O102),"",Invullen!O102)</f>
        <v/>
      </c>
      <c r="L104" s="189" t="str">
        <f>IF(ISBLANK(Invullen!O102),"",K104*$L$3)</f>
        <v/>
      </c>
      <c r="M104" s="192"/>
    </row>
    <row r="105" spans="1:13" x14ac:dyDescent="0.3">
      <c r="A105" s="148">
        <f>Invullen!A103</f>
        <v>99</v>
      </c>
      <c r="B105" s="149" t="str">
        <f>IF(ISBLANK(Invullen!D103),"",Invullen!D103)</f>
        <v/>
      </c>
      <c r="C105" s="150" t="str">
        <f>IF(ISBLANK(Invullen!E103),"",Invullen!E103)</f>
        <v/>
      </c>
      <c r="D105" s="151" t="str">
        <f>IF(ISBLANK(Invullen!F103),"",Invullen!F103)</f>
        <v/>
      </c>
      <c r="E105" s="151" t="str">
        <f>IF(ISBLANK(Invullen!G103),"",Invullen!G103)</f>
        <v/>
      </c>
      <c r="F105" s="149" t="str">
        <f>IF(ISBLANK(Invullen!K104),"",Invullen!K104)</f>
        <v/>
      </c>
      <c r="G105" s="152" t="str">
        <f>IF(ISBLANK(Invullen!L103),"",Invullen!L103)</f>
        <v/>
      </c>
      <c r="H105" s="185" t="str">
        <f>IF(ISBLANK(Invullen!M103),"",Invullen!M103)</f>
        <v/>
      </c>
      <c r="I105" s="188" t="str">
        <f>IF(ISBLANK(Invullen!N103),"",Invullen!N103)</f>
        <v/>
      </c>
      <c r="J105" s="189" t="str">
        <f>IF(ISBLANK(Invullen!N103),"",I105*$J$3)</f>
        <v/>
      </c>
      <c r="K105" s="188" t="str">
        <f>IF(ISBLANK(Invullen!O103),"",Invullen!O103)</f>
        <v/>
      </c>
      <c r="L105" s="189" t="str">
        <f>IF(ISBLANK(Invullen!O103),"",K105*$L$3)</f>
        <v/>
      </c>
      <c r="M105" s="192"/>
    </row>
    <row r="106" spans="1:13" x14ac:dyDescent="0.3">
      <c r="A106" s="148">
        <f>Invullen!A104</f>
        <v>100</v>
      </c>
      <c r="B106" s="149" t="str">
        <f>IF(ISBLANK(Invullen!D104),"",Invullen!D104)</f>
        <v/>
      </c>
      <c r="C106" s="150" t="str">
        <f>IF(ISBLANK(Invullen!E104),"",Invullen!E104)</f>
        <v/>
      </c>
      <c r="D106" s="151" t="str">
        <f>IF(ISBLANK(Invullen!F104),"",Invullen!F104)</f>
        <v/>
      </c>
      <c r="E106" s="151" t="str">
        <f>IF(ISBLANK(Invullen!G104),"",Invullen!G104)</f>
        <v/>
      </c>
      <c r="F106" s="149" t="str">
        <f>IF(ISBLANK(Invullen!K105),"",Invullen!K105)</f>
        <v/>
      </c>
      <c r="G106" s="152" t="str">
        <f>IF(ISBLANK(Invullen!L104),"",Invullen!L104)</f>
        <v/>
      </c>
      <c r="H106" s="185" t="str">
        <f>IF(ISBLANK(Invullen!M104),"",Invullen!M104)</f>
        <v/>
      </c>
      <c r="I106" s="188" t="str">
        <f>IF(ISBLANK(Invullen!N104),"",Invullen!N104)</f>
        <v/>
      </c>
      <c r="J106" s="189" t="str">
        <f>IF(ISBLANK(Invullen!N104),"",I106*$J$3)</f>
        <v/>
      </c>
      <c r="K106" s="188" t="str">
        <f>IF(ISBLANK(Invullen!O104),"",Invullen!O104)</f>
        <v/>
      </c>
      <c r="L106" s="189" t="str">
        <f>IF(ISBLANK(Invullen!O104),"",K106*$L$3)</f>
        <v/>
      </c>
      <c r="M106" s="192"/>
    </row>
    <row r="107" spans="1:13" x14ac:dyDescent="0.3">
      <c r="A107" s="148">
        <f>Invullen!A105</f>
        <v>101</v>
      </c>
      <c r="B107" s="149" t="str">
        <f>IF(ISBLANK(Invullen!D105),"",Invullen!D105)</f>
        <v/>
      </c>
      <c r="C107" s="150" t="str">
        <f>IF(ISBLANK(Invullen!E105),"",Invullen!E105)</f>
        <v/>
      </c>
      <c r="D107" s="151" t="str">
        <f>IF(ISBLANK(Invullen!F105),"",Invullen!F105)</f>
        <v/>
      </c>
      <c r="E107" s="151" t="str">
        <f>IF(ISBLANK(Invullen!G105),"",Invullen!G105)</f>
        <v/>
      </c>
      <c r="F107" s="149" t="str">
        <f>IF(ISBLANK(Invullen!K106),"",Invullen!K106)</f>
        <v/>
      </c>
      <c r="G107" s="152" t="str">
        <f>IF(ISBLANK(Invullen!L105),"",Invullen!L105)</f>
        <v/>
      </c>
      <c r="H107" s="185" t="str">
        <f>IF(ISBLANK(Invullen!M105),"",Invullen!M105)</f>
        <v/>
      </c>
      <c r="I107" s="188" t="str">
        <f>IF(ISBLANK(Invullen!N105),"",Invullen!N105)</f>
        <v/>
      </c>
      <c r="J107" s="189" t="str">
        <f>IF(ISBLANK(Invullen!N105),"",I107*$J$3)</f>
        <v/>
      </c>
      <c r="K107" s="188" t="str">
        <f>IF(ISBLANK(Invullen!O105),"",Invullen!O105)</f>
        <v/>
      </c>
      <c r="L107" s="189" t="str">
        <f>IF(ISBLANK(Invullen!O105),"",K107*$L$3)</f>
        <v/>
      </c>
      <c r="M107" s="192"/>
    </row>
    <row r="108" spans="1:13" x14ac:dyDescent="0.3">
      <c r="A108" s="148">
        <f>Invullen!A106</f>
        <v>102</v>
      </c>
      <c r="B108" s="149" t="str">
        <f>IF(ISBLANK(Invullen!D106),"",Invullen!D106)</f>
        <v/>
      </c>
      <c r="C108" s="150" t="str">
        <f>IF(ISBLANK(Invullen!E106),"",Invullen!E106)</f>
        <v/>
      </c>
      <c r="D108" s="151" t="str">
        <f>IF(ISBLANK(Invullen!F106),"",Invullen!F106)</f>
        <v/>
      </c>
      <c r="E108" s="151" t="str">
        <f>IF(ISBLANK(Invullen!G106),"",Invullen!G106)</f>
        <v/>
      </c>
      <c r="F108" s="149" t="str">
        <f>IF(ISBLANK(Invullen!K107),"",Invullen!K107)</f>
        <v/>
      </c>
      <c r="G108" s="152" t="str">
        <f>IF(ISBLANK(Invullen!L106),"",Invullen!L106)</f>
        <v/>
      </c>
      <c r="H108" s="185" t="str">
        <f>IF(ISBLANK(Invullen!M106),"",Invullen!M106)</f>
        <v/>
      </c>
      <c r="I108" s="188" t="str">
        <f>IF(ISBLANK(Invullen!N106),"",Invullen!N106)</f>
        <v/>
      </c>
      <c r="J108" s="189" t="str">
        <f>IF(ISBLANK(Invullen!N106),"",I108*$J$3)</f>
        <v/>
      </c>
      <c r="K108" s="188" t="str">
        <f>IF(ISBLANK(Invullen!O106),"",Invullen!O106)</f>
        <v/>
      </c>
      <c r="L108" s="189" t="str">
        <f>IF(ISBLANK(Invullen!O106),"",K108*$L$3)</f>
        <v/>
      </c>
      <c r="M108" s="192"/>
    </row>
    <row r="109" spans="1:13" x14ac:dyDescent="0.3">
      <c r="A109" s="148">
        <f>Invullen!A107</f>
        <v>103</v>
      </c>
      <c r="B109" s="149" t="str">
        <f>IF(ISBLANK(Invullen!D107),"",Invullen!D107)</f>
        <v/>
      </c>
      <c r="C109" s="150" t="str">
        <f>IF(ISBLANK(Invullen!E107),"",Invullen!E107)</f>
        <v/>
      </c>
      <c r="D109" s="151" t="str">
        <f>IF(ISBLANK(Invullen!F107),"",Invullen!F107)</f>
        <v/>
      </c>
      <c r="E109" s="151" t="str">
        <f>IF(ISBLANK(Invullen!G107),"",Invullen!G107)</f>
        <v/>
      </c>
      <c r="F109" s="149" t="str">
        <f>IF(ISBLANK(Invullen!K108),"",Invullen!K108)</f>
        <v/>
      </c>
      <c r="G109" s="152" t="str">
        <f>IF(ISBLANK(Invullen!L107),"",Invullen!L107)</f>
        <v/>
      </c>
      <c r="H109" s="185" t="str">
        <f>IF(ISBLANK(Invullen!M107),"",Invullen!M107)</f>
        <v/>
      </c>
      <c r="I109" s="188" t="str">
        <f>IF(ISBLANK(Invullen!N107),"",Invullen!N107)</f>
        <v/>
      </c>
      <c r="J109" s="189" t="str">
        <f>IF(ISBLANK(Invullen!N107),"",I109*$J$3)</f>
        <v/>
      </c>
      <c r="K109" s="188" t="str">
        <f>IF(ISBLANK(Invullen!O107),"",Invullen!O107)</f>
        <v/>
      </c>
      <c r="L109" s="189" t="str">
        <f>IF(ISBLANK(Invullen!O107),"",K109*$L$3)</f>
        <v/>
      </c>
      <c r="M109" s="192"/>
    </row>
    <row r="110" spans="1:13" x14ac:dyDescent="0.3">
      <c r="A110" s="148">
        <f>Invullen!A108</f>
        <v>104</v>
      </c>
      <c r="B110" s="149" t="str">
        <f>IF(ISBLANK(Invullen!D108),"",Invullen!D108)</f>
        <v/>
      </c>
      <c r="C110" s="150" t="str">
        <f>IF(ISBLANK(Invullen!E108),"",Invullen!E108)</f>
        <v/>
      </c>
      <c r="D110" s="151" t="str">
        <f>IF(ISBLANK(Invullen!F108),"",Invullen!F108)</f>
        <v/>
      </c>
      <c r="E110" s="151" t="str">
        <f>IF(ISBLANK(Invullen!G108),"",Invullen!G108)</f>
        <v/>
      </c>
      <c r="F110" s="149" t="str">
        <f>IF(ISBLANK(Invullen!K109),"",Invullen!K109)</f>
        <v/>
      </c>
      <c r="G110" s="152" t="str">
        <f>IF(ISBLANK(Invullen!L108),"",Invullen!L108)</f>
        <v/>
      </c>
      <c r="H110" s="185" t="str">
        <f>IF(ISBLANK(Invullen!M108),"",Invullen!M108)</f>
        <v/>
      </c>
      <c r="I110" s="188" t="str">
        <f>IF(ISBLANK(Invullen!N108),"",Invullen!N108)</f>
        <v/>
      </c>
      <c r="J110" s="189" t="str">
        <f>IF(ISBLANK(Invullen!N108),"",I110*$J$3)</f>
        <v/>
      </c>
      <c r="K110" s="188" t="str">
        <f>IF(ISBLANK(Invullen!O108),"",Invullen!O108)</f>
        <v/>
      </c>
      <c r="L110" s="189" t="str">
        <f>IF(ISBLANK(Invullen!O108),"",K110*$L$3)</f>
        <v/>
      </c>
      <c r="M110" s="192"/>
    </row>
    <row r="111" spans="1:13" x14ac:dyDescent="0.3">
      <c r="A111" s="148">
        <f>Invullen!A109</f>
        <v>105</v>
      </c>
      <c r="B111" s="149" t="str">
        <f>IF(ISBLANK(Invullen!D109),"",Invullen!D109)</f>
        <v/>
      </c>
      <c r="C111" s="150" t="str">
        <f>IF(ISBLANK(Invullen!E109),"",Invullen!E109)</f>
        <v/>
      </c>
      <c r="D111" s="151" t="str">
        <f>IF(ISBLANK(Invullen!F109),"",Invullen!F109)</f>
        <v/>
      </c>
      <c r="E111" s="151" t="str">
        <f>IF(ISBLANK(Invullen!G109),"",Invullen!G109)</f>
        <v/>
      </c>
      <c r="F111" s="149" t="str">
        <f>IF(ISBLANK(Invullen!K110),"",Invullen!K110)</f>
        <v/>
      </c>
      <c r="G111" s="152" t="str">
        <f>IF(ISBLANK(Invullen!L109),"",Invullen!L109)</f>
        <v/>
      </c>
      <c r="H111" s="185" t="str">
        <f>IF(ISBLANK(Invullen!M109),"",Invullen!M109)</f>
        <v/>
      </c>
      <c r="I111" s="188" t="str">
        <f>IF(ISBLANK(Invullen!N109),"",Invullen!N109)</f>
        <v/>
      </c>
      <c r="J111" s="189" t="str">
        <f>IF(ISBLANK(Invullen!N109),"",I111*$J$3)</f>
        <v/>
      </c>
      <c r="K111" s="188" t="str">
        <f>IF(ISBLANK(Invullen!O109),"",Invullen!O109)</f>
        <v/>
      </c>
      <c r="L111" s="189" t="str">
        <f>IF(ISBLANK(Invullen!O109),"",K111*$L$3)</f>
        <v/>
      </c>
      <c r="M111" s="192"/>
    </row>
    <row r="112" spans="1:13" x14ac:dyDescent="0.3">
      <c r="A112" s="148">
        <f>Invullen!A110</f>
        <v>106</v>
      </c>
      <c r="B112" s="149" t="str">
        <f>IF(ISBLANK(Invullen!D110),"",Invullen!D110)</f>
        <v/>
      </c>
      <c r="C112" s="150" t="str">
        <f>IF(ISBLANK(Invullen!E110),"",Invullen!E110)</f>
        <v/>
      </c>
      <c r="D112" s="151" t="str">
        <f>IF(ISBLANK(Invullen!F110),"",Invullen!F110)</f>
        <v/>
      </c>
      <c r="E112" s="151" t="str">
        <f>IF(ISBLANK(Invullen!G110),"",Invullen!G110)</f>
        <v/>
      </c>
      <c r="F112" s="149" t="str">
        <f>IF(ISBLANK(Invullen!K111),"",Invullen!K111)</f>
        <v/>
      </c>
      <c r="G112" s="152" t="str">
        <f>IF(ISBLANK(Invullen!L110),"",Invullen!L110)</f>
        <v/>
      </c>
      <c r="H112" s="185" t="str">
        <f>IF(ISBLANK(Invullen!M110),"",Invullen!M110)</f>
        <v/>
      </c>
      <c r="I112" s="188" t="str">
        <f>IF(ISBLANK(Invullen!N110),"",Invullen!N110)</f>
        <v/>
      </c>
      <c r="J112" s="189" t="str">
        <f>IF(ISBLANK(Invullen!N110),"",I112*$J$3)</f>
        <v/>
      </c>
      <c r="K112" s="188" t="str">
        <f>IF(ISBLANK(Invullen!O110),"",Invullen!O110)</f>
        <v/>
      </c>
      <c r="L112" s="189" t="str">
        <f>IF(ISBLANK(Invullen!O110),"",K112*$L$3)</f>
        <v/>
      </c>
      <c r="M112" s="192"/>
    </row>
    <row r="113" spans="1:13" x14ac:dyDescent="0.3">
      <c r="A113" s="148">
        <f>Invullen!A111</f>
        <v>107</v>
      </c>
      <c r="B113" s="149" t="str">
        <f>IF(ISBLANK(Invullen!D111),"",Invullen!D111)</f>
        <v/>
      </c>
      <c r="C113" s="150" t="str">
        <f>IF(ISBLANK(Invullen!E111),"",Invullen!E111)</f>
        <v/>
      </c>
      <c r="D113" s="151" t="str">
        <f>IF(ISBLANK(Invullen!F111),"",Invullen!F111)</f>
        <v/>
      </c>
      <c r="E113" s="151" t="str">
        <f>IF(ISBLANK(Invullen!G111),"",Invullen!G111)</f>
        <v/>
      </c>
      <c r="F113" s="149" t="str">
        <f>IF(ISBLANK(Invullen!K112),"",Invullen!K112)</f>
        <v/>
      </c>
      <c r="G113" s="152" t="str">
        <f>IF(ISBLANK(Invullen!L111),"",Invullen!L111)</f>
        <v/>
      </c>
      <c r="H113" s="185" t="str">
        <f>IF(ISBLANK(Invullen!M111),"",Invullen!M111)</f>
        <v/>
      </c>
      <c r="I113" s="188" t="str">
        <f>IF(ISBLANK(Invullen!N111),"",Invullen!N111)</f>
        <v/>
      </c>
      <c r="J113" s="189" t="str">
        <f>IF(ISBLANK(Invullen!N111),"",I113*$J$3)</f>
        <v/>
      </c>
      <c r="K113" s="188" t="str">
        <f>IF(ISBLANK(Invullen!O111),"",Invullen!O111)</f>
        <v/>
      </c>
      <c r="L113" s="189" t="str">
        <f>IF(ISBLANK(Invullen!O111),"",K113*$L$3)</f>
        <v/>
      </c>
      <c r="M113" s="192"/>
    </row>
    <row r="114" spans="1:13" x14ac:dyDescent="0.3">
      <c r="A114" s="148">
        <f>Invullen!A112</f>
        <v>108</v>
      </c>
      <c r="B114" s="149" t="str">
        <f>IF(ISBLANK(Invullen!D112),"",Invullen!D112)</f>
        <v/>
      </c>
      <c r="C114" s="150" t="str">
        <f>IF(ISBLANK(Invullen!E112),"",Invullen!E112)</f>
        <v/>
      </c>
      <c r="D114" s="151" t="str">
        <f>IF(ISBLANK(Invullen!F112),"",Invullen!F112)</f>
        <v/>
      </c>
      <c r="E114" s="151" t="str">
        <f>IF(ISBLANK(Invullen!G112),"",Invullen!G112)</f>
        <v/>
      </c>
      <c r="F114" s="149" t="str">
        <f>IF(ISBLANK(Invullen!K113),"",Invullen!K113)</f>
        <v/>
      </c>
      <c r="G114" s="152" t="str">
        <f>IF(ISBLANK(Invullen!L112),"",Invullen!L112)</f>
        <v/>
      </c>
      <c r="H114" s="185" t="str">
        <f>IF(ISBLANK(Invullen!M112),"",Invullen!M112)</f>
        <v/>
      </c>
      <c r="I114" s="188" t="str">
        <f>IF(ISBLANK(Invullen!N112),"",Invullen!N112)</f>
        <v/>
      </c>
      <c r="J114" s="189" t="str">
        <f>IF(ISBLANK(Invullen!N112),"",I114*$J$3)</f>
        <v/>
      </c>
      <c r="K114" s="188" t="str">
        <f>IF(ISBLANK(Invullen!O112),"",Invullen!O112)</f>
        <v/>
      </c>
      <c r="L114" s="189" t="str">
        <f>IF(ISBLANK(Invullen!O112),"",K114*$L$3)</f>
        <v/>
      </c>
      <c r="M114" s="192"/>
    </row>
    <row r="115" spans="1:13" x14ac:dyDescent="0.3">
      <c r="A115" s="148">
        <f>Invullen!A113</f>
        <v>109</v>
      </c>
      <c r="B115" s="149" t="str">
        <f>IF(ISBLANK(Invullen!D113),"",Invullen!D113)</f>
        <v/>
      </c>
      <c r="C115" s="150" t="str">
        <f>IF(ISBLANK(Invullen!E113),"",Invullen!E113)</f>
        <v/>
      </c>
      <c r="D115" s="151" t="str">
        <f>IF(ISBLANK(Invullen!F113),"",Invullen!F113)</f>
        <v/>
      </c>
      <c r="E115" s="151" t="str">
        <f>IF(ISBLANK(Invullen!G113),"",Invullen!G113)</f>
        <v/>
      </c>
      <c r="F115" s="149" t="str">
        <f>IF(ISBLANK(Invullen!K114),"",Invullen!K114)</f>
        <v/>
      </c>
      <c r="G115" s="152" t="str">
        <f>IF(ISBLANK(Invullen!L113),"",Invullen!L113)</f>
        <v/>
      </c>
      <c r="H115" s="185" t="str">
        <f>IF(ISBLANK(Invullen!M113),"",Invullen!M113)</f>
        <v/>
      </c>
      <c r="I115" s="188" t="str">
        <f>IF(ISBLANK(Invullen!N113),"",Invullen!N113)</f>
        <v/>
      </c>
      <c r="J115" s="189" t="str">
        <f>IF(ISBLANK(Invullen!N113),"",I115*$J$3)</f>
        <v/>
      </c>
      <c r="K115" s="188" t="str">
        <f>IF(ISBLANK(Invullen!O113),"",Invullen!O113)</f>
        <v/>
      </c>
      <c r="L115" s="189" t="str">
        <f>IF(ISBLANK(Invullen!O113),"",K115*$L$3)</f>
        <v/>
      </c>
      <c r="M115" s="192"/>
    </row>
    <row r="116" spans="1:13" x14ac:dyDescent="0.3">
      <c r="A116" s="148">
        <f>Invullen!A114</f>
        <v>110</v>
      </c>
      <c r="B116" s="149" t="str">
        <f>IF(ISBLANK(Invullen!D114),"",Invullen!D114)</f>
        <v/>
      </c>
      <c r="C116" s="150" t="str">
        <f>IF(ISBLANK(Invullen!E114),"",Invullen!E114)</f>
        <v/>
      </c>
      <c r="D116" s="151" t="str">
        <f>IF(ISBLANK(Invullen!F114),"",Invullen!F114)</f>
        <v/>
      </c>
      <c r="E116" s="151" t="str">
        <f>IF(ISBLANK(Invullen!G114),"",Invullen!G114)</f>
        <v/>
      </c>
      <c r="F116" s="149" t="str">
        <f>IF(ISBLANK(Invullen!K115),"",Invullen!K115)</f>
        <v/>
      </c>
      <c r="G116" s="152" t="str">
        <f>IF(ISBLANK(Invullen!L114),"",Invullen!L114)</f>
        <v/>
      </c>
      <c r="H116" s="185" t="str">
        <f>IF(ISBLANK(Invullen!M114),"",Invullen!M114)</f>
        <v/>
      </c>
      <c r="I116" s="188" t="str">
        <f>IF(ISBLANK(Invullen!N114),"",Invullen!N114)</f>
        <v/>
      </c>
      <c r="J116" s="189" t="str">
        <f>IF(ISBLANK(Invullen!N114),"",I116*$J$3)</f>
        <v/>
      </c>
      <c r="K116" s="188" t="str">
        <f>IF(ISBLANK(Invullen!O114),"",Invullen!O114)</f>
        <v/>
      </c>
      <c r="L116" s="189" t="str">
        <f>IF(ISBLANK(Invullen!O114),"",K116*$L$3)</f>
        <v/>
      </c>
      <c r="M116" s="192"/>
    </row>
    <row r="117" spans="1:13" x14ac:dyDescent="0.3">
      <c r="A117" s="148">
        <f>Invullen!A115</f>
        <v>111</v>
      </c>
      <c r="B117" s="149" t="str">
        <f>IF(ISBLANK(Invullen!D115),"",Invullen!D115)</f>
        <v/>
      </c>
      <c r="C117" s="150" t="str">
        <f>IF(ISBLANK(Invullen!E115),"",Invullen!E115)</f>
        <v/>
      </c>
      <c r="D117" s="151" t="str">
        <f>IF(ISBLANK(Invullen!F115),"",Invullen!F115)</f>
        <v/>
      </c>
      <c r="E117" s="151" t="str">
        <f>IF(ISBLANK(Invullen!G115),"",Invullen!G115)</f>
        <v/>
      </c>
      <c r="F117" s="149" t="str">
        <f>IF(ISBLANK(Invullen!K116),"",Invullen!K116)</f>
        <v/>
      </c>
      <c r="G117" s="152" t="str">
        <f>IF(ISBLANK(Invullen!L115),"",Invullen!L115)</f>
        <v/>
      </c>
      <c r="H117" s="185" t="str">
        <f>IF(ISBLANK(Invullen!M115),"",Invullen!M115)</f>
        <v/>
      </c>
      <c r="I117" s="188" t="str">
        <f>IF(ISBLANK(Invullen!N115),"",Invullen!N115)</f>
        <v/>
      </c>
      <c r="J117" s="189" t="str">
        <f>IF(ISBLANK(Invullen!N115),"",I117*$J$3)</f>
        <v/>
      </c>
      <c r="K117" s="188" t="str">
        <f>IF(ISBLANK(Invullen!O115),"",Invullen!O115)</f>
        <v/>
      </c>
      <c r="L117" s="189" t="str">
        <f>IF(ISBLANK(Invullen!O115),"",K117*$L$3)</f>
        <v/>
      </c>
      <c r="M117" s="192"/>
    </row>
    <row r="118" spans="1:13" x14ac:dyDescent="0.3">
      <c r="A118" s="148">
        <f>Invullen!A116</f>
        <v>112</v>
      </c>
      <c r="B118" s="149" t="str">
        <f>IF(ISBLANK(Invullen!D116),"",Invullen!D116)</f>
        <v/>
      </c>
      <c r="C118" s="150" t="str">
        <f>IF(ISBLANK(Invullen!E116),"",Invullen!E116)</f>
        <v/>
      </c>
      <c r="D118" s="151" t="str">
        <f>IF(ISBLANK(Invullen!F116),"",Invullen!F116)</f>
        <v/>
      </c>
      <c r="E118" s="151" t="str">
        <f>IF(ISBLANK(Invullen!G116),"",Invullen!G116)</f>
        <v/>
      </c>
      <c r="F118" s="149" t="str">
        <f>IF(ISBLANK(Invullen!K117),"",Invullen!K117)</f>
        <v/>
      </c>
      <c r="G118" s="152" t="str">
        <f>IF(ISBLANK(Invullen!L116),"",Invullen!L116)</f>
        <v/>
      </c>
      <c r="H118" s="185" t="str">
        <f>IF(ISBLANK(Invullen!M116),"",Invullen!M116)</f>
        <v/>
      </c>
      <c r="I118" s="188" t="str">
        <f>IF(ISBLANK(Invullen!N116),"",Invullen!N116)</f>
        <v/>
      </c>
      <c r="J118" s="189" t="str">
        <f>IF(ISBLANK(Invullen!N116),"",I118*$J$3)</f>
        <v/>
      </c>
      <c r="K118" s="188" t="str">
        <f>IF(ISBLANK(Invullen!O116),"",Invullen!O116)</f>
        <v/>
      </c>
      <c r="L118" s="189" t="str">
        <f>IF(ISBLANK(Invullen!O116),"",K118*$L$3)</f>
        <v/>
      </c>
      <c r="M118" s="192"/>
    </row>
    <row r="119" spans="1:13" x14ac:dyDescent="0.3">
      <c r="A119" s="148">
        <f>Invullen!A117</f>
        <v>113</v>
      </c>
      <c r="B119" s="149" t="str">
        <f>IF(ISBLANK(Invullen!D117),"",Invullen!D117)</f>
        <v/>
      </c>
      <c r="C119" s="150" t="str">
        <f>IF(ISBLANK(Invullen!E117),"",Invullen!E117)</f>
        <v/>
      </c>
      <c r="D119" s="151" t="str">
        <f>IF(ISBLANK(Invullen!F117),"",Invullen!F117)</f>
        <v/>
      </c>
      <c r="E119" s="151" t="str">
        <f>IF(ISBLANK(Invullen!G117),"",Invullen!G117)</f>
        <v/>
      </c>
      <c r="F119" s="149" t="str">
        <f>IF(ISBLANK(Invullen!K118),"",Invullen!K118)</f>
        <v/>
      </c>
      <c r="G119" s="152" t="str">
        <f>IF(ISBLANK(Invullen!L117),"",Invullen!L117)</f>
        <v/>
      </c>
      <c r="H119" s="185" t="str">
        <f>IF(ISBLANK(Invullen!M117),"",Invullen!M117)</f>
        <v/>
      </c>
      <c r="I119" s="188" t="str">
        <f>IF(ISBLANK(Invullen!N117),"",Invullen!N117)</f>
        <v/>
      </c>
      <c r="J119" s="189" t="str">
        <f>IF(ISBLANK(Invullen!N117),"",I119*$J$3)</f>
        <v/>
      </c>
      <c r="K119" s="188" t="str">
        <f>IF(ISBLANK(Invullen!O117),"",Invullen!O117)</f>
        <v/>
      </c>
      <c r="L119" s="189" t="str">
        <f>IF(ISBLANK(Invullen!O117),"",K119*$L$3)</f>
        <v/>
      </c>
      <c r="M119" s="192"/>
    </row>
    <row r="120" spans="1:13" x14ac:dyDescent="0.3">
      <c r="A120" s="148">
        <f>Invullen!A118</f>
        <v>114</v>
      </c>
      <c r="B120" s="149" t="str">
        <f>IF(ISBLANK(Invullen!D118),"",Invullen!D118)</f>
        <v/>
      </c>
      <c r="C120" s="150" t="str">
        <f>IF(ISBLANK(Invullen!E118),"",Invullen!E118)</f>
        <v/>
      </c>
      <c r="D120" s="151" t="str">
        <f>IF(ISBLANK(Invullen!F118),"",Invullen!F118)</f>
        <v/>
      </c>
      <c r="E120" s="151" t="str">
        <f>IF(ISBLANK(Invullen!G118),"",Invullen!G118)</f>
        <v/>
      </c>
      <c r="F120" s="149" t="str">
        <f>IF(ISBLANK(Invullen!K119),"",Invullen!K119)</f>
        <v/>
      </c>
      <c r="G120" s="152" t="str">
        <f>IF(ISBLANK(Invullen!L118),"",Invullen!L118)</f>
        <v/>
      </c>
      <c r="H120" s="185" t="str">
        <f>IF(ISBLANK(Invullen!M118),"",Invullen!M118)</f>
        <v/>
      </c>
      <c r="I120" s="188" t="str">
        <f>IF(ISBLANK(Invullen!N118),"",Invullen!N118)</f>
        <v/>
      </c>
      <c r="J120" s="189" t="str">
        <f>IF(ISBLANK(Invullen!N118),"",I120*$J$3)</f>
        <v/>
      </c>
      <c r="K120" s="188" t="str">
        <f>IF(ISBLANK(Invullen!O118),"",Invullen!O118)</f>
        <v/>
      </c>
      <c r="L120" s="189" t="str">
        <f>IF(ISBLANK(Invullen!O118),"",K120*$L$3)</f>
        <v/>
      </c>
      <c r="M120" s="192"/>
    </row>
    <row r="121" spans="1:13" x14ac:dyDescent="0.3">
      <c r="A121" s="148">
        <f>Invullen!A119</f>
        <v>115</v>
      </c>
      <c r="B121" s="149" t="str">
        <f>IF(ISBLANK(Invullen!D119),"",Invullen!D119)</f>
        <v/>
      </c>
      <c r="C121" s="150" t="str">
        <f>IF(ISBLANK(Invullen!E119),"",Invullen!E119)</f>
        <v/>
      </c>
      <c r="D121" s="151" t="str">
        <f>IF(ISBLANK(Invullen!F119),"",Invullen!F119)</f>
        <v/>
      </c>
      <c r="E121" s="151" t="str">
        <f>IF(ISBLANK(Invullen!G119),"",Invullen!G119)</f>
        <v/>
      </c>
      <c r="F121" s="149" t="str">
        <f>IF(ISBLANK(Invullen!K120),"",Invullen!K120)</f>
        <v/>
      </c>
      <c r="G121" s="152" t="str">
        <f>IF(ISBLANK(Invullen!L119),"",Invullen!L119)</f>
        <v/>
      </c>
      <c r="H121" s="185" t="str">
        <f>IF(ISBLANK(Invullen!M119),"",Invullen!M119)</f>
        <v/>
      </c>
      <c r="I121" s="188" t="str">
        <f>IF(ISBLANK(Invullen!N119),"",Invullen!N119)</f>
        <v/>
      </c>
      <c r="J121" s="189" t="str">
        <f>IF(ISBLANK(Invullen!N119),"",I121*$J$3)</f>
        <v/>
      </c>
      <c r="K121" s="188" t="str">
        <f>IF(ISBLANK(Invullen!O119),"",Invullen!O119)</f>
        <v/>
      </c>
      <c r="L121" s="189" t="str">
        <f>IF(ISBLANK(Invullen!O119),"",K121*$L$3)</f>
        <v/>
      </c>
      <c r="M121" s="192"/>
    </row>
    <row r="122" spans="1:13" x14ac:dyDescent="0.3">
      <c r="A122" s="148">
        <f>Invullen!A120</f>
        <v>116</v>
      </c>
      <c r="B122" s="149" t="str">
        <f>IF(ISBLANK(Invullen!D120),"",Invullen!D120)</f>
        <v/>
      </c>
      <c r="C122" s="150" t="str">
        <f>IF(ISBLANK(Invullen!E120),"",Invullen!E120)</f>
        <v/>
      </c>
      <c r="D122" s="151" t="str">
        <f>IF(ISBLANK(Invullen!F120),"",Invullen!F120)</f>
        <v/>
      </c>
      <c r="E122" s="151" t="str">
        <f>IF(ISBLANK(Invullen!G120),"",Invullen!G120)</f>
        <v/>
      </c>
      <c r="F122" s="149" t="str">
        <f>IF(ISBLANK(Invullen!K121),"",Invullen!K121)</f>
        <v/>
      </c>
      <c r="G122" s="152" t="str">
        <f>IF(ISBLANK(Invullen!L120),"",Invullen!L120)</f>
        <v/>
      </c>
      <c r="H122" s="185" t="str">
        <f>IF(ISBLANK(Invullen!M120),"",Invullen!M120)</f>
        <v/>
      </c>
      <c r="I122" s="188" t="str">
        <f>IF(ISBLANK(Invullen!N120),"",Invullen!N120)</f>
        <v/>
      </c>
      <c r="J122" s="189" t="str">
        <f>IF(ISBLANK(Invullen!N120),"",I122*$J$3)</f>
        <v/>
      </c>
      <c r="K122" s="188" t="str">
        <f>IF(ISBLANK(Invullen!O120),"",Invullen!O120)</f>
        <v/>
      </c>
      <c r="L122" s="189" t="str">
        <f>IF(ISBLANK(Invullen!O120),"",K122*$L$3)</f>
        <v/>
      </c>
      <c r="M122" s="192"/>
    </row>
    <row r="123" spans="1:13" x14ac:dyDescent="0.3">
      <c r="A123" s="148">
        <f>Invullen!A121</f>
        <v>117</v>
      </c>
      <c r="B123" s="149" t="str">
        <f>IF(ISBLANK(Invullen!D121),"",Invullen!D121)</f>
        <v/>
      </c>
      <c r="C123" s="150" t="str">
        <f>IF(ISBLANK(Invullen!E121),"",Invullen!E121)</f>
        <v/>
      </c>
      <c r="D123" s="151" t="str">
        <f>IF(ISBLANK(Invullen!F121),"",Invullen!F121)</f>
        <v/>
      </c>
      <c r="E123" s="151" t="str">
        <f>IF(ISBLANK(Invullen!G121),"",Invullen!G121)</f>
        <v/>
      </c>
      <c r="F123" s="149" t="str">
        <f>IF(ISBLANK(Invullen!K122),"",Invullen!K122)</f>
        <v/>
      </c>
      <c r="G123" s="152" t="str">
        <f>IF(ISBLANK(Invullen!L121),"",Invullen!L121)</f>
        <v/>
      </c>
      <c r="H123" s="185" t="str">
        <f>IF(ISBLANK(Invullen!M121),"",Invullen!M121)</f>
        <v/>
      </c>
      <c r="I123" s="188" t="str">
        <f>IF(ISBLANK(Invullen!N121),"",Invullen!N121)</f>
        <v/>
      </c>
      <c r="J123" s="189" t="str">
        <f>IF(ISBLANK(Invullen!N121),"",I123*$J$3)</f>
        <v/>
      </c>
      <c r="K123" s="188" t="str">
        <f>IF(ISBLANK(Invullen!O121),"",Invullen!O121)</f>
        <v/>
      </c>
      <c r="L123" s="189" t="str">
        <f>IF(ISBLANK(Invullen!O121),"",K123*$L$3)</f>
        <v/>
      </c>
      <c r="M123" s="192"/>
    </row>
    <row r="124" spans="1:13" x14ac:dyDescent="0.3">
      <c r="A124" s="148">
        <f>Invullen!A122</f>
        <v>118</v>
      </c>
      <c r="B124" s="149" t="str">
        <f>IF(ISBLANK(Invullen!D122),"",Invullen!D122)</f>
        <v/>
      </c>
      <c r="C124" s="150" t="str">
        <f>IF(ISBLANK(Invullen!E122),"",Invullen!E122)</f>
        <v/>
      </c>
      <c r="D124" s="151" t="str">
        <f>IF(ISBLANK(Invullen!F122),"",Invullen!F122)</f>
        <v/>
      </c>
      <c r="E124" s="151" t="str">
        <f>IF(ISBLANK(Invullen!G122),"",Invullen!G122)</f>
        <v/>
      </c>
      <c r="F124" s="149" t="str">
        <f>IF(ISBLANK(Invullen!K123),"",Invullen!K123)</f>
        <v/>
      </c>
      <c r="G124" s="152" t="str">
        <f>IF(ISBLANK(Invullen!L122),"",Invullen!L122)</f>
        <v/>
      </c>
      <c r="H124" s="185" t="str">
        <f>IF(ISBLANK(Invullen!M122),"",Invullen!M122)</f>
        <v/>
      </c>
      <c r="I124" s="188" t="str">
        <f>IF(ISBLANK(Invullen!N122),"",Invullen!N122)</f>
        <v/>
      </c>
      <c r="J124" s="189" t="str">
        <f>IF(ISBLANK(Invullen!N122),"",I124*$J$3)</f>
        <v/>
      </c>
      <c r="K124" s="188" t="str">
        <f>IF(ISBLANK(Invullen!O122),"",Invullen!O122)</f>
        <v/>
      </c>
      <c r="L124" s="189" t="str">
        <f>IF(ISBLANK(Invullen!O122),"",K124*$L$3)</f>
        <v/>
      </c>
      <c r="M124" s="192"/>
    </row>
    <row r="125" spans="1:13" x14ac:dyDescent="0.3">
      <c r="A125" s="148">
        <f>Invullen!A123</f>
        <v>119</v>
      </c>
      <c r="B125" s="149" t="str">
        <f>IF(ISBLANK(Invullen!D123),"",Invullen!D123)</f>
        <v/>
      </c>
      <c r="C125" s="150" t="str">
        <f>IF(ISBLANK(Invullen!E123),"",Invullen!E123)</f>
        <v/>
      </c>
      <c r="D125" s="151" t="str">
        <f>IF(ISBLANK(Invullen!F123),"",Invullen!F123)</f>
        <v/>
      </c>
      <c r="E125" s="151" t="str">
        <f>IF(ISBLANK(Invullen!G123),"",Invullen!G123)</f>
        <v/>
      </c>
      <c r="F125" s="149" t="str">
        <f>IF(ISBLANK(Invullen!K124),"",Invullen!K124)</f>
        <v/>
      </c>
      <c r="G125" s="152" t="str">
        <f>IF(ISBLANK(Invullen!L123),"",Invullen!L123)</f>
        <v/>
      </c>
      <c r="H125" s="185" t="str">
        <f>IF(ISBLANK(Invullen!M123),"",Invullen!M123)</f>
        <v/>
      </c>
      <c r="I125" s="188" t="str">
        <f>IF(ISBLANK(Invullen!N123),"",Invullen!N123)</f>
        <v/>
      </c>
      <c r="J125" s="189" t="str">
        <f>IF(ISBLANK(Invullen!N123),"",I125*$J$3)</f>
        <v/>
      </c>
      <c r="K125" s="188" t="str">
        <f>IF(ISBLANK(Invullen!O123),"",Invullen!O123)</f>
        <v/>
      </c>
      <c r="L125" s="189" t="str">
        <f>IF(ISBLANK(Invullen!O123),"",K125*$L$3)</f>
        <v/>
      </c>
      <c r="M125" s="192"/>
    </row>
    <row r="126" spans="1:13" x14ac:dyDescent="0.3">
      <c r="A126" s="148">
        <f>Invullen!A124</f>
        <v>120</v>
      </c>
      <c r="B126" s="149" t="str">
        <f>IF(ISBLANK(Invullen!D124),"",Invullen!D124)</f>
        <v/>
      </c>
      <c r="C126" s="150" t="str">
        <f>IF(ISBLANK(Invullen!E124),"",Invullen!E124)</f>
        <v/>
      </c>
      <c r="D126" s="151" t="str">
        <f>IF(ISBLANK(Invullen!F124),"",Invullen!F124)</f>
        <v/>
      </c>
      <c r="E126" s="151" t="str">
        <f>IF(ISBLANK(Invullen!G124),"",Invullen!G124)</f>
        <v/>
      </c>
      <c r="F126" s="149" t="str">
        <f>IF(ISBLANK(Invullen!K125),"",Invullen!K125)</f>
        <v/>
      </c>
      <c r="G126" s="152" t="str">
        <f>IF(ISBLANK(Invullen!L124),"",Invullen!L124)</f>
        <v/>
      </c>
      <c r="H126" s="185" t="str">
        <f>IF(ISBLANK(Invullen!M124),"",Invullen!M124)</f>
        <v/>
      </c>
      <c r="I126" s="188" t="str">
        <f>IF(ISBLANK(Invullen!N124),"",Invullen!N124)</f>
        <v/>
      </c>
      <c r="J126" s="189" t="str">
        <f>IF(ISBLANK(Invullen!N124),"",I126*$J$3)</f>
        <v/>
      </c>
      <c r="K126" s="188" t="str">
        <f>IF(ISBLANK(Invullen!O124),"",Invullen!O124)</f>
        <v/>
      </c>
      <c r="L126" s="189" t="str">
        <f>IF(ISBLANK(Invullen!O124),"",K126*$L$3)</f>
        <v/>
      </c>
      <c r="M126" s="192"/>
    </row>
    <row r="127" spans="1:13" x14ac:dyDescent="0.3">
      <c r="A127" s="148">
        <f>Invullen!A125</f>
        <v>121</v>
      </c>
      <c r="B127" s="149" t="str">
        <f>IF(ISBLANK(Invullen!D125),"",Invullen!D125)</f>
        <v/>
      </c>
      <c r="C127" s="150" t="str">
        <f>IF(ISBLANK(Invullen!E125),"",Invullen!E125)</f>
        <v/>
      </c>
      <c r="D127" s="151" t="str">
        <f>IF(ISBLANK(Invullen!F125),"",Invullen!F125)</f>
        <v/>
      </c>
      <c r="E127" s="151" t="str">
        <f>IF(ISBLANK(Invullen!G125),"",Invullen!G125)</f>
        <v/>
      </c>
      <c r="F127" s="149" t="str">
        <f>IF(ISBLANK(Invullen!K126),"",Invullen!K126)</f>
        <v/>
      </c>
      <c r="G127" s="152" t="str">
        <f>IF(ISBLANK(Invullen!L125),"",Invullen!L125)</f>
        <v/>
      </c>
      <c r="H127" s="185" t="str">
        <f>IF(ISBLANK(Invullen!M125),"",Invullen!M125)</f>
        <v/>
      </c>
      <c r="I127" s="188" t="str">
        <f>IF(ISBLANK(Invullen!N125),"",Invullen!N125)</f>
        <v/>
      </c>
      <c r="J127" s="189" t="str">
        <f>IF(ISBLANK(Invullen!N125),"",I127*$J$3)</f>
        <v/>
      </c>
      <c r="K127" s="188" t="str">
        <f>IF(ISBLANK(Invullen!O125),"",Invullen!O125)</f>
        <v/>
      </c>
      <c r="L127" s="189" t="str">
        <f>IF(ISBLANK(Invullen!O125),"",K127*$L$3)</f>
        <v/>
      </c>
      <c r="M127" s="192"/>
    </row>
    <row r="128" spans="1:13" x14ac:dyDescent="0.3">
      <c r="A128" s="148">
        <f>Invullen!A126</f>
        <v>122</v>
      </c>
      <c r="B128" s="149" t="str">
        <f>IF(ISBLANK(Invullen!D126),"",Invullen!D126)</f>
        <v/>
      </c>
      <c r="C128" s="150" t="str">
        <f>IF(ISBLANK(Invullen!E126),"",Invullen!E126)</f>
        <v/>
      </c>
      <c r="D128" s="151" t="str">
        <f>IF(ISBLANK(Invullen!F126),"",Invullen!F126)</f>
        <v/>
      </c>
      <c r="E128" s="151" t="str">
        <f>IF(ISBLANK(Invullen!G126),"",Invullen!G126)</f>
        <v/>
      </c>
      <c r="F128" s="149" t="str">
        <f>IF(ISBLANK(Invullen!K127),"",Invullen!K127)</f>
        <v/>
      </c>
      <c r="G128" s="152" t="str">
        <f>IF(ISBLANK(Invullen!L126),"",Invullen!L126)</f>
        <v/>
      </c>
      <c r="H128" s="185" t="str">
        <f>IF(ISBLANK(Invullen!M126),"",Invullen!M126)</f>
        <v/>
      </c>
      <c r="I128" s="188" t="str">
        <f>IF(ISBLANK(Invullen!N126),"",Invullen!N126)</f>
        <v/>
      </c>
      <c r="J128" s="189" t="str">
        <f>IF(ISBLANK(Invullen!N126),"",I128*$J$3)</f>
        <v/>
      </c>
      <c r="K128" s="188" t="str">
        <f>IF(ISBLANK(Invullen!O126),"",Invullen!O126)</f>
        <v/>
      </c>
      <c r="L128" s="189" t="str">
        <f>IF(ISBLANK(Invullen!O126),"",K128*$L$3)</f>
        <v/>
      </c>
      <c r="M128" s="192"/>
    </row>
    <row r="129" spans="1:13" x14ac:dyDescent="0.3">
      <c r="A129" s="148">
        <f>Invullen!A127</f>
        <v>123</v>
      </c>
      <c r="B129" s="149" t="str">
        <f>IF(ISBLANK(Invullen!D127),"",Invullen!D127)</f>
        <v/>
      </c>
      <c r="C129" s="150" t="str">
        <f>IF(ISBLANK(Invullen!E127),"",Invullen!E127)</f>
        <v/>
      </c>
      <c r="D129" s="151" t="str">
        <f>IF(ISBLANK(Invullen!F127),"",Invullen!F127)</f>
        <v/>
      </c>
      <c r="E129" s="151" t="str">
        <f>IF(ISBLANK(Invullen!G127),"",Invullen!G127)</f>
        <v/>
      </c>
      <c r="F129" s="149" t="str">
        <f>IF(ISBLANK(Invullen!K128),"",Invullen!K128)</f>
        <v/>
      </c>
      <c r="G129" s="152" t="str">
        <f>IF(ISBLANK(Invullen!L127),"",Invullen!L127)</f>
        <v/>
      </c>
      <c r="H129" s="185" t="str">
        <f>IF(ISBLANK(Invullen!M127),"",Invullen!M127)</f>
        <v/>
      </c>
      <c r="I129" s="188" t="str">
        <f>IF(ISBLANK(Invullen!N127),"",Invullen!N127)</f>
        <v/>
      </c>
      <c r="J129" s="189" t="str">
        <f>IF(ISBLANK(Invullen!N127),"",I129*$J$3)</f>
        <v/>
      </c>
      <c r="K129" s="188" t="str">
        <f>IF(ISBLANK(Invullen!O127),"",Invullen!O127)</f>
        <v/>
      </c>
      <c r="L129" s="189" t="str">
        <f>IF(ISBLANK(Invullen!O127),"",K129*$L$3)</f>
        <v/>
      </c>
      <c r="M129" s="192"/>
    </row>
    <row r="130" spans="1:13" x14ac:dyDescent="0.3">
      <c r="A130" s="148">
        <f>Invullen!A128</f>
        <v>124</v>
      </c>
      <c r="B130" s="149" t="str">
        <f>IF(ISBLANK(Invullen!D128),"",Invullen!D128)</f>
        <v/>
      </c>
      <c r="C130" s="150" t="str">
        <f>IF(ISBLANK(Invullen!E128),"",Invullen!E128)</f>
        <v/>
      </c>
      <c r="D130" s="151" t="str">
        <f>IF(ISBLANK(Invullen!F128),"",Invullen!F128)</f>
        <v/>
      </c>
      <c r="E130" s="151" t="str">
        <f>IF(ISBLANK(Invullen!G128),"",Invullen!G128)</f>
        <v/>
      </c>
      <c r="F130" s="149" t="str">
        <f>IF(ISBLANK(Invullen!K129),"",Invullen!K129)</f>
        <v/>
      </c>
      <c r="G130" s="152" t="str">
        <f>IF(ISBLANK(Invullen!L128),"",Invullen!L128)</f>
        <v/>
      </c>
      <c r="H130" s="185" t="str">
        <f>IF(ISBLANK(Invullen!M128),"",Invullen!M128)</f>
        <v/>
      </c>
      <c r="I130" s="188" t="str">
        <f>IF(ISBLANK(Invullen!N128),"",Invullen!N128)</f>
        <v/>
      </c>
      <c r="J130" s="189" t="str">
        <f>IF(ISBLANK(Invullen!N128),"",I130*$J$3)</f>
        <v/>
      </c>
      <c r="K130" s="188" t="str">
        <f>IF(ISBLANK(Invullen!O128),"",Invullen!O128)</f>
        <v/>
      </c>
      <c r="L130" s="189" t="str">
        <f>IF(ISBLANK(Invullen!O128),"",K130*$L$3)</f>
        <v/>
      </c>
      <c r="M130" s="192"/>
    </row>
    <row r="131" spans="1:13" x14ac:dyDescent="0.3">
      <c r="A131" s="148">
        <f>Invullen!A129</f>
        <v>125</v>
      </c>
      <c r="B131" s="149" t="str">
        <f>IF(ISBLANK(Invullen!D129),"",Invullen!D129)</f>
        <v/>
      </c>
      <c r="C131" s="150" t="str">
        <f>IF(ISBLANK(Invullen!E129),"",Invullen!E129)</f>
        <v/>
      </c>
      <c r="D131" s="151" t="str">
        <f>IF(ISBLANK(Invullen!F129),"",Invullen!F129)</f>
        <v/>
      </c>
      <c r="E131" s="151" t="str">
        <f>IF(ISBLANK(Invullen!G129),"",Invullen!G129)</f>
        <v/>
      </c>
      <c r="F131" s="149" t="str">
        <f>IF(ISBLANK(Invullen!K130),"",Invullen!K130)</f>
        <v/>
      </c>
      <c r="G131" s="152" t="str">
        <f>IF(ISBLANK(Invullen!L129),"",Invullen!L129)</f>
        <v/>
      </c>
      <c r="H131" s="185" t="str">
        <f>IF(ISBLANK(Invullen!M129),"",Invullen!M129)</f>
        <v/>
      </c>
      <c r="I131" s="188" t="str">
        <f>IF(ISBLANK(Invullen!N129),"",Invullen!N129)</f>
        <v/>
      </c>
      <c r="J131" s="189" t="str">
        <f>IF(ISBLANK(Invullen!N129),"",I131*$J$3)</f>
        <v/>
      </c>
      <c r="K131" s="188" t="str">
        <f>IF(ISBLANK(Invullen!O129),"",Invullen!O129)</f>
        <v/>
      </c>
      <c r="L131" s="189" t="str">
        <f>IF(ISBLANK(Invullen!O129),"",K131*$L$3)</f>
        <v/>
      </c>
      <c r="M131" s="192"/>
    </row>
    <row r="132" spans="1:13" x14ac:dyDescent="0.3">
      <c r="A132" s="148">
        <f>Invullen!A130</f>
        <v>126</v>
      </c>
      <c r="B132" s="149" t="str">
        <f>IF(ISBLANK(Invullen!D130),"",Invullen!D130)</f>
        <v/>
      </c>
      <c r="C132" s="150" t="str">
        <f>IF(ISBLANK(Invullen!E130),"",Invullen!E130)</f>
        <v/>
      </c>
      <c r="D132" s="151" t="str">
        <f>IF(ISBLANK(Invullen!F130),"",Invullen!F130)</f>
        <v/>
      </c>
      <c r="E132" s="151" t="str">
        <f>IF(ISBLANK(Invullen!G130),"",Invullen!G130)</f>
        <v/>
      </c>
      <c r="F132" s="149" t="str">
        <f>IF(ISBLANK(Invullen!K131),"",Invullen!K131)</f>
        <v/>
      </c>
      <c r="G132" s="152" t="str">
        <f>IF(ISBLANK(Invullen!L130),"",Invullen!L130)</f>
        <v/>
      </c>
      <c r="H132" s="185" t="str">
        <f>IF(ISBLANK(Invullen!M130),"",Invullen!M130)</f>
        <v/>
      </c>
      <c r="I132" s="188" t="str">
        <f>IF(ISBLANK(Invullen!N130),"",Invullen!N130)</f>
        <v/>
      </c>
      <c r="J132" s="189" t="str">
        <f>IF(ISBLANK(Invullen!N130),"",I132*$J$3)</f>
        <v/>
      </c>
      <c r="K132" s="188" t="str">
        <f>IF(ISBLANK(Invullen!O130),"",Invullen!O130)</f>
        <v/>
      </c>
      <c r="L132" s="189" t="str">
        <f>IF(ISBLANK(Invullen!O130),"",K132*$L$3)</f>
        <v/>
      </c>
      <c r="M132" s="192"/>
    </row>
    <row r="133" spans="1:13" x14ac:dyDescent="0.3">
      <c r="A133" s="148">
        <f>Invullen!A131</f>
        <v>127</v>
      </c>
      <c r="B133" s="149" t="str">
        <f>IF(ISBLANK(Invullen!D131),"",Invullen!D131)</f>
        <v/>
      </c>
      <c r="C133" s="150" t="str">
        <f>IF(ISBLANK(Invullen!E131),"",Invullen!E131)</f>
        <v/>
      </c>
      <c r="D133" s="151" t="str">
        <f>IF(ISBLANK(Invullen!F131),"",Invullen!F131)</f>
        <v/>
      </c>
      <c r="E133" s="151" t="str">
        <f>IF(ISBLANK(Invullen!G131),"",Invullen!G131)</f>
        <v/>
      </c>
      <c r="F133" s="149" t="str">
        <f>IF(ISBLANK(Invullen!K132),"",Invullen!K132)</f>
        <v/>
      </c>
      <c r="G133" s="152" t="str">
        <f>IF(ISBLANK(Invullen!L131),"",Invullen!L131)</f>
        <v/>
      </c>
      <c r="H133" s="185" t="str">
        <f>IF(ISBLANK(Invullen!M131),"",Invullen!M131)</f>
        <v/>
      </c>
      <c r="I133" s="188" t="str">
        <f>IF(ISBLANK(Invullen!N131),"",Invullen!N131)</f>
        <v/>
      </c>
      <c r="J133" s="189" t="str">
        <f>IF(ISBLANK(Invullen!N131),"",I133*$J$3)</f>
        <v/>
      </c>
      <c r="K133" s="188" t="str">
        <f>IF(ISBLANK(Invullen!O131),"",Invullen!O131)</f>
        <v/>
      </c>
      <c r="L133" s="189" t="str">
        <f>IF(ISBLANK(Invullen!O131),"",K133*$L$3)</f>
        <v/>
      </c>
      <c r="M133" s="192"/>
    </row>
    <row r="134" spans="1:13" x14ac:dyDescent="0.3">
      <c r="A134" s="148">
        <f>Invullen!A132</f>
        <v>128</v>
      </c>
      <c r="B134" s="149" t="str">
        <f>IF(ISBLANK(Invullen!D132),"",Invullen!D132)</f>
        <v/>
      </c>
      <c r="C134" s="150" t="str">
        <f>IF(ISBLANK(Invullen!E132),"",Invullen!E132)</f>
        <v/>
      </c>
      <c r="D134" s="151" t="str">
        <f>IF(ISBLANK(Invullen!F132),"",Invullen!F132)</f>
        <v/>
      </c>
      <c r="E134" s="151" t="str">
        <f>IF(ISBLANK(Invullen!G132),"",Invullen!G132)</f>
        <v/>
      </c>
      <c r="F134" s="149" t="str">
        <f>IF(ISBLANK(Invullen!K133),"",Invullen!K133)</f>
        <v/>
      </c>
      <c r="G134" s="152" t="str">
        <f>IF(ISBLANK(Invullen!L132),"",Invullen!L132)</f>
        <v/>
      </c>
      <c r="H134" s="185" t="str">
        <f>IF(ISBLANK(Invullen!M132),"",Invullen!M132)</f>
        <v/>
      </c>
      <c r="I134" s="188" t="str">
        <f>IF(ISBLANK(Invullen!N132),"",Invullen!N132)</f>
        <v/>
      </c>
      <c r="J134" s="189" t="str">
        <f>IF(ISBLANK(Invullen!N132),"",I134*$J$3)</f>
        <v/>
      </c>
      <c r="K134" s="188" t="str">
        <f>IF(ISBLANK(Invullen!O132),"",Invullen!O132)</f>
        <v/>
      </c>
      <c r="L134" s="189" t="str">
        <f>IF(ISBLANK(Invullen!O132),"",K134*$L$3)</f>
        <v/>
      </c>
      <c r="M134" s="192"/>
    </row>
    <row r="135" spans="1:13" x14ac:dyDescent="0.3">
      <c r="A135" s="148">
        <f>Invullen!A133</f>
        <v>129</v>
      </c>
      <c r="B135" s="149" t="str">
        <f>IF(ISBLANK(Invullen!D133),"",Invullen!D133)</f>
        <v/>
      </c>
      <c r="C135" s="150" t="str">
        <f>IF(ISBLANK(Invullen!E133),"",Invullen!E133)</f>
        <v/>
      </c>
      <c r="D135" s="151" t="str">
        <f>IF(ISBLANK(Invullen!F133),"",Invullen!F133)</f>
        <v/>
      </c>
      <c r="E135" s="151" t="str">
        <f>IF(ISBLANK(Invullen!G133),"",Invullen!G133)</f>
        <v/>
      </c>
      <c r="F135" s="149" t="str">
        <f>IF(ISBLANK(Invullen!K134),"",Invullen!K134)</f>
        <v/>
      </c>
      <c r="G135" s="152" t="str">
        <f>IF(ISBLANK(Invullen!L133),"",Invullen!L133)</f>
        <v/>
      </c>
      <c r="H135" s="185" t="str">
        <f>IF(ISBLANK(Invullen!M133),"",Invullen!M133)</f>
        <v/>
      </c>
      <c r="I135" s="188" t="str">
        <f>IF(ISBLANK(Invullen!N133),"",Invullen!N133)</f>
        <v/>
      </c>
      <c r="J135" s="189" t="str">
        <f>IF(ISBLANK(Invullen!N133),"",I135*$J$3)</f>
        <v/>
      </c>
      <c r="K135" s="188" t="str">
        <f>IF(ISBLANK(Invullen!O133),"",Invullen!O133)</f>
        <v/>
      </c>
      <c r="L135" s="189" t="str">
        <f>IF(ISBLANK(Invullen!O133),"",K135*$L$3)</f>
        <v/>
      </c>
      <c r="M135" s="192"/>
    </row>
    <row r="136" spans="1:13" x14ac:dyDescent="0.3">
      <c r="A136" s="148">
        <f>Invullen!A134</f>
        <v>130</v>
      </c>
      <c r="B136" s="149" t="str">
        <f>IF(ISBLANK(Invullen!D134),"",Invullen!D134)</f>
        <v/>
      </c>
      <c r="C136" s="150" t="str">
        <f>IF(ISBLANK(Invullen!E134),"",Invullen!E134)</f>
        <v/>
      </c>
      <c r="D136" s="151" t="str">
        <f>IF(ISBLANK(Invullen!F134),"",Invullen!F134)</f>
        <v/>
      </c>
      <c r="E136" s="151" t="str">
        <f>IF(ISBLANK(Invullen!G134),"",Invullen!G134)</f>
        <v/>
      </c>
      <c r="F136" s="149" t="str">
        <f>IF(ISBLANK(Invullen!K135),"",Invullen!K135)</f>
        <v/>
      </c>
      <c r="G136" s="152" t="str">
        <f>IF(ISBLANK(Invullen!L134),"",Invullen!L134)</f>
        <v/>
      </c>
      <c r="H136" s="185" t="str">
        <f>IF(ISBLANK(Invullen!M134),"",Invullen!M134)</f>
        <v/>
      </c>
      <c r="I136" s="188" t="str">
        <f>IF(ISBLANK(Invullen!N134),"",Invullen!N134)</f>
        <v/>
      </c>
      <c r="J136" s="189" t="str">
        <f>IF(ISBLANK(Invullen!N134),"",I136*$J$3)</f>
        <v/>
      </c>
      <c r="K136" s="188" t="str">
        <f>IF(ISBLANK(Invullen!O134),"",Invullen!O134)</f>
        <v/>
      </c>
      <c r="L136" s="189" t="str">
        <f>IF(ISBLANK(Invullen!O134),"",K136*$L$3)</f>
        <v/>
      </c>
      <c r="M136" s="192"/>
    </row>
    <row r="137" spans="1:13" x14ac:dyDescent="0.3">
      <c r="A137" s="148">
        <f>Invullen!A135</f>
        <v>131</v>
      </c>
      <c r="B137" s="149" t="str">
        <f>IF(ISBLANK(Invullen!D135),"",Invullen!D135)</f>
        <v/>
      </c>
      <c r="C137" s="150" t="str">
        <f>IF(ISBLANK(Invullen!E135),"",Invullen!E135)</f>
        <v/>
      </c>
      <c r="D137" s="151" t="str">
        <f>IF(ISBLANK(Invullen!F135),"",Invullen!F135)</f>
        <v/>
      </c>
      <c r="E137" s="151" t="str">
        <f>IF(ISBLANK(Invullen!G135),"",Invullen!G135)</f>
        <v/>
      </c>
      <c r="F137" s="149" t="str">
        <f>IF(ISBLANK(Invullen!K136),"",Invullen!K136)</f>
        <v/>
      </c>
      <c r="G137" s="152" t="str">
        <f>IF(ISBLANK(Invullen!L135),"",Invullen!L135)</f>
        <v/>
      </c>
      <c r="H137" s="185" t="str">
        <f>IF(ISBLANK(Invullen!M135),"",Invullen!M135)</f>
        <v/>
      </c>
      <c r="I137" s="188" t="str">
        <f>IF(ISBLANK(Invullen!N135),"",Invullen!N135)</f>
        <v/>
      </c>
      <c r="J137" s="189" t="str">
        <f>IF(ISBLANK(Invullen!N135),"",I137*$J$3)</f>
        <v/>
      </c>
      <c r="K137" s="188" t="str">
        <f>IF(ISBLANK(Invullen!O135),"",Invullen!O135)</f>
        <v/>
      </c>
      <c r="L137" s="189" t="str">
        <f>IF(ISBLANK(Invullen!O135),"",K137*$L$3)</f>
        <v/>
      </c>
      <c r="M137" s="192"/>
    </row>
    <row r="138" spans="1:13" x14ac:dyDescent="0.3">
      <c r="A138" s="148">
        <f>Invullen!A136</f>
        <v>132</v>
      </c>
      <c r="B138" s="149" t="str">
        <f>IF(ISBLANK(Invullen!D136),"",Invullen!D136)</f>
        <v/>
      </c>
      <c r="C138" s="150" t="str">
        <f>IF(ISBLANK(Invullen!E136),"",Invullen!E136)</f>
        <v/>
      </c>
      <c r="D138" s="151" t="str">
        <f>IF(ISBLANK(Invullen!F136),"",Invullen!F136)</f>
        <v/>
      </c>
      <c r="E138" s="151" t="str">
        <f>IF(ISBLANK(Invullen!G136),"",Invullen!G136)</f>
        <v/>
      </c>
      <c r="F138" s="149" t="str">
        <f>IF(ISBLANK(Invullen!K137),"",Invullen!K137)</f>
        <v/>
      </c>
      <c r="G138" s="152" t="str">
        <f>IF(ISBLANK(Invullen!L136),"",Invullen!L136)</f>
        <v/>
      </c>
      <c r="H138" s="185" t="str">
        <f>IF(ISBLANK(Invullen!M136),"",Invullen!M136)</f>
        <v/>
      </c>
      <c r="I138" s="188" t="str">
        <f>IF(ISBLANK(Invullen!N136),"",Invullen!N136)</f>
        <v/>
      </c>
      <c r="J138" s="189" t="str">
        <f>IF(ISBLANK(Invullen!N136),"",I138*$J$3)</f>
        <v/>
      </c>
      <c r="K138" s="188" t="str">
        <f>IF(ISBLANK(Invullen!O136),"",Invullen!O136)</f>
        <v/>
      </c>
      <c r="L138" s="189" t="str">
        <f>IF(ISBLANK(Invullen!O136),"",K138*$L$3)</f>
        <v/>
      </c>
      <c r="M138" s="192"/>
    </row>
    <row r="139" spans="1:13" x14ac:dyDescent="0.3">
      <c r="A139" s="148">
        <f>Invullen!A137</f>
        <v>133</v>
      </c>
      <c r="B139" s="149" t="str">
        <f>IF(ISBLANK(Invullen!D137),"",Invullen!D137)</f>
        <v/>
      </c>
      <c r="C139" s="150" t="str">
        <f>IF(ISBLANK(Invullen!E137),"",Invullen!E137)</f>
        <v/>
      </c>
      <c r="D139" s="151" t="str">
        <f>IF(ISBLANK(Invullen!F137),"",Invullen!F137)</f>
        <v/>
      </c>
      <c r="E139" s="151" t="str">
        <f>IF(ISBLANK(Invullen!G137),"",Invullen!G137)</f>
        <v/>
      </c>
      <c r="F139" s="149" t="str">
        <f>IF(ISBLANK(Invullen!K138),"",Invullen!K138)</f>
        <v/>
      </c>
      <c r="G139" s="152" t="str">
        <f>IF(ISBLANK(Invullen!L137),"",Invullen!L137)</f>
        <v/>
      </c>
      <c r="H139" s="185" t="str">
        <f>IF(ISBLANK(Invullen!M137),"",Invullen!M137)</f>
        <v/>
      </c>
      <c r="I139" s="188" t="str">
        <f>IF(ISBLANK(Invullen!N137),"",Invullen!N137)</f>
        <v/>
      </c>
      <c r="J139" s="189" t="str">
        <f>IF(ISBLANK(Invullen!N137),"",I139*$J$3)</f>
        <v/>
      </c>
      <c r="K139" s="188" t="str">
        <f>IF(ISBLANK(Invullen!O137),"",Invullen!O137)</f>
        <v/>
      </c>
      <c r="L139" s="189" t="str">
        <f>IF(ISBLANK(Invullen!O137),"",K139*$L$3)</f>
        <v/>
      </c>
      <c r="M139" s="192"/>
    </row>
    <row r="140" spans="1:13" x14ac:dyDescent="0.3">
      <c r="A140" s="148">
        <f>Invullen!A138</f>
        <v>134</v>
      </c>
      <c r="B140" s="149" t="str">
        <f>IF(ISBLANK(Invullen!D138),"",Invullen!D138)</f>
        <v/>
      </c>
      <c r="C140" s="150" t="str">
        <f>IF(ISBLANK(Invullen!E138),"",Invullen!E138)</f>
        <v/>
      </c>
      <c r="D140" s="151" t="str">
        <f>IF(ISBLANK(Invullen!F138),"",Invullen!F138)</f>
        <v/>
      </c>
      <c r="E140" s="151" t="str">
        <f>IF(ISBLANK(Invullen!G138),"",Invullen!G138)</f>
        <v/>
      </c>
      <c r="F140" s="149" t="str">
        <f>IF(ISBLANK(Invullen!K139),"",Invullen!K139)</f>
        <v/>
      </c>
      <c r="G140" s="152" t="str">
        <f>IF(ISBLANK(Invullen!L138),"",Invullen!L138)</f>
        <v/>
      </c>
      <c r="H140" s="185" t="str">
        <f>IF(ISBLANK(Invullen!M138),"",Invullen!M138)</f>
        <v/>
      </c>
      <c r="I140" s="188" t="str">
        <f>IF(ISBLANK(Invullen!N138),"",Invullen!N138)</f>
        <v/>
      </c>
      <c r="J140" s="189" t="str">
        <f>IF(ISBLANK(Invullen!N138),"",I140*$J$3)</f>
        <v/>
      </c>
      <c r="K140" s="188" t="str">
        <f>IF(ISBLANK(Invullen!O138),"",Invullen!O138)</f>
        <v/>
      </c>
      <c r="L140" s="189" t="str">
        <f>IF(ISBLANK(Invullen!O138),"",K140*$L$3)</f>
        <v/>
      </c>
      <c r="M140" s="192"/>
    </row>
    <row r="141" spans="1:13" x14ac:dyDescent="0.3">
      <c r="A141" s="148">
        <f>Invullen!A139</f>
        <v>135</v>
      </c>
      <c r="B141" s="149" t="str">
        <f>IF(ISBLANK(Invullen!D139),"",Invullen!D139)</f>
        <v/>
      </c>
      <c r="C141" s="150" t="str">
        <f>IF(ISBLANK(Invullen!E139),"",Invullen!E139)</f>
        <v/>
      </c>
      <c r="D141" s="151" t="str">
        <f>IF(ISBLANK(Invullen!F139),"",Invullen!F139)</f>
        <v/>
      </c>
      <c r="E141" s="151" t="str">
        <f>IF(ISBLANK(Invullen!G139),"",Invullen!G139)</f>
        <v/>
      </c>
      <c r="F141" s="149" t="str">
        <f>IF(ISBLANK(Invullen!K140),"",Invullen!K140)</f>
        <v/>
      </c>
      <c r="G141" s="152" t="str">
        <f>IF(ISBLANK(Invullen!L139),"",Invullen!L139)</f>
        <v/>
      </c>
      <c r="H141" s="185" t="str">
        <f>IF(ISBLANK(Invullen!M139),"",Invullen!M139)</f>
        <v/>
      </c>
      <c r="I141" s="188" t="str">
        <f>IF(ISBLANK(Invullen!N139),"",Invullen!N139)</f>
        <v/>
      </c>
      <c r="J141" s="189" t="str">
        <f>IF(ISBLANK(Invullen!N139),"",I141*$J$3)</f>
        <v/>
      </c>
      <c r="K141" s="188" t="str">
        <f>IF(ISBLANK(Invullen!O139),"",Invullen!O139)</f>
        <v/>
      </c>
      <c r="L141" s="189" t="str">
        <f>IF(ISBLANK(Invullen!O139),"",K141*$L$3)</f>
        <v/>
      </c>
      <c r="M141" s="192"/>
    </row>
    <row r="142" spans="1:13" x14ac:dyDescent="0.3">
      <c r="A142" s="148">
        <f>Invullen!A140</f>
        <v>136</v>
      </c>
      <c r="B142" s="149" t="str">
        <f>IF(ISBLANK(Invullen!D140),"",Invullen!D140)</f>
        <v/>
      </c>
      <c r="C142" s="150" t="str">
        <f>IF(ISBLANK(Invullen!E140),"",Invullen!E140)</f>
        <v/>
      </c>
      <c r="D142" s="151" t="str">
        <f>IF(ISBLANK(Invullen!F140),"",Invullen!F140)</f>
        <v/>
      </c>
      <c r="E142" s="151" t="str">
        <f>IF(ISBLANK(Invullen!G140),"",Invullen!G140)</f>
        <v/>
      </c>
      <c r="F142" s="149" t="str">
        <f>IF(ISBLANK(Invullen!K141),"",Invullen!K141)</f>
        <v/>
      </c>
      <c r="G142" s="152" t="str">
        <f>IF(ISBLANK(Invullen!L140),"",Invullen!L140)</f>
        <v/>
      </c>
      <c r="H142" s="185" t="str">
        <f>IF(ISBLANK(Invullen!M140),"",Invullen!M140)</f>
        <v/>
      </c>
      <c r="I142" s="188" t="str">
        <f>IF(ISBLANK(Invullen!N140),"",Invullen!N140)</f>
        <v/>
      </c>
      <c r="J142" s="189" t="str">
        <f>IF(ISBLANK(Invullen!N140),"",I142*$J$3)</f>
        <v/>
      </c>
      <c r="K142" s="188" t="str">
        <f>IF(ISBLANK(Invullen!O140),"",Invullen!O140)</f>
        <v/>
      </c>
      <c r="L142" s="189" t="str">
        <f>IF(ISBLANK(Invullen!O140),"",K142*$L$3)</f>
        <v/>
      </c>
      <c r="M142" s="192"/>
    </row>
    <row r="143" spans="1:13" x14ac:dyDescent="0.3">
      <c r="A143" s="148">
        <f>Invullen!A141</f>
        <v>137</v>
      </c>
      <c r="B143" s="149" t="str">
        <f>IF(ISBLANK(Invullen!D141),"",Invullen!D141)</f>
        <v/>
      </c>
      <c r="C143" s="150" t="str">
        <f>IF(ISBLANK(Invullen!E141),"",Invullen!E141)</f>
        <v/>
      </c>
      <c r="D143" s="151" t="str">
        <f>IF(ISBLANK(Invullen!F141),"",Invullen!F141)</f>
        <v/>
      </c>
      <c r="E143" s="151" t="str">
        <f>IF(ISBLANK(Invullen!G141),"",Invullen!G141)</f>
        <v/>
      </c>
      <c r="F143" s="149" t="str">
        <f>IF(ISBLANK(Invullen!K142),"",Invullen!K142)</f>
        <v/>
      </c>
      <c r="G143" s="152" t="str">
        <f>IF(ISBLANK(Invullen!L141),"",Invullen!L141)</f>
        <v/>
      </c>
      <c r="H143" s="185" t="str">
        <f>IF(ISBLANK(Invullen!M141),"",Invullen!M141)</f>
        <v/>
      </c>
      <c r="I143" s="188" t="str">
        <f>IF(ISBLANK(Invullen!N141),"",Invullen!N141)</f>
        <v/>
      </c>
      <c r="J143" s="189" t="str">
        <f>IF(ISBLANK(Invullen!N141),"",I143*$J$3)</f>
        <v/>
      </c>
      <c r="K143" s="188" t="str">
        <f>IF(ISBLANK(Invullen!O141),"",Invullen!O141)</f>
        <v/>
      </c>
      <c r="L143" s="189" t="str">
        <f>IF(ISBLANK(Invullen!O141),"",K143*$L$3)</f>
        <v/>
      </c>
      <c r="M143" s="192"/>
    </row>
    <row r="144" spans="1:13" x14ac:dyDescent="0.3">
      <c r="A144" s="148">
        <f>Invullen!A142</f>
        <v>138</v>
      </c>
      <c r="B144" s="149" t="str">
        <f>IF(ISBLANK(Invullen!D142),"",Invullen!D142)</f>
        <v/>
      </c>
      <c r="C144" s="150" t="str">
        <f>IF(ISBLANK(Invullen!E142),"",Invullen!E142)</f>
        <v/>
      </c>
      <c r="D144" s="151" t="str">
        <f>IF(ISBLANK(Invullen!F142),"",Invullen!F142)</f>
        <v/>
      </c>
      <c r="E144" s="151" t="str">
        <f>IF(ISBLANK(Invullen!G142),"",Invullen!G142)</f>
        <v/>
      </c>
      <c r="F144" s="149" t="str">
        <f>IF(ISBLANK(Invullen!K143),"",Invullen!K143)</f>
        <v/>
      </c>
      <c r="G144" s="152" t="str">
        <f>IF(ISBLANK(Invullen!L142),"",Invullen!L142)</f>
        <v/>
      </c>
      <c r="H144" s="185" t="str">
        <f>IF(ISBLANK(Invullen!M142),"",Invullen!M142)</f>
        <v/>
      </c>
      <c r="I144" s="188" t="str">
        <f>IF(ISBLANK(Invullen!N142),"",Invullen!N142)</f>
        <v/>
      </c>
      <c r="J144" s="189" t="str">
        <f>IF(ISBLANK(Invullen!N142),"",I144*$J$3)</f>
        <v/>
      </c>
      <c r="K144" s="188" t="str">
        <f>IF(ISBLANK(Invullen!O142),"",Invullen!O142)</f>
        <v/>
      </c>
      <c r="L144" s="189" t="str">
        <f>IF(ISBLANK(Invullen!O142),"",K144*$L$3)</f>
        <v/>
      </c>
      <c r="M144" s="192"/>
    </row>
    <row r="145" spans="1:13" x14ac:dyDescent="0.3">
      <c r="A145" s="148">
        <f>Invullen!A143</f>
        <v>139</v>
      </c>
      <c r="B145" s="149" t="str">
        <f>IF(ISBLANK(Invullen!D143),"",Invullen!D143)</f>
        <v/>
      </c>
      <c r="C145" s="150" t="str">
        <f>IF(ISBLANK(Invullen!E143),"",Invullen!E143)</f>
        <v/>
      </c>
      <c r="D145" s="151" t="str">
        <f>IF(ISBLANK(Invullen!F143),"",Invullen!F143)</f>
        <v/>
      </c>
      <c r="E145" s="151" t="str">
        <f>IF(ISBLANK(Invullen!G143),"",Invullen!G143)</f>
        <v/>
      </c>
      <c r="F145" s="149" t="str">
        <f>IF(ISBLANK(Invullen!K144),"",Invullen!K144)</f>
        <v/>
      </c>
      <c r="G145" s="152" t="str">
        <f>IF(ISBLANK(Invullen!L143),"",Invullen!L143)</f>
        <v/>
      </c>
      <c r="H145" s="185" t="str">
        <f>IF(ISBLANK(Invullen!M143),"",Invullen!M143)</f>
        <v/>
      </c>
      <c r="I145" s="188" t="str">
        <f>IF(ISBLANK(Invullen!N143),"",Invullen!N143)</f>
        <v/>
      </c>
      <c r="J145" s="189" t="str">
        <f>IF(ISBLANK(Invullen!N143),"",I145*$J$3)</f>
        <v/>
      </c>
      <c r="K145" s="188" t="str">
        <f>IF(ISBLANK(Invullen!O143),"",Invullen!O143)</f>
        <v/>
      </c>
      <c r="L145" s="189" t="str">
        <f>IF(ISBLANK(Invullen!O143),"",K145*$L$3)</f>
        <v/>
      </c>
      <c r="M145" s="192"/>
    </row>
    <row r="146" spans="1:13" x14ac:dyDescent="0.3">
      <c r="A146" s="148">
        <f>Invullen!A144</f>
        <v>140</v>
      </c>
      <c r="B146" s="149" t="str">
        <f>IF(ISBLANK(Invullen!D144),"",Invullen!D144)</f>
        <v/>
      </c>
      <c r="C146" s="150" t="str">
        <f>IF(ISBLANK(Invullen!E144),"",Invullen!E144)</f>
        <v/>
      </c>
      <c r="D146" s="151" t="str">
        <f>IF(ISBLANK(Invullen!F144),"",Invullen!F144)</f>
        <v/>
      </c>
      <c r="E146" s="151" t="str">
        <f>IF(ISBLANK(Invullen!G144),"",Invullen!G144)</f>
        <v/>
      </c>
      <c r="F146" s="149" t="str">
        <f>IF(ISBLANK(Invullen!K145),"",Invullen!K145)</f>
        <v/>
      </c>
      <c r="G146" s="152" t="str">
        <f>IF(ISBLANK(Invullen!L144),"",Invullen!L144)</f>
        <v/>
      </c>
      <c r="H146" s="185" t="str">
        <f>IF(ISBLANK(Invullen!M144),"",Invullen!M144)</f>
        <v/>
      </c>
      <c r="I146" s="188" t="str">
        <f>IF(ISBLANK(Invullen!N144),"",Invullen!N144)</f>
        <v/>
      </c>
      <c r="J146" s="189" t="str">
        <f>IF(ISBLANK(Invullen!N144),"",I146*$J$3)</f>
        <v/>
      </c>
      <c r="K146" s="188" t="str">
        <f>IF(ISBLANK(Invullen!O144),"",Invullen!O144)</f>
        <v/>
      </c>
      <c r="L146" s="189" t="str">
        <f>IF(ISBLANK(Invullen!O144),"",K146*$L$3)</f>
        <v/>
      </c>
      <c r="M146" s="192"/>
    </row>
    <row r="147" spans="1:13" x14ac:dyDescent="0.3">
      <c r="A147" s="148">
        <f>Invullen!A145</f>
        <v>141</v>
      </c>
      <c r="B147" s="149" t="str">
        <f>IF(ISBLANK(Invullen!D145),"",Invullen!D145)</f>
        <v/>
      </c>
      <c r="C147" s="150" t="str">
        <f>IF(ISBLANK(Invullen!E145),"",Invullen!E145)</f>
        <v/>
      </c>
      <c r="D147" s="151" t="str">
        <f>IF(ISBLANK(Invullen!F145),"",Invullen!F145)</f>
        <v/>
      </c>
      <c r="E147" s="151" t="str">
        <f>IF(ISBLANK(Invullen!G145),"",Invullen!G145)</f>
        <v/>
      </c>
      <c r="F147" s="149" t="str">
        <f>IF(ISBLANK(Invullen!K146),"",Invullen!K146)</f>
        <v/>
      </c>
      <c r="G147" s="152" t="str">
        <f>IF(ISBLANK(Invullen!L145),"",Invullen!L145)</f>
        <v/>
      </c>
      <c r="H147" s="185" t="str">
        <f>IF(ISBLANK(Invullen!M145),"",Invullen!M145)</f>
        <v/>
      </c>
      <c r="I147" s="188" t="str">
        <f>IF(ISBLANK(Invullen!N145),"",Invullen!N145)</f>
        <v/>
      </c>
      <c r="J147" s="189" t="str">
        <f>IF(ISBLANK(Invullen!N145),"",I147*$J$3)</f>
        <v/>
      </c>
      <c r="K147" s="188" t="str">
        <f>IF(ISBLANK(Invullen!O145),"",Invullen!O145)</f>
        <v/>
      </c>
      <c r="L147" s="189" t="str">
        <f>IF(ISBLANK(Invullen!O145),"",K147*$L$3)</f>
        <v/>
      </c>
      <c r="M147" s="192"/>
    </row>
    <row r="148" spans="1:13" x14ac:dyDescent="0.3">
      <c r="A148" s="148">
        <f>Invullen!A146</f>
        <v>142</v>
      </c>
      <c r="B148" s="149" t="str">
        <f>IF(ISBLANK(Invullen!D146),"",Invullen!D146)</f>
        <v/>
      </c>
      <c r="C148" s="150" t="str">
        <f>IF(ISBLANK(Invullen!E146),"",Invullen!E146)</f>
        <v/>
      </c>
      <c r="D148" s="151" t="str">
        <f>IF(ISBLANK(Invullen!F146),"",Invullen!F146)</f>
        <v/>
      </c>
      <c r="E148" s="151" t="str">
        <f>IF(ISBLANK(Invullen!G146),"",Invullen!G146)</f>
        <v/>
      </c>
      <c r="F148" s="149" t="str">
        <f>IF(ISBLANK(Invullen!K147),"",Invullen!K147)</f>
        <v/>
      </c>
      <c r="G148" s="152" t="str">
        <f>IF(ISBLANK(Invullen!L146),"",Invullen!L146)</f>
        <v/>
      </c>
      <c r="H148" s="185" t="str">
        <f>IF(ISBLANK(Invullen!M146),"",Invullen!M146)</f>
        <v/>
      </c>
      <c r="I148" s="188" t="str">
        <f>IF(ISBLANK(Invullen!N146),"",Invullen!N146)</f>
        <v/>
      </c>
      <c r="J148" s="189" t="str">
        <f>IF(ISBLANK(Invullen!N146),"",I148*$J$3)</f>
        <v/>
      </c>
      <c r="K148" s="188" t="str">
        <f>IF(ISBLANK(Invullen!O146),"",Invullen!O146)</f>
        <v/>
      </c>
      <c r="L148" s="189" t="str">
        <f>IF(ISBLANK(Invullen!O146),"",K148*$L$3)</f>
        <v/>
      </c>
      <c r="M148" s="192"/>
    </row>
    <row r="149" spans="1:13" x14ac:dyDescent="0.3">
      <c r="A149" s="148">
        <f>Invullen!A147</f>
        <v>143</v>
      </c>
      <c r="B149" s="149" t="str">
        <f>IF(ISBLANK(Invullen!D147),"",Invullen!D147)</f>
        <v/>
      </c>
      <c r="C149" s="150" t="str">
        <f>IF(ISBLANK(Invullen!E147),"",Invullen!E147)</f>
        <v/>
      </c>
      <c r="D149" s="151" t="str">
        <f>IF(ISBLANK(Invullen!F147),"",Invullen!F147)</f>
        <v/>
      </c>
      <c r="E149" s="151" t="str">
        <f>IF(ISBLANK(Invullen!G147),"",Invullen!G147)</f>
        <v/>
      </c>
      <c r="F149" s="149" t="str">
        <f>IF(ISBLANK(Invullen!K148),"",Invullen!K148)</f>
        <v/>
      </c>
      <c r="G149" s="152" t="str">
        <f>IF(ISBLANK(Invullen!L147),"",Invullen!L147)</f>
        <v/>
      </c>
      <c r="H149" s="185" t="str">
        <f>IF(ISBLANK(Invullen!M147),"",Invullen!M147)</f>
        <v/>
      </c>
      <c r="I149" s="188" t="str">
        <f>IF(ISBLANK(Invullen!N147),"",Invullen!N147)</f>
        <v/>
      </c>
      <c r="J149" s="189" t="str">
        <f>IF(ISBLANK(Invullen!N147),"",I149*$J$3)</f>
        <v/>
      </c>
      <c r="K149" s="188" t="str">
        <f>IF(ISBLANK(Invullen!O147),"",Invullen!O147)</f>
        <v/>
      </c>
      <c r="L149" s="189" t="str">
        <f>IF(ISBLANK(Invullen!O147),"",K149*$L$3)</f>
        <v/>
      </c>
      <c r="M149" s="192"/>
    </row>
    <row r="150" spans="1:13" x14ac:dyDescent="0.3">
      <c r="A150" s="148">
        <f>Invullen!A148</f>
        <v>144</v>
      </c>
      <c r="B150" s="149" t="str">
        <f>IF(ISBLANK(Invullen!D148),"",Invullen!D148)</f>
        <v/>
      </c>
      <c r="C150" s="150" t="str">
        <f>IF(ISBLANK(Invullen!E148),"",Invullen!E148)</f>
        <v/>
      </c>
      <c r="D150" s="151" t="str">
        <f>IF(ISBLANK(Invullen!F148),"",Invullen!F148)</f>
        <v/>
      </c>
      <c r="E150" s="151" t="str">
        <f>IF(ISBLANK(Invullen!G148),"",Invullen!G148)</f>
        <v/>
      </c>
      <c r="F150" s="149" t="str">
        <f>IF(ISBLANK(Invullen!K149),"",Invullen!K149)</f>
        <v/>
      </c>
      <c r="G150" s="152" t="str">
        <f>IF(ISBLANK(Invullen!L148),"",Invullen!L148)</f>
        <v/>
      </c>
      <c r="H150" s="185" t="str">
        <f>IF(ISBLANK(Invullen!M148),"",Invullen!M148)</f>
        <v/>
      </c>
      <c r="I150" s="188" t="str">
        <f>IF(ISBLANK(Invullen!N148),"",Invullen!N148)</f>
        <v/>
      </c>
      <c r="J150" s="189" t="str">
        <f>IF(ISBLANK(Invullen!N148),"",I150*$J$3)</f>
        <v/>
      </c>
      <c r="K150" s="188" t="str">
        <f>IF(ISBLANK(Invullen!O148),"",Invullen!O148)</f>
        <v/>
      </c>
      <c r="L150" s="189" t="str">
        <f>IF(ISBLANK(Invullen!O148),"",K150*$L$3)</f>
        <v/>
      </c>
      <c r="M150" s="192"/>
    </row>
    <row r="151" spans="1:13" x14ac:dyDescent="0.3">
      <c r="A151" s="148">
        <f>Invullen!A149</f>
        <v>145</v>
      </c>
      <c r="B151" s="149" t="str">
        <f>IF(ISBLANK(Invullen!D149),"",Invullen!D149)</f>
        <v/>
      </c>
      <c r="C151" s="150" t="str">
        <f>IF(ISBLANK(Invullen!E149),"",Invullen!E149)</f>
        <v/>
      </c>
      <c r="D151" s="151" t="str">
        <f>IF(ISBLANK(Invullen!F149),"",Invullen!F149)</f>
        <v/>
      </c>
      <c r="E151" s="151" t="str">
        <f>IF(ISBLANK(Invullen!G149),"",Invullen!G149)</f>
        <v/>
      </c>
      <c r="F151" s="149" t="str">
        <f>IF(ISBLANK(Invullen!K150),"",Invullen!K150)</f>
        <v/>
      </c>
      <c r="G151" s="152" t="str">
        <f>IF(ISBLANK(Invullen!L149),"",Invullen!L149)</f>
        <v/>
      </c>
      <c r="H151" s="185" t="str">
        <f>IF(ISBLANK(Invullen!M149),"",Invullen!M149)</f>
        <v/>
      </c>
      <c r="I151" s="188" t="str">
        <f>IF(ISBLANK(Invullen!N149),"",Invullen!N149)</f>
        <v/>
      </c>
      <c r="J151" s="189" t="str">
        <f>IF(ISBLANK(Invullen!N149),"",I151*$J$3)</f>
        <v/>
      </c>
      <c r="K151" s="188" t="str">
        <f>IF(ISBLANK(Invullen!O149),"",Invullen!O149)</f>
        <v/>
      </c>
      <c r="L151" s="189" t="str">
        <f>IF(ISBLANK(Invullen!O149),"",K151*$L$3)</f>
        <v/>
      </c>
      <c r="M151" s="192"/>
    </row>
    <row r="152" spans="1:13" x14ac:dyDescent="0.3">
      <c r="A152" s="148">
        <f>Invullen!A150</f>
        <v>146</v>
      </c>
      <c r="B152" s="149" t="str">
        <f>IF(ISBLANK(Invullen!D150),"",Invullen!D150)</f>
        <v/>
      </c>
      <c r="C152" s="150" t="str">
        <f>IF(ISBLANK(Invullen!E150),"",Invullen!E150)</f>
        <v/>
      </c>
      <c r="D152" s="151" t="str">
        <f>IF(ISBLANK(Invullen!F150),"",Invullen!F150)</f>
        <v/>
      </c>
      <c r="E152" s="151" t="str">
        <f>IF(ISBLANK(Invullen!G150),"",Invullen!G150)</f>
        <v/>
      </c>
      <c r="F152" s="149" t="str">
        <f>IF(ISBLANK(Invullen!K151),"",Invullen!K151)</f>
        <v/>
      </c>
      <c r="G152" s="152" t="str">
        <f>IF(ISBLANK(Invullen!L150),"",Invullen!L150)</f>
        <v/>
      </c>
      <c r="H152" s="185" t="str">
        <f>IF(ISBLANK(Invullen!M150),"",Invullen!M150)</f>
        <v/>
      </c>
      <c r="I152" s="188" t="str">
        <f>IF(ISBLANK(Invullen!N150),"",Invullen!N150)</f>
        <v/>
      </c>
      <c r="J152" s="189" t="str">
        <f>IF(ISBLANK(Invullen!N150),"",I152*$J$3)</f>
        <v/>
      </c>
      <c r="K152" s="188" t="str">
        <f>IF(ISBLANK(Invullen!O150),"",Invullen!O150)</f>
        <v/>
      </c>
      <c r="L152" s="189" t="str">
        <f>IF(ISBLANK(Invullen!O150),"",K152*$L$3)</f>
        <v/>
      </c>
      <c r="M152" s="192"/>
    </row>
    <row r="153" spans="1:13" x14ac:dyDescent="0.3">
      <c r="A153" s="148">
        <f>Invullen!A151</f>
        <v>147</v>
      </c>
      <c r="B153" s="149" t="str">
        <f>IF(ISBLANK(Invullen!D151),"",Invullen!D151)</f>
        <v/>
      </c>
      <c r="C153" s="150" t="str">
        <f>IF(ISBLANK(Invullen!E151),"",Invullen!E151)</f>
        <v/>
      </c>
      <c r="D153" s="151" t="str">
        <f>IF(ISBLANK(Invullen!F151),"",Invullen!F151)</f>
        <v/>
      </c>
      <c r="E153" s="151" t="str">
        <f>IF(ISBLANK(Invullen!G151),"",Invullen!G151)</f>
        <v/>
      </c>
      <c r="F153" s="149" t="str">
        <f>IF(ISBLANK(Invullen!K152),"",Invullen!K152)</f>
        <v/>
      </c>
      <c r="G153" s="152" t="str">
        <f>IF(ISBLANK(Invullen!L151),"",Invullen!L151)</f>
        <v/>
      </c>
      <c r="H153" s="185" t="str">
        <f>IF(ISBLANK(Invullen!M151),"",Invullen!M151)</f>
        <v/>
      </c>
      <c r="I153" s="188" t="str">
        <f>IF(ISBLANK(Invullen!N151),"",Invullen!N151)</f>
        <v/>
      </c>
      <c r="J153" s="189" t="str">
        <f>IF(ISBLANK(Invullen!N151),"",I153*$J$3)</f>
        <v/>
      </c>
      <c r="K153" s="188" t="str">
        <f>IF(ISBLANK(Invullen!O151),"",Invullen!O151)</f>
        <v/>
      </c>
      <c r="L153" s="189" t="str">
        <f>IF(ISBLANK(Invullen!O151),"",K153*$L$3)</f>
        <v/>
      </c>
      <c r="M153" s="192"/>
    </row>
    <row r="154" spans="1:13" x14ac:dyDescent="0.3">
      <c r="A154" s="148">
        <f>Invullen!A152</f>
        <v>148</v>
      </c>
      <c r="B154" s="149" t="str">
        <f>IF(ISBLANK(Invullen!D152),"",Invullen!D152)</f>
        <v/>
      </c>
      <c r="C154" s="150" t="str">
        <f>IF(ISBLANK(Invullen!E152),"",Invullen!E152)</f>
        <v/>
      </c>
      <c r="D154" s="151" t="str">
        <f>IF(ISBLANK(Invullen!F152),"",Invullen!F152)</f>
        <v/>
      </c>
      <c r="E154" s="151" t="str">
        <f>IF(ISBLANK(Invullen!G152),"",Invullen!G152)</f>
        <v/>
      </c>
      <c r="F154" s="149" t="str">
        <f>IF(ISBLANK(Invullen!K153),"",Invullen!K153)</f>
        <v/>
      </c>
      <c r="G154" s="152" t="str">
        <f>IF(ISBLANK(Invullen!L152),"",Invullen!L152)</f>
        <v/>
      </c>
      <c r="H154" s="185" t="str">
        <f>IF(ISBLANK(Invullen!M152),"",Invullen!M152)</f>
        <v/>
      </c>
      <c r="I154" s="188" t="str">
        <f>IF(ISBLANK(Invullen!N152),"",Invullen!N152)</f>
        <v/>
      </c>
      <c r="J154" s="189" t="str">
        <f>IF(ISBLANK(Invullen!N152),"",I154*$J$3)</f>
        <v/>
      </c>
      <c r="K154" s="188" t="str">
        <f>IF(ISBLANK(Invullen!O152),"",Invullen!O152)</f>
        <v/>
      </c>
      <c r="L154" s="189" t="str">
        <f>IF(ISBLANK(Invullen!O152),"",K154*$L$3)</f>
        <v/>
      </c>
      <c r="M154" s="192"/>
    </row>
    <row r="155" spans="1:13" x14ac:dyDescent="0.3">
      <c r="A155" s="148">
        <f>Invullen!A153</f>
        <v>149</v>
      </c>
      <c r="B155" s="149" t="str">
        <f>IF(ISBLANK(Invullen!D153),"",Invullen!D153)</f>
        <v/>
      </c>
      <c r="C155" s="150" t="str">
        <f>IF(ISBLANK(Invullen!E153),"",Invullen!E153)</f>
        <v/>
      </c>
      <c r="D155" s="151" t="str">
        <f>IF(ISBLANK(Invullen!F153),"",Invullen!F153)</f>
        <v/>
      </c>
      <c r="E155" s="151" t="str">
        <f>IF(ISBLANK(Invullen!G153),"",Invullen!G153)</f>
        <v/>
      </c>
      <c r="F155" s="149" t="str">
        <f>IF(ISBLANK(Invullen!K154),"",Invullen!K154)</f>
        <v/>
      </c>
      <c r="G155" s="152" t="str">
        <f>IF(ISBLANK(Invullen!L153),"",Invullen!L153)</f>
        <v/>
      </c>
      <c r="H155" s="185" t="str">
        <f>IF(ISBLANK(Invullen!M153),"",Invullen!M153)</f>
        <v/>
      </c>
      <c r="I155" s="188" t="str">
        <f>IF(ISBLANK(Invullen!N153),"",Invullen!N153)</f>
        <v/>
      </c>
      <c r="J155" s="189" t="str">
        <f>IF(ISBLANK(Invullen!N153),"",I155*$J$3)</f>
        <v/>
      </c>
      <c r="K155" s="188" t="str">
        <f>IF(ISBLANK(Invullen!O153),"",Invullen!O153)</f>
        <v/>
      </c>
      <c r="L155" s="189" t="str">
        <f>IF(ISBLANK(Invullen!O153),"",K155*$L$3)</f>
        <v/>
      </c>
      <c r="M155" s="192"/>
    </row>
    <row r="156" spans="1:13" x14ac:dyDescent="0.3">
      <c r="A156" s="148">
        <f>Invullen!A154</f>
        <v>150</v>
      </c>
      <c r="B156" s="149" t="str">
        <f>IF(ISBLANK(Invullen!D154),"",Invullen!D154)</f>
        <v/>
      </c>
      <c r="C156" s="150" t="str">
        <f>IF(ISBLANK(Invullen!E154),"",Invullen!E154)</f>
        <v/>
      </c>
      <c r="D156" s="151" t="str">
        <f>IF(ISBLANK(Invullen!F154),"",Invullen!F154)</f>
        <v/>
      </c>
      <c r="E156" s="151" t="str">
        <f>IF(ISBLANK(Invullen!G154),"",Invullen!G154)</f>
        <v/>
      </c>
      <c r="F156" s="149" t="str">
        <f>IF(ISBLANK(Invullen!K155),"",Invullen!K155)</f>
        <v/>
      </c>
      <c r="G156" s="152" t="str">
        <f>IF(ISBLANK(Invullen!L154),"",Invullen!L154)</f>
        <v/>
      </c>
      <c r="H156" s="185" t="str">
        <f>IF(ISBLANK(Invullen!M154),"",Invullen!M154)</f>
        <v/>
      </c>
      <c r="I156" s="188" t="str">
        <f>IF(ISBLANK(Invullen!N154),"",Invullen!N154)</f>
        <v/>
      </c>
      <c r="J156" s="189" t="str">
        <f>IF(ISBLANK(Invullen!N154),"",I156*$J$3)</f>
        <v/>
      </c>
      <c r="K156" s="188" t="str">
        <f>IF(ISBLANK(Invullen!O154),"",Invullen!O154)</f>
        <v/>
      </c>
      <c r="L156" s="189" t="str">
        <f>IF(ISBLANK(Invullen!O154),"",K156*$L$3)</f>
        <v/>
      </c>
      <c r="M156" s="192"/>
    </row>
    <row r="157" spans="1:13" x14ac:dyDescent="0.3">
      <c r="A157" s="148">
        <f>Invullen!A155</f>
        <v>151</v>
      </c>
      <c r="B157" s="149" t="str">
        <f>IF(ISBLANK(Invullen!D155),"",Invullen!D155)</f>
        <v/>
      </c>
      <c r="C157" s="150" t="str">
        <f>IF(ISBLANK(Invullen!E155),"",Invullen!E155)</f>
        <v/>
      </c>
      <c r="D157" s="151" t="str">
        <f>IF(ISBLANK(Invullen!F155),"",Invullen!F155)</f>
        <v/>
      </c>
      <c r="E157" s="151" t="str">
        <f>IF(ISBLANK(Invullen!G155),"",Invullen!G155)</f>
        <v/>
      </c>
      <c r="F157" s="149" t="str">
        <f>IF(ISBLANK(Invullen!K156),"",Invullen!K156)</f>
        <v/>
      </c>
      <c r="G157" s="152" t="str">
        <f>IF(ISBLANK(Invullen!L155),"",Invullen!L155)</f>
        <v/>
      </c>
      <c r="H157" s="185" t="str">
        <f>IF(ISBLANK(Invullen!M155),"",Invullen!M155)</f>
        <v/>
      </c>
      <c r="I157" s="188" t="str">
        <f>IF(ISBLANK(Invullen!N155),"",Invullen!N155)</f>
        <v/>
      </c>
      <c r="J157" s="189" t="str">
        <f>IF(ISBLANK(Invullen!N155),"",I157*$J$3)</f>
        <v/>
      </c>
      <c r="K157" s="188" t="str">
        <f>IF(ISBLANK(Invullen!O155),"",Invullen!O155)</f>
        <v/>
      </c>
      <c r="L157" s="189" t="str">
        <f>IF(ISBLANK(Invullen!O155),"",K157*$L$3)</f>
        <v/>
      </c>
      <c r="M157" s="192"/>
    </row>
    <row r="158" spans="1:13" x14ac:dyDescent="0.3">
      <c r="A158" s="148">
        <f>Invullen!A156</f>
        <v>152</v>
      </c>
      <c r="B158" s="149" t="str">
        <f>IF(ISBLANK(Invullen!D156),"",Invullen!D156)</f>
        <v/>
      </c>
      <c r="C158" s="150" t="str">
        <f>IF(ISBLANK(Invullen!E156),"",Invullen!E156)</f>
        <v/>
      </c>
      <c r="D158" s="151" t="str">
        <f>IF(ISBLANK(Invullen!F156),"",Invullen!F156)</f>
        <v/>
      </c>
      <c r="E158" s="151" t="str">
        <f>IF(ISBLANK(Invullen!G156),"",Invullen!G156)</f>
        <v/>
      </c>
      <c r="F158" s="149" t="str">
        <f>IF(ISBLANK(Invullen!K157),"",Invullen!K157)</f>
        <v/>
      </c>
      <c r="G158" s="152" t="str">
        <f>IF(ISBLANK(Invullen!L156),"",Invullen!L156)</f>
        <v/>
      </c>
      <c r="H158" s="185" t="str">
        <f>IF(ISBLANK(Invullen!M156),"",Invullen!M156)</f>
        <v/>
      </c>
      <c r="I158" s="188" t="str">
        <f>IF(ISBLANK(Invullen!N156),"",Invullen!N156)</f>
        <v/>
      </c>
      <c r="J158" s="189" t="str">
        <f>IF(ISBLANK(Invullen!N156),"",I158*$J$3)</f>
        <v/>
      </c>
      <c r="K158" s="188" t="str">
        <f>IF(ISBLANK(Invullen!O156),"",Invullen!O156)</f>
        <v/>
      </c>
      <c r="L158" s="189" t="str">
        <f>IF(ISBLANK(Invullen!O156),"",K158*$L$3)</f>
        <v/>
      </c>
      <c r="M158" s="192"/>
    </row>
    <row r="159" spans="1:13" x14ac:dyDescent="0.3">
      <c r="A159" s="148">
        <f>Invullen!A157</f>
        <v>153</v>
      </c>
      <c r="B159" s="149" t="str">
        <f>IF(ISBLANK(Invullen!D157),"",Invullen!D157)</f>
        <v/>
      </c>
      <c r="C159" s="150" t="str">
        <f>IF(ISBLANK(Invullen!E157),"",Invullen!E157)</f>
        <v/>
      </c>
      <c r="D159" s="151" t="str">
        <f>IF(ISBLANK(Invullen!F157),"",Invullen!F157)</f>
        <v/>
      </c>
      <c r="E159" s="151" t="str">
        <f>IF(ISBLANK(Invullen!G157),"",Invullen!G157)</f>
        <v/>
      </c>
      <c r="F159" s="149" t="str">
        <f>IF(ISBLANK(Invullen!K158),"",Invullen!K158)</f>
        <v/>
      </c>
      <c r="G159" s="152" t="str">
        <f>IF(ISBLANK(Invullen!L157),"",Invullen!L157)</f>
        <v/>
      </c>
      <c r="H159" s="185" t="str">
        <f>IF(ISBLANK(Invullen!M157),"",Invullen!M157)</f>
        <v/>
      </c>
      <c r="I159" s="188" t="str">
        <f>IF(ISBLANK(Invullen!N157),"",Invullen!N157)</f>
        <v/>
      </c>
      <c r="J159" s="189" t="str">
        <f>IF(ISBLANK(Invullen!N157),"",I159*$J$3)</f>
        <v/>
      </c>
      <c r="K159" s="188" t="str">
        <f>IF(ISBLANK(Invullen!O157),"",Invullen!O157)</f>
        <v/>
      </c>
      <c r="L159" s="189" t="str">
        <f>IF(ISBLANK(Invullen!O157),"",K159*$L$3)</f>
        <v/>
      </c>
      <c r="M159" s="192"/>
    </row>
    <row r="160" spans="1:13" x14ac:dyDescent="0.3">
      <c r="A160" s="148">
        <f>Invullen!A158</f>
        <v>154</v>
      </c>
      <c r="B160" s="149" t="str">
        <f>IF(ISBLANK(Invullen!D158),"",Invullen!D158)</f>
        <v/>
      </c>
      <c r="C160" s="150" t="str">
        <f>IF(ISBLANK(Invullen!E158),"",Invullen!E158)</f>
        <v/>
      </c>
      <c r="D160" s="151" t="str">
        <f>IF(ISBLANK(Invullen!F158),"",Invullen!F158)</f>
        <v/>
      </c>
      <c r="E160" s="151" t="str">
        <f>IF(ISBLANK(Invullen!G158),"",Invullen!G158)</f>
        <v/>
      </c>
      <c r="F160" s="149" t="str">
        <f>IF(ISBLANK(Invullen!K159),"",Invullen!K159)</f>
        <v/>
      </c>
      <c r="G160" s="152" t="str">
        <f>IF(ISBLANK(Invullen!L158),"",Invullen!L158)</f>
        <v/>
      </c>
      <c r="H160" s="185" t="str">
        <f>IF(ISBLANK(Invullen!M158),"",Invullen!M158)</f>
        <v/>
      </c>
      <c r="I160" s="188" t="str">
        <f>IF(ISBLANK(Invullen!N158),"",Invullen!N158)</f>
        <v/>
      </c>
      <c r="J160" s="189" t="str">
        <f>IF(ISBLANK(Invullen!N158),"",I160*$J$3)</f>
        <v/>
      </c>
      <c r="K160" s="188" t="str">
        <f>IF(ISBLANK(Invullen!O158),"",Invullen!O158)</f>
        <v/>
      </c>
      <c r="L160" s="189" t="str">
        <f>IF(ISBLANK(Invullen!O158),"",K160*$L$3)</f>
        <v/>
      </c>
      <c r="M160" s="192"/>
    </row>
    <row r="161" spans="1:13" x14ac:dyDescent="0.3">
      <c r="A161" s="148">
        <f>Invullen!A159</f>
        <v>155</v>
      </c>
      <c r="B161" s="149" t="str">
        <f>IF(ISBLANK(Invullen!D159),"",Invullen!D159)</f>
        <v/>
      </c>
      <c r="C161" s="150" t="str">
        <f>IF(ISBLANK(Invullen!E159),"",Invullen!E159)</f>
        <v/>
      </c>
      <c r="D161" s="151" t="str">
        <f>IF(ISBLANK(Invullen!F159),"",Invullen!F159)</f>
        <v/>
      </c>
      <c r="E161" s="151" t="str">
        <f>IF(ISBLANK(Invullen!G159),"",Invullen!G159)</f>
        <v/>
      </c>
      <c r="F161" s="149" t="str">
        <f>IF(ISBLANK(Invullen!K160),"",Invullen!K160)</f>
        <v/>
      </c>
      <c r="G161" s="152" t="str">
        <f>IF(ISBLANK(Invullen!L159),"",Invullen!L159)</f>
        <v/>
      </c>
      <c r="H161" s="185" t="str">
        <f>IF(ISBLANK(Invullen!M159),"",Invullen!M159)</f>
        <v/>
      </c>
      <c r="I161" s="188" t="str">
        <f>IF(ISBLANK(Invullen!N159),"",Invullen!N159)</f>
        <v/>
      </c>
      <c r="J161" s="189" t="str">
        <f>IF(ISBLANK(Invullen!N159),"",I161*$J$3)</f>
        <v/>
      </c>
      <c r="K161" s="188" t="str">
        <f>IF(ISBLANK(Invullen!O159),"",Invullen!O159)</f>
        <v/>
      </c>
      <c r="L161" s="189" t="str">
        <f>IF(ISBLANK(Invullen!O159),"",K161*$L$3)</f>
        <v/>
      </c>
      <c r="M161" s="192"/>
    </row>
    <row r="162" spans="1:13" x14ac:dyDescent="0.3">
      <c r="A162" s="148">
        <f>Invullen!A160</f>
        <v>156</v>
      </c>
      <c r="B162" s="149" t="str">
        <f>IF(ISBLANK(Invullen!D160),"",Invullen!D160)</f>
        <v/>
      </c>
      <c r="C162" s="150" t="str">
        <f>IF(ISBLANK(Invullen!E160),"",Invullen!E160)</f>
        <v/>
      </c>
      <c r="D162" s="151" t="str">
        <f>IF(ISBLANK(Invullen!F160),"",Invullen!F160)</f>
        <v/>
      </c>
      <c r="E162" s="151" t="str">
        <f>IF(ISBLANK(Invullen!G160),"",Invullen!G160)</f>
        <v/>
      </c>
      <c r="F162" s="149" t="str">
        <f>IF(ISBLANK(Invullen!K161),"",Invullen!K161)</f>
        <v/>
      </c>
      <c r="G162" s="152" t="str">
        <f>IF(ISBLANK(Invullen!L160),"",Invullen!L160)</f>
        <v/>
      </c>
      <c r="H162" s="185" t="str">
        <f>IF(ISBLANK(Invullen!M160),"",Invullen!M160)</f>
        <v/>
      </c>
      <c r="I162" s="188" t="str">
        <f>IF(ISBLANK(Invullen!N160),"",Invullen!N160)</f>
        <v/>
      </c>
      <c r="J162" s="189" t="str">
        <f>IF(ISBLANK(Invullen!N160),"",I162*$J$3)</f>
        <v/>
      </c>
      <c r="K162" s="188" t="str">
        <f>IF(ISBLANK(Invullen!O160),"",Invullen!O160)</f>
        <v/>
      </c>
      <c r="L162" s="189" t="str">
        <f>IF(ISBLANK(Invullen!O160),"",K162*$L$3)</f>
        <v/>
      </c>
      <c r="M162" s="192"/>
    </row>
    <row r="163" spans="1:13" x14ac:dyDescent="0.3">
      <c r="A163" s="148">
        <f>Invullen!A161</f>
        <v>157</v>
      </c>
      <c r="B163" s="149" t="str">
        <f>IF(ISBLANK(Invullen!D161),"",Invullen!D161)</f>
        <v/>
      </c>
      <c r="C163" s="150" t="str">
        <f>IF(ISBLANK(Invullen!E161),"",Invullen!E161)</f>
        <v/>
      </c>
      <c r="D163" s="151" t="str">
        <f>IF(ISBLANK(Invullen!F161),"",Invullen!F161)</f>
        <v/>
      </c>
      <c r="E163" s="151" t="str">
        <f>IF(ISBLANK(Invullen!G161),"",Invullen!G161)</f>
        <v/>
      </c>
      <c r="F163" s="149" t="str">
        <f>IF(ISBLANK(Invullen!K162),"",Invullen!K162)</f>
        <v/>
      </c>
      <c r="G163" s="152" t="str">
        <f>IF(ISBLANK(Invullen!L161),"",Invullen!L161)</f>
        <v/>
      </c>
      <c r="H163" s="185" t="str">
        <f>IF(ISBLANK(Invullen!M161),"",Invullen!M161)</f>
        <v/>
      </c>
      <c r="I163" s="188" t="str">
        <f>IF(ISBLANK(Invullen!N161),"",Invullen!N161)</f>
        <v/>
      </c>
      <c r="J163" s="189" t="str">
        <f>IF(ISBLANK(Invullen!N161),"",I163*$J$3)</f>
        <v/>
      </c>
      <c r="K163" s="188" t="str">
        <f>IF(ISBLANK(Invullen!O161),"",Invullen!O161)</f>
        <v/>
      </c>
      <c r="L163" s="189" t="str">
        <f>IF(ISBLANK(Invullen!O161),"",K163*$L$3)</f>
        <v/>
      </c>
      <c r="M163" s="192"/>
    </row>
    <row r="164" spans="1:13" x14ac:dyDescent="0.3">
      <c r="A164" s="148">
        <f>Invullen!A162</f>
        <v>158</v>
      </c>
      <c r="B164" s="149" t="str">
        <f>IF(ISBLANK(Invullen!D162),"",Invullen!D162)</f>
        <v/>
      </c>
      <c r="C164" s="150" t="str">
        <f>IF(ISBLANK(Invullen!E162),"",Invullen!E162)</f>
        <v/>
      </c>
      <c r="D164" s="151" t="str">
        <f>IF(ISBLANK(Invullen!F162),"",Invullen!F162)</f>
        <v/>
      </c>
      <c r="E164" s="151" t="str">
        <f>IF(ISBLANK(Invullen!G162),"",Invullen!G162)</f>
        <v/>
      </c>
      <c r="F164" s="149" t="str">
        <f>IF(ISBLANK(Invullen!K163),"",Invullen!K163)</f>
        <v/>
      </c>
      <c r="G164" s="152" t="str">
        <f>IF(ISBLANK(Invullen!L162),"",Invullen!L162)</f>
        <v/>
      </c>
      <c r="H164" s="185" t="str">
        <f>IF(ISBLANK(Invullen!M162),"",Invullen!M162)</f>
        <v/>
      </c>
      <c r="I164" s="188" t="str">
        <f>IF(ISBLANK(Invullen!N162),"",Invullen!N162)</f>
        <v/>
      </c>
      <c r="J164" s="189" t="str">
        <f>IF(ISBLANK(Invullen!N162),"",I164*$J$3)</f>
        <v/>
      </c>
      <c r="K164" s="188" t="str">
        <f>IF(ISBLANK(Invullen!O162),"",Invullen!O162)</f>
        <v/>
      </c>
      <c r="L164" s="189" t="str">
        <f>IF(ISBLANK(Invullen!O162),"",K164*$L$3)</f>
        <v/>
      </c>
      <c r="M164" s="192"/>
    </row>
    <row r="165" spans="1:13" x14ac:dyDescent="0.3">
      <c r="A165" s="148">
        <f>Invullen!A163</f>
        <v>159</v>
      </c>
      <c r="B165" s="149" t="str">
        <f>IF(ISBLANK(Invullen!D163),"",Invullen!D163)</f>
        <v/>
      </c>
      <c r="C165" s="150" t="str">
        <f>IF(ISBLANK(Invullen!E163),"",Invullen!E163)</f>
        <v/>
      </c>
      <c r="D165" s="151" t="str">
        <f>IF(ISBLANK(Invullen!F163),"",Invullen!F163)</f>
        <v/>
      </c>
      <c r="E165" s="151" t="str">
        <f>IF(ISBLANK(Invullen!G163),"",Invullen!G163)</f>
        <v/>
      </c>
      <c r="F165" s="149" t="str">
        <f>IF(ISBLANK(Invullen!K164),"",Invullen!K164)</f>
        <v/>
      </c>
      <c r="G165" s="152" t="str">
        <f>IF(ISBLANK(Invullen!L163),"",Invullen!L163)</f>
        <v/>
      </c>
      <c r="H165" s="185" t="str">
        <f>IF(ISBLANK(Invullen!M163),"",Invullen!M163)</f>
        <v/>
      </c>
      <c r="I165" s="188" t="str">
        <f>IF(ISBLANK(Invullen!N163),"",Invullen!N163)</f>
        <v/>
      </c>
      <c r="J165" s="189" t="str">
        <f>IF(ISBLANK(Invullen!N163),"",I165*$J$3)</f>
        <v/>
      </c>
      <c r="K165" s="188" t="str">
        <f>IF(ISBLANK(Invullen!O163),"",Invullen!O163)</f>
        <v/>
      </c>
      <c r="L165" s="189" t="str">
        <f>IF(ISBLANK(Invullen!O163),"",K165*$L$3)</f>
        <v/>
      </c>
      <c r="M165" s="192"/>
    </row>
    <row r="166" spans="1:13" x14ac:dyDescent="0.3">
      <c r="A166" s="148">
        <f>Invullen!A164</f>
        <v>160</v>
      </c>
      <c r="B166" s="149" t="str">
        <f>IF(ISBLANK(Invullen!D164),"",Invullen!D164)</f>
        <v/>
      </c>
      <c r="C166" s="150" t="str">
        <f>IF(ISBLANK(Invullen!E164),"",Invullen!E164)</f>
        <v/>
      </c>
      <c r="D166" s="151" t="str">
        <f>IF(ISBLANK(Invullen!F164),"",Invullen!F164)</f>
        <v/>
      </c>
      <c r="E166" s="151" t="str">
        <f>IF(ISBLANK(Invullen!G164),"",Invullen!G164)</f>
        <v/>
      </c>
      <c r="F166" s="149" t="str">
        <f>IF(ISBLANK(Invullen!K165),"",Invullen!K165)</f>
        <v/>
      </c>
      <c r="G166" s="152" t="str">
        <f>IF(ISBLANK(Invullen!L164),"",Invullen!L164)</f>
        <v/>
      </c>
      <c r="H166" s="185" t="str">
        <f>IF(ISBLANK(Invullen!M164),"",Invullen!M164)</f>
        <v/>
      </c>
      <c r="I166" s="188" t="str">
        <f>IF(ISBLANK(Invullen!N164),"",Invullen!N164)</f>
        <v/>
      </c>
      <c r="J166" s="189" t="str">
        <f>IF(ISBLANK(Invullen!N164),"",I166*$J$3)</f>
        <v/>
      </c>
      <c r="K166" s="188" t="str">
        <f>IF(ISBLANK(Invullen!O164),"",Invullen!O164)</f>
        <v/>
      </c>
      <c r="L166" s="189" t="str">
        <f>IF(ISBLANK(Invullen!O164),"",K166*$L$3)</f>
        <v/>
      </c>
      <c r="M166" s="192"/>
    </row>
    <row r="167" spans="1:13" x14ac:dyDescent="0.3">
      <c r="A167" s="148">
        <f>Invullen!A165</f>
        <v>161</v>
      </c>
      <c r="B167" s="149" t="str">
        <f>IF(ISBLANK(Invullen!D165),"",Invullen!D165)</f>
        <v/>
      </c>
      <c r="C167" s="150" t="str">
        <f>IF(ISBLANK(Invullen!E165),"",Invullen!E165)</f>
        <v/>
      </c>
      <c r="D167" s="151" t="str">
        <f>IF(ISBLANK(Invullen!F165),"",Invullen!F165)</f>
        <v/>
      </c>
      <c r="E167" s="151" t="str">
        <f>IF(ISBLANK(Invullen!G165),"",Invullen!G165)</f>
        <v/>
      </c>
      <c r="F167" s="149" t="str">
        <f>IF(ISBLANK(Invullen!K166),"",Invullen!K166)</f>
        <v/>
      </c>
      <c r="G167" s="152" t="str">
        <f>IF(ISBLANK(Invullen!L165),"",Invullen!L165)</f>
        <v/>
      </c>
      <c r="H167" s="185" t="str">
        <f>IF(ISBLANK(Invullen!M165),"",Invullen!M165)</f>
        <v/>
      </c>
      <c r="I167" s="188" t="str">
        <f>IF(ISBLANK(Invullen!N165),"",Invullen!N165)</f>
        <v/>
      </c>
      <c r="J167" s="189" t="str">
        <f>IF(ISBLANK(Invullen!N165),"",I167*$J$3)</f>
        <v/>
      </c>
      <c r="K167" s="188" t="str">
        <f>IF(ISBLANK(Invullen!O165),"",Invullen!O165)</f>
        <v/>
      </c>
      <c r="L167" s="189" t="str">
        <f>IF(ISBLANK(Invullen!O165),"",K167*$L$3)</f>
        <v/>
      </c>
      <c r="M167" s="192"/>
    </row>
    <row r="168" spans="1:13" x14ac:dyDescent="0.3">
      <c r="A168" s="148">
        <f>Invullen!A166</f>
        <v>162</v>
      </c>
      <c r="B168" s="149" t="str">
        <f>IF(ISBLANK(Invullen!D166),"",Invullen!D166)</f>
        <v/>
      </c>
      <c r="C168" s="150" t="str">
        <f>IF(ISBLANK(Invullen!E166),"",Invullen!E166)</f>
        <v/>
      </c>
      <c r="D168" s="151" t="str">
        <f>IF(ISBLANK(Invullen!F166),"",Invullen!F166)</f>
        <v/>
      </c>
      <c r="E168" s="151" t="str">
        <f>IF(ISBLANK(Invullen!G166),"",Invullen!G166)</f>
        <v/>
      </c>
      <c r="F168" s="149" t="str">
        <f>IF(ISBLANK(Invullen!K167),"",Invullen!K167)</f>
        <v/>
      </c>
      <c r="G168" s="152" t="str">
        <f>IF(ISBLANK(Invullen!L166),"",Invullen!L166)</f>
        <v/>
      </c>
      <c r="H168" s="185" t="str">
        <f>IF(ISBLANK(Invullen!M166),"",Invullen!M166)</f>
        <v/>
      </c>
      <c r="I168" s="188" t="str">
        <f>IF(ISBLANK(Invullen!N166),"",Invullen!N166)</f>
        <v/>
      </c>
      <c r="J168" s="189" t="str">
        <f>IF(ISBLANK(Invullen!N166),"",I168*$J$3)</f>
        <v/>
      </c>
      <c r="K168" s="188" t="str">
        <f>IF(ISBLANK(Invullen!O166),"",Invullen!O166)</f>
        <v/>
      </c>
      <c r="L168" s="189" t="str">
        <f>IF(ISBLANK(Invullen!O166),"",K168*$L$3)</f>
        <v/>
      </c>
      <c r="M168" s="192"/>
    </row>
    <row r="169" spans="1:13" x14ac:dyDescent="0.3">
      <c r="A169" s="148">
        <f>Invullen!A167</f>
        <v>163</v>
      </c>
      <c r="B169" s="149" t="str">
        <f>IF(ISBLANK(Invullen!D167),"",Invullen!D167)</f>
        <v/>
      </c>
      <c r="C169" s="150" t="str">
        <f>IF(ISBLANK(Invullen!E167),"",Invullen!E167)</f>
        <v/>
      </c>
      <c r="D169" s="151" t="str">
        <f>IF(ISBLANK(Invullen!F167),"",Invullen!F167)</f>
        <v/>
      </c>
      <c r="E169" s="151" t="str">
        <f>IF(ISBLANK(Invullen!G167),"",Invullen!G167)</f>
        <v/>
      </c>
      <c r="F169" s="149" t="str">
        <f>IF(ISBLANK(Invullen!K168),"",Invullen!K168)</f>
        <v/>
      </c>
      <c r="G169" s="152" t="str">
        <f>IF(ISBLANK(Invullen!L167),"",Invullen!L167)</f>
        <v/>
      </c>
      <c r="H169" s="185" t="str">
        <f>IF(ISBLANK(Invullen!M167),"",Invullen!M167)</f>
        <v/>
      </c>
      <c r="I169" s="188" t="str">
        <f>IF(ISBLANK(Invullen!N167),"",Invullen!N167)</f>
        <v/>
      </c>
      <c r="J169" s="189" t="str">
        <f>IF(ISBLANK(Invullen!N167),"",I169*$J$3)</f>
        <v/>
      </c>
      <c r="K169" s="188" t="str">
        <f>IF(ISBLANK(Invullen!O167),"",Invullen!O167)</f>
        <v/>
      </c>
      <c r="L169" s="189" t="str">
        <f>IF(ISBLANK(Invullen!O167),"",K169*$L$3)</f>
        <v/>
      </c>
      <c r="M169" s="192"/>
    </row>
    <row r="170" spans="1:13" x14ac:dyDescent="0.3">
      <c r="A170" s="148">
        <f>Invullen!A168</f>
        <v>164</v>
      </c>
      <c r="B170" s="149" t="str">
        <f>IF(ISBLANK(Invullen!D168),"",Invullen!D168)</f>
        <v/>
      </c>
      <c r="C170" s="150" t="str">
        <f>IF(ISBLANK(Invullen!E168),"",Invullen!E168)</f>
        <v/>
      </c>
      <c r="D170" s="151" t="str">
        <f>IF(ISBLANK(Invullen!F168),"",Invullen!F168)</f>
        <v/>
      </c>
      <c r="E170" s="151" t="str">
        <f>IF(ISBLANK(Invullen!G168),"",Invullen!G168)</f>
        <v/>
      </c>
      <c r="F170" s="149" t="str">
        <f>IF(ISBLANK(Invullen!K169),"",Invullen!K169)</f>
        <v/>
      </c>
      <c r="G170" s="152" t="str">
        <f>IF(ISBLANK(Invullen!L168),"",Invullen!L168)</f>
        <v/>
      </c>
      <c r="H170" s="185" t="str">
        <f>IF(ISBLANK(Invullen!M168),"",Invullen!M168)</f>
        <v/>
      </c>
      <c r="I170" s="188" t="str">
        <f>IF(ISBLANK(Invullen!N168),"",Invullen!N168)</f>
        <v/>
      </c>
      <c r="J170" s="189" t="str">
        <f>IF(ISBLANK(Invullen!N168),"",I170*$J$3)</f>
        <v/>
      </c>
      <c r="K170" s="188" t="str">
        <f>IF(ISBLANK(Invullen!O168),"",Invullen!O168)</f>
        <v/>
      </c>
      <c r="L170" s="189" t="str">
        <f>IF(ISBLANK(Invullen!O168),"",K170*$L$3)</f>
        <v/>
      </c>
      <c r="M170" s="192"/>
    </row>
    <row r="171" spans="1:13" x14ac:dyDescent="0.3">
      <c r="A171" s="148">
        <f>Invullen!A169</f>
        <v>165</v>
      </c>
      <c r="B171" s="149" t="str">
        <f>IF(ISBLANK(Invullen!D169),"",Invullen!D169)</f>
        <v/>
      </c>
      <c r="C171" s="150" t="str">
        <f>IF(ISBLANK(Invullen!E169),"",Invullen!E169)</f>
        <v/>
      </c>
      <c r="D171" s="151" t="str">
        <f>IF(ISBLANK(Invullen!F169),"",Invullen!F169)</f>
        <v/>
      </c>
      <c r="E171" s="151" t="str">
        <f>IF(ISBLANK(Invullen!G169),"",Invullen!G169)</f>
        <v/>
      </c>
      <c r="F171" s="149" t="str">
        <f>IF(ISBLANK(Invullen!K170),"",Invullen!K170)</f>
        <v/>
      </c>
      <c r="G171" s="152" t="str">
        <f>IF(ISBLANK(Invullen!L169),"",Invullen!L169)</f>
        <v/>
      </c>
      <c r="H171" s="185" t="str">
        <f>IF(ISBLANK(Invullen!M169),"",Invullen!M169)</f>
        <v/>
      </c>
      <c r="I171" s="188" t="str">
        <f>IF(ISBLANK(Invullen!N169),"",Invullen!N169)</f>
        <v/>
      </c>
      <c r="J171" s="189" t="str">
        <f>IF(ISBLANK(Invullen!N169),"",I171*$J$3)</f>
        <v/>
      </c>
      <c r="K171" s="188" t="str">
        <f>IF(ISBLANK(Invullen!O169),"",Invullen!O169)</f>
        <v/>
      </c>
      <c r="L171" s="189" t="str">
        <f>IF(ISBLANK(Invullen!O169),"",K171*$L$3)</f>
        <v/>
      </c>
      <c r="M171" s="192"/>
    </row>
    <row r="172" spans="1:13" x14ac:dyDescent="0.3">
      <c r="A172" s="148">
        <f>Invullen!A170</f>
        <v>166</v>
      </c>
      <c r="B172" s="149" t="str">
        <f>IF(ISBLANK(Invullen!D170),"",Invullen!D170)</f>
        <v/>
      </c>
      <c r="C172" s="150" t="str">
        <f>IF(ISBLANK(Invullen!E170),"",Invullen!E170)</f>
        <v/>
      </c>
      <c r="D172" s="151" t="str">
        <f>IF(ISBLANK(Invullen!F170),"",Invullen!F170)</f>
        <v/>
      </c>
      <c r="E172" s="151" t="str">
        <f>IF(ISBLANK(Invullen!G170),"",Invullen!G170)</f>
        <v/>
      </c>
      <c r="F172" s="149" t="str">
        <f>IF(ISBLANK(Invullen!K171),"",Invullen!K171)</f>
        <v/>
      </c>
      <c r="G172" s="152" t="str">
        <f>IF(ISBLANK(Invullen!L170),"",Invullen!L170)</f>
        <v/>
      </c>
      <c r="H172" s="185" t="str">
        <f>IF(ISBLANK(Invullen!M170),"",Invullen!M170)</f>
        <v/>
      </c>
      <c r="I172" s="188" t="str">
        <f>IF(ISBLANK(Invullen!N170),"",Invullen!N170)</f>
        <v/>
      </c>
      <c r="J172" s="189" t="str">
        <f>IF(ISBLANK(Invullen!N170),"",I172*$J$3)</f>
        <v/>
      </c>
      <c r="K172" s="188" t="str">
        <f>IF(ISBLANK(Invullen!O170),"",Invullen!O170)</f>
        <v/>
      </c>
      <c r="L172" s="189" t="str">
        <f>IF(ISBLANK(Invullen!O170),"",K172*$L$3)</f>
        <v/>
      </c>
      <c r="M172" s="192"/>
    </row>
    <row r="173" spans="1:13" x14ac:dyDescent="0.3">
      <c r="A173" s="148">
        <f>Invullen!A171</f>
        <v>167</v>
      </c>
      <c r="B173" s="149" t="str">
        <f>IF(ISBLANK(Invullen!D171),"",Invullen!D171)</f>
        <v/>
      </c>
      <c r="C173" s="150" t="str">
        <f>IF(ISBLANK(Invullen!E171),"",Invullen!E171)</f>
        <v/>
      </c>
      <c r="D173" s="151" t="str">
        <f>IF(ISBLANK(Invullen!F171),"",Invullen!F171)</f>
        <v/>
      </c>
      <c r="E173" s="151" t="str">
        <f>IF(ISBLANK(Invullen!G171),"",Invullen!G171)</f>
        <v/>
      </c>
      <c r="F173" s="149" t="str">
        <f>IF(ISBLANK(Invullen!K172),"",Invullen!K172)</f>
        <v/>
      </c>
      <c r="G173" s="152" t="str">
        <f>IF(ISBLANK(Invullen!L171),"",Invullen!L171)</f>
        <v/>
      </c>
      <c r="H173" s="185" t="str">
        <f>IF(ISBLANK(Invullen!M171),"",Invullen!M171)</f>
        <v/>
      </c>
      <c r="I173" s="188" t="str">
        <f>IF(ISBLANK(Invullen!N171),"",Invullen!N171)</f>
        <v/>
      </c>
      <c r="J173" s="189" t="str">
        <f>IF(ISBLANK(Invullen!N171),"",I173*$J$3)</f>
        <v/>
      </c>
      <c r="K173" s="188" t="str">
        <f>IF(ISBLANK(Invullen!O171),"",Invullen!O171)</f>
        <v/>
      </c>
      <c r="L173" s="189" t="str">
        <f>IF(ISBLANK(Invullen!O171),"",K173*$L$3)</f>
        <v/>
      </c>
      <c r="M173" s="192"/>
    </row>
    <row r="174" spans="1:13" x14ac:dyDescent="0.3">
      <c r="A174" s="148">
        <f>Invullen!A172</f>
        <v>168</v>
      </c>
      <c r="B174" s="149" t="str">
        <f>IF(ISBLANK(Invullen!D172),"",Invullen!D172)</f>
        <v/>
      </c>
      <c r="C174" s="150" t="str">
        <f>IF(ISBLANK(Invullen!E172),"",Invullen!E172)</f>
        <v/>
      </c>
      <c r="D174" s="151" t="str">
        <f>IF(ISBLANK(Invullen!F172),"",Invullen!F172)</f>
        <v/>
      </c>
      <c r="E174" s="151" t="str">
        <f>IF(ISBLANK(Invullen!G172),"",Invullen!G172)</f>
        <v/>
      </c>
      <c r="F174" s="149" t="str">
        <f>IF(ISBLANK(Invullen!K173),"",Invullen!K173)</f>
        <v/>
      </c>
      <c r="G174" s="152" t="str">
        <f>IF(ISBLANK(Invullen!L172),"",Invullen!L172)</f>
        <v/>
      </c>
      <c r="H174" s="185" t="str">
        <f>IF(ISBLANK(Invullen!M172),"",Invullen!M172)</f>
        <v/>
      </c>
      <c r="I174" s="188" t="str">
        <f>IF(ISBLANK(Invullen!N172),"",Invullen!N172)</f>
        <v/>
      </c>
      <c r="J174" s="189" t="str">
        <f>IF(ISBLANK(Invullen!N172),"",I174*$J$3)</f>
        <v/>
      </c>
      <c r="K174" s="188" t="str">
        <f>IF(ISBLANK(Invullen!O172),"",Invullen!O172)</f>
        <v/>
      </c>
      <c r="L174" s="189" t="str">
        <f>IF(ISBLANK(Invullen!O172),"",K174*$L$3)</f>
        <v/>
      </c>
      <c r="M174" s="192"/>
    </row>
    <row r="175" spans="1:13" x14ac:dyDescent="0.3">
      <c r="A175" s="148">
        <f>Invullen!A173</f>
        <v>169</v>
      </c>
      <c r="B175" s="149" t="str">
        <f>IF(ISBLANK(Invullen!D173),"",Invullen!D173)</f>
        <v/>
      </c>
      <c r="C175" s="150" t="str">
        <f>IF(ISBLANK(Invullen!E173),"",Invullen!E173)</f>
        <v/>
      </c>
      <c r="D175" s="151" t="str">
        <f>IF(ISBLANK(Invullen!F173),"",Invullen!F173)</f>
        <v/>
      </c>
      <c r="E175" s="151" t="str">
        <f>IF(ISBLANK(Invullen!G173),"",Invullen!G173)</f>
        <v/>
      </c>
      <c r="F175" s="149" t="str">
        <f>IF(ISBLANK(Invullen!K174),"",Invullen!K174)</f>
        <v/>
      </c>
      <c r="G175" s="152" t="str">
        <f>IF(ISBLANK(Invullen!L173),"",Invullen!L173)</f>
        <v/>
      </c>
      <c r="H175" s="185" t="str">
        <f>IF(ISBLANK(Invullen!M173),"",Invullen!M173)</f>
        <v/>
      </c>
      <c r="I175" s="188" t="str">
        <f>IF(ISBLANK(Invullen!N173),"",Invullen!N173)</f>
        <v/>
      </c>
      <c r="J175" s="189" t="str">
        <f>IF(ISBLANK(Invullen!N173),"",I175*$J$3)</f>
        <v/>
      </c>
      <c r="K175" s="188" t="str">
        <f>IF(ISBLANK(Invullen!O173),"",Invullen!O173)</f>
        <v/>
      </c>
      <c r="L175" s="189" t="str">
        <f>IF(ISBLANK(Invullen!O173),"",K175*$L$3)</f>
        <v/>
      </c>
      <c r="M175" s="192"/>
    </row>
    <row r="176" spans="1:13" x14ac:dyDescent="0.3">
      <c r="A176" s="148">
        <f>Invullen!A174</f>
        <v>170</v>
      </c>
      <c r="B176" s="149" t="str">
        <f>IF(ISBLANK(Invullen!D174),"",Invullen!D174)</f>
        <v/>
      </c>
      <c r="C176" s="150" t="str">
        <f>IF(ISBLANK(Invullen!E174),"",Invullen!E174)</f>
        <v/>
      </c>
      <c r="D176" s="151" t="str">
        <f>IF(ISBLANK(Invullen!F174),"",Invullen!F174)</f>
        <v/>
      </c>
      <c r="E176" s="151" t="str">
        <f>IF(ISBLANK(Invullen!G174),"",Invullen!G174)</f>
        <v/>
      </c>
      <c r="F176" s="149" t="str">
        <f>IF(ISBLANK(Invullen!K175),"",Invullen!K175)</f>
        <v/>
      </c>
      <c r="G176" s="152" t="str">
        <f>IF(ISBLANK(Invullen!L174),"",Invullen!L174)</f>
        <v/>
      </c>
      <c r="H176" s="185" t="str">
        <f>IF(ISBLANK(Invullen!M174),"",Invullen!M174)</f>
        <v/>
      </c>
      <c r="I176" s="188" t="str">
        <f>IF(ISBLANK(Invullen!N174),"",Invullen!N174)</f>
        <v/>
      </c>
      <c r="J176" s="189" t="str">
        <f>IF(ISBLANK(Invullen!N174),"",I176*$J$3)</f>
        <v/>
      </c>
      <c r="K176" s="188" t="str">
        <f>IF(ISBLANK(Invullen!O174),"",Invullen!O174)</f>
        <v/>
      </c>
      <c r="L176" s="189" t="str">
        <f>IF(ISBLANK(Invullen!O174),"",K176*$L$3)</f>
        <v/>
      </c>
      <c r="M176" s="192"/>
    </row>
    <row r="177" spans="1:13" x14ac:dyDescent="0.3">
      <c r="A177" s="148">
        <f>Invullen!A175</f>
        <v>171</v>
      </c>
      <c r="B177" s="149" t="str">
        <f>IF(ISBLANK(Invullen!D175),"",Invullen!D175)</f>
        <v/>
      </c>
      <c r="C177" s="150" t="str">
        <f>IF(ISBLANK(Invullen!E175),"",Invullen!E175)</f>
        <v/>
      </c>
      <c r="D177" s="151" t="str">
        <f>IF(ISBLANK(Invullen!F175),"",Invullen!F175)</f>
        <v/>
      </c>
      <c r="E177" s="151" t="str">
        <f>IF(ISBLANK(Invullen!G175),"",Invullen!G175)</f>
        <v/>
      </c>
      <c r="F177" s="149" t="str">
        <f>IF(ISBLANK(Invullen!K176),"",Invullen!K176)</f>
        <v/>
      </c>
      <c r="G177" s="152" t="str">
        <f>IF(ISBLANK(Invullen!L175),"",Invullen!L175)</f>
        <v/>
      </c>
      <c r="H177" s="185" t="str">
        <f>IF(ISBLANK(Invullen!M175),"",Invullen!M175)</f>
        <v/>
      </c>
      <c r="I177" s="188" t="str">
        <f>IF(ISBLANK(Invullen!N175),"",Invullen!N175)</f>
        <v/>
      </c>
      <c r="J177" s="189" t="str">
        <f>IF(ISBLANK(Invullen!N175),"",I177*$J$3)</f>
        <v/>
      </c>
      <c r="K177" s="188" t="str">
        <f>IF(ISBLANK(Invullen!O175),"",Invullen!O175)</f>
        <v/>
      </c>
      <c r="L177" s="189" t="str">
        <f>IF(ISBLANK(Invullen!O175),"",K177*$L$3)</f>
        <v/>
      </c>
      <c r="M177" s="192"/>
    </row>
    <row r="178" spans="1:13" x14ac:dyDescent="0.3">
      <c r="A178" s="148">
        <f>Invullen!A176</f>
        <v>172</v>
      </c>
      <c r="B178" s="149" t="str">
        <f>IF(ISBLANK(Invullen!D176),"",Invullen!D176)</f>
        <v/>
      </c>
      <c r="C178" s="150" t="str">
        <f>IF(ISBLANK(Invullen!E176),"",Invullen!E176)</f>
        <v/>
      </c>
      <c r="D178" s="151" t="str">
        <f>IF(ISBLANK(Invullen!F176),"",Invullen!F176)</f>
        <v/>
      </c>
      <c r="E178" s="151" t="str">
        <f>IF(ISBLANK(Invullen!G176),"",Invullen!G176)</f>
        <v/>
      </c>
      <c r="F178" s="149" t="str">
        <f>IF(ISBLANK(Invullen!K177),"",Invullen!K177)</f>
        <v/>
      </c>
      <c r="G178" s="152" t="str">
        <f>IF(ISBLANK(Invullen!L176),"",Invullen!L176)</f>
        <v/>
      </c>
      <c r="H178" s="185" t="str">
        <f>IF(ISBLANK(Invullen!M176),"",Invullen!M176)</f>
        <v/>
      </c>
      <c r="I178" s="188" t="str">
        <f>IF(ISBLANK(Invullen!N176),"",Invullen!N176)</f>
        <v/>
      </c>
      <c r="J178" s="189" t="str">
        <f>IF(ISBLANK(Invullen!N176),"",I178*$J$3)</f>
        <v/>
      </c>
      <c r="K178" s="188" t="str">
        <f>IF(ISBLANK(Invullen!O176),"",Invullen!O176)</f>
        <v/>
      </c>
      <c r="L178" s="189" t="str">
        <f>IF(ISBLANK(Invullen!O176),"",K178*$L$3)</f>
        <v/>
      </c>
      <c r="M178" s="192"/>
    </row>
    <row r="179" spans="1:13" x14ac:dyDescent="0.3">
      <c r="A179" s="148">
        <f>Invullen!A177</f>
        <v>173</v>
      </c>
      <c r="B179" s="149" t="str">
        <f>IF(ISBLANK(Invullen!D177),"",Invullen!D177)</f>
        <v/>
      </c>
      <c r="C179" s="150" t="str">
        <f>IF(ISBLANK(Invullen!E177),"",Invullen!E177)</f>
        <v/>
      </c>
      <c r="D179" s="151" t="str">
        <f>IF(ISBLANK(Invullen!F177),"",Invullen!F177)</f>
        <v/>
      </c>
      <c r="E179" s="151" t="str">
        <f>IF(ISBLANK(Invullen!G177),"",Invullen!G177)</f>
        <v/>
      </c>
      <c r="F179" s="149" t="str">
        <f>IF(ISBLANK(Invullen!K178),"",Invullen!K178)</f>
        <v/>
      </c>
      <c r="G179" s="152" t="str">
        <f>IF(ISBLANK(Invullen!L177),"",Invullen!L177)</f>
        <v/>
      </c>
      <c r="H179" s="185" t="str">
        <f>IF(ISBLANK(Invullen!M177),"",Invullen!M177)</f>
        <v/>
      </c>
      <c r="I179" s="188" t="str">
        <f>IF(ISBLANK(Invullen!N177),"",Invullen!N177)</f>
        <v/>
      </c>
      <c r="J179" s="189" t="str">
        <f>IF(ISBLANK(Invullen!N177),"",I179*$J$3)</f>
        <v/>
      </c>
      <c r="K179" s="188" t="str">
        <f>IF(ISBLANK(Invullen!O177),"",Invullen!O177)</f>
        <v/>
      </c>
      <c r="L179" s="189" t="str">
        <f>IF(ISBLANK(Invullen!O177),"",K179*$L$3)</f>
        <v/>
      </c>
      <c r="M179" s="192"/>
    </row>
    <row r="180" spans="1:13" x14ac:dyDescent="0.3">
      <c r="A180" s="148">
        <f>Invullen!A178</f>
        <v>174</v>
      </c>
      <c r="B180" s="149" t="str">
        <f>IF(ISBLANK(Invullen!D178),"",Invullen!D178)</f>
        <v/>
      </c>
      <c r="C180" s="150" t="str">
        <f>IF(ISBLANK(Invullen!E178),"",Invullen!E178)</f>
        <v/>
      </c>
      <c r="D180" s="151" t="str">
        <f>IF(ISBLANK(Invullen!F178),"",Invullen!F178)</f>
        <v/>
      </c>
      <c r="E180" s="151" t="str">
        <f>IF(ISBLANK(Invullen!G178),"",Invullen!G178)</f>
        <v/>
      </c>
      <c r="F180" s="149" t="str">
        <f>IF(ISBLANK(Invullen!K179),"",Invullen!K179)</f>
        <v/>
      </c>
      <c r="G180" s="152" t="str">
        <f>IF(ISBLANK(Invullen!L178),"",Invullen!L178)</f>
        <v/>
      </c>
      <c r="H180" s="185" t="str">
        <f>IF(ISBLANK(Invullen!M178),"",Invullen!M178)</f>
        <v/>
      </c>
      <c r="I180" s="188" t="str">
        <f>IF(ISBLANK(Invullen!N178),"",Invullen!N178)</f>
        <v/>
      </c>
      <c r="J180" s="189" t="str">
        <f>IF(ISBLANK(Invullen!N178),"",I180*$J$3)</f>
        <v/>
      </c>
      <c r="K180" s="188" t="str">
        <f>IF(ISBLANK(Invullen!O178),"",Invullen!O178)</f>
        <v/>
      </c>
      <c r="L180" s="189" t="str">
        <f>IF(ISBLANK(Invullen!O178),"",K180*$L$3)</f>
        <v/>
      </c>
      <c r="M180" s="192"/>
    </row>
    <row r="181" spans="1:13" x14ac:dyDescent="0.3">
      <c r="A181" s="148">
        <f>Invullen!A179</f>
        <v>175</v>
      </c>
      <c r="B181" s="149" t="str">
        <f>IF(ISBLANK(Invullen!D179),"",Invullen!D179)</f>
        <v/>
      </c>
      <c r="C181" s="150" t="str">
        <f>IF(ISBLANK(Invullen!E179),"",Invullen!E179)</f>
        <v/>
      </c>
      <c r="D181" s="151" t="str">
        <f>IF(ISBLANK(Invullen!F179),"",Invullen!F179)</f>
        <v/>
      </c>
      <c r="E181" s="151" t="str">
        <f>IF(ISBLANK(Invullen!G179),"",Invullen!G179)</f>
        <v/>
      </c>
      <c r="F181" s="149" t="str">
        <f>IF(ISBLANK(Invullen!K180),"",Invullen!K180)</f>
        <v/>
      </c>
      <c r="G181" s="152" t="str">
        <f>IF(ISBLANK(Invullen!L179),"",Invullen!L179)</f>
        <v/>
      </c>
      <c r="H181" s="185" t="str">
        <f>IF(ISBLANK(Invullen!M179),"",Invullen!M179)</f>
        <v/>
      </c>
      <c r="I181" s="188" t="str">
        <f>IF(ISBLANK(Invullen!N179),"",Invullen!N179)</f>
        <v/>
      </c>
      <c r="J181" s="189" t="str">
        <f>IF(ISBLANK(Invullen!N179),"",I181*$J$3)</f>
        <v/>
      </c>
      <c r="K181" s="188" t="str">
        <f>IF(ISBLANK(Invullen!O179),"",Invullen!O179)</f>
        <v/>
      </c>
      <c r="L181" s="189" t="str">
        <f>IF(ISBLANK(Invullen!O179),"",K181*$L$3)</f>
        <v/>
      </c>
      <c r="M181" s="192"/>
    </row>
    <row r="182" spans="1:13" x14ac:dyDescent="0.3">
      <c r="A182" s="148">
        <f>Invullen!A180</f>
        <v>176</v>
      </c>
      <c r="B182" s="149" t="str">
        <f>IF(ISBLANK(Invullen!D180),"",Invullen!D180)</f>
        <v/>
      </c>
      <c r="C182" s="150" t="str">
        <f>IF(ISBLANK(Invullen!E180),"",Invullen!E180)</f>
        <v/>
      </c>
      <c r="D182" s="151" t="str">
        <f>IF(ISBLANK(Invullen!F180),"",Invullen!F180)</f>
        <v/>
      </c>
      <c r="E182" s="151" t="str">
        <f>IF(ISBLANK(Invullen!G180),"",Invullen!G180)</f>
        <v/>
      </c>
      <c r="F182" s="149" t="str">
        <f>IF(ISBLANK(Invullen!K181),"",Invullen!K181)</f>
        <v/>
      </c>
      <c r="G182" s="152" t="str">
        <f>IF(ISBLANK(Invullen!L180),"",Invullen!L180)</f>
        <v/>
      </c>
      <c r="H182" s="185" t="str">
        <f>IF(ISBLANK(Invullen!M180),"",Invullen!M180)</f>
        <v/>
      </c>
      <c r="I182" s="188" t="str">
        <f>IF(ISBLANK(Invullen!N180),"",Invullen!N180)</f>
        <v/>
      </c>
      <c r="J182" s="189" t="str">
        <f>IF(ISBLANK(Invullen!N180),"",I182*$J$3)</f>
        <v/>
      </c>
      <c r="K182" s="188" t="str">
        <f>IF(ISBLANK(Invullen!O180),"",Invullen!O180)</f>
        <v/>
      </c>
      <c r="L182" s="189" t="str">
        <f>IF(ISBLANK(Invullen!O180),"",K182*$L$3)</f>
        <v/>
      </c>
      <c r="M182" s="192"/>
    </row>
    <row r="183" spans="1:13" x14ac:dyDescent="0.3">
      <c r="A183" s="148">
        <f>Invullen!A181</f>
        <v>177</v>
      </c>
      <c r="B183" s="149" t="str">
        <f>IF(ISBLANK(Invullen!D181),"",Invullen!D181)</f>
        <v/>
      </c>
      <c r="C183" s="150" t="str">
        <f>IF(ISBLANK(Invullen!E181),"",Invullen!E181)</f>
        <v/>
      </c>
      <c r="D183" s="151" t="str">
        <f>IF(ISBLANK(Invullen!F181),"",Invullen!F181)</f>
        <v/>
      </c>
      <c r="E183" s="151" t="str">
        <f>IF(ISBLANK(Invullen!G181),"",Invullen!G181)</f>
        <v/>
      </c>
      <c r="F183" s="149" t="str">
        <f>IF(ISBLANK(Invullen!K182),"",Invullen!K182)</f>
        <v/>
      </c>
      <c r="G183" s="152" t="str">
        <f>IF(ISBLANK(Invullen!L181),"",Invullen!L181)</f>
        <v/>
      </c>
      <c r="H183" s="185" t="str">
        <f>IF(ISBLANK(Invullen!M181),"",Invullen!M181)</f>
        <v/>
      </c>
      <c r="I183" s="188" t="str">
        <f>IF(ISBLANK(Invullen!N181),"",Invullen!N181)</f>
        <v/>
      </c>
      <c r="J183" s="189" t="str">
        <f>IF(ISBLANK(Invullen!N181),"",I183*$J$3)</f>
        <v/>
      </c>
      <c r="K183" s="188" t="str">
        <f>IF(ISBLANK(Invullen!O181),"",Invullen!O181)</f>
        <v/>
      </c>
      <c r="L183" s="189" t="str">
        <f>IF(ISBLANK(Invullen!O181),"",K183*$L$3)</f>
        <v/>
      </c>
      <c r="M183" s="192"/>
    </row>
    <row r="184" spans="1:13" x14ac:dyDescent="0.3">
      <c r="A184" s="148">
        <f>Invullen!A182</f>
        <v>178</v>
      </c>
      <c r="B184" s="149" t="str">
        <f>IF(ISBLANK(Invullen!D182),"",Invullen!D182)</f>
        <v/>
      </c>
      <c r="C184" s="150" t="str">
        <f>IF(ISBLANK(Invullen!E182),"",Invullen!E182)</f>
        <v/>
      </c>
      <c r="D184" s="151" t="str">
        <f>IF(ISBLANK(Invullen!F182),"",Invullen!F182)</f>
        <v/>
      </c>
      <c r="E184" s="151" t="str">
        <f>IF(ISBLANK(Invullen!G182),"",Invullen!G182)</f>
        <v/>
      </c>
      <c r="F184" s="149" t="str">
        <f>IF(ISBLANK(Invullen!K183),"",Invullen!K183)</f>
        <v/>
      </c>
      <c r="G184" s="152" t="str">
        <f>IF(ISBLANK(Invullen!L182),"",Invullen!L182)</f>
        <v/>
      </c>
      <c r="H184" s="185" t="str">
        <f>IF(ISBLANK(Invullen!M182),"",Invullen!M182)</f>
        <v/>
      </c>
      <c r="I184" s="188" t="str">
        <f>IF(ISBLANK(Invullen!N182),"",Invullen!N182)</f>
        <v/>
      </c>
      <c r="J184" s="189" t="str">
        <f>IF(ISBLANK(Invullen!N182),"",I184*$J$3)</f>
        <v/>
      </c>
      <c r="K184" s="188" t="str">
        <f>IF(ISBLANK(Invullen!O182),"",Invullen!O182)</f>
        <v/>
      </c>
      <c r="L184" s="189" t="str">
        <f>IF(ISBLANK(Invullen!O182),"",K184*$L$3)</f>
        <v/>
      </c>
      <c r="M184" s="192"/>
    </row>
    <row r="185" spans="1:13" x14ac:dyDescent="0.3">
      <c r="A185" s="148">
        <f>Invullen!A183</f>
        <v>179</v>
      </c>
      <c r="B185" s="149" t="str">
        <f>IF(ISBLANK(Invullen!D183),"",Invullen!D183)</f>
        <v/>
      </c>
      <c r="C185" s="150" t="str">
        <f>IF(ISBLANK(Invullen!E183),"",Invullen!E183)</f>
        <v/>
      </c>
      <c r="D185" s="151" t="str">
        <f>IF(ISBLANK(Invullen!F183),"",Invullen!F183)</f>
        <v/>
      </c>
      <c r="E185" s="151" t="str">
        <f>IF(ISBLANK(Invullen!G183),"",Invullen!G183)</f>
        <v/>
      </c>
      <c r="F185" s="149" t="str">
        <f>IF(ISBLANK(Invullen!K184),"",Invullen!K184)</f>
        <v/>
      </c>
      <c r="G185" s="152" t="str">
        <f>IF(ISBLANK(Invullen!L183),"",Invullen!L183)</f>
        <v/>
      </c>
      <c r="H185" s="185" t="str">
        <f>IF(ISBLANK(Invullen!M183),"",Invullen!M183)</f>
        <v/>
      </c>
      <c r="I185" s="188" t="str">
        <f>IF(ISBLANK(Invullen!N183),"",Invullen!N183)</f>
        <v/>
      </c>
      <c r="J185" s="189" t="str">
        <f>IF(ISBLANK(Invullen!N183),"",I185*$J$3)</f>
        <v/>
      </c>
      <c r="K185" s="188" t="str">
        <f>IF(ISBLANK(Invullen!O183),"",Invullen!O183)</f>
        <v/>
      </c>
      <c r="L185" s="189" t="str">
        <f>IF(ISBLANK(Invullen!O183),"",K185*$L$3)</f>
        <v/>
      </c>
      <c r="M185" s="192"/>
    </row>
    <row r="186" spans="1:13" x14ac:dyDescent="0.3">
      <c r="A186" s="148">
        <f>Invullen!A184</f>
        <v>180</v>
      </c>
      <c r="B186" s="149" t="str">
        <f>IF(ISBLANK(Invullen!D184),"",Invullen!D184)</f>
        <v/>
      </c>
      <c r="C186" s="150" t="str">
        <f>IF(ISBLANK(Invullen!E184),"",Invullen!E184)</f>
        <v/>
      </c>
      <c r="D186" s="151" t="str">
        <f>IF(ISBLANK(Invullen!F184),"",Invullen!F184)</f>
        <v/>
      </c>
      <c r="E186" s="151" t="str">
        <f>IF(ISBLANK(Invullen!G184),"",Invullen!G184)</f>
        <v/>
      </c>
      <c r="F186" s="149" t="str">
        <f>IF(ISBLANK(Invullen!K185),"",Invullen!K185)</f>
        <v/>
      </c>
      <c r="G186" s="152" t="str">
        <f>IF(ISBLANK(Invullen!L184),"",Invullen!L184)</f>
        <v/>
      </c>
      <c r="H186" s="185" t="str">
        <f>IF(ISBLANK(Invullen!M184),"",Invullen!M184)</f>
        <v/>
      </c>
      <c r="I186" s="188" t="str">
        <f>IF(ISBLANK(Invullen!N184),"",Invullen!N184)</f>
        <v/>
      </c>
      <c r="J186" s="189" t="str">
        <f>IF(ISBLANK(Invullen!N184),"",I186*$J$3)</f>
        <v/>
      </c>
      <c r="K186" s="188" t="str">
        <f>IF(ISBLANK(Invullen!O184),"",Invullen!O184)</f>
        <v/>
      </c>
      <c r="L186" s="189" t="str">
        <f>IF(ISBLANK(Invullen!O184),"",K186*$L$3)</f>
        <v/>
      </c>
      <c r="M186" s="192"/>
    </row>
    <row r="187" spans="1:13" x14ac:dyDescent="0.3">
      <c r="A187" s="148">
        <f>Invullen!A185</f>
        <v>181</v>
      </c>
      <c r="B187" s="149" t="str">
        <f>IF(ISBLANK(Invullen!D185),"",Invullen!D185)</f>
        <v/>
      </c>
      <c r="C187" s="150" t="str">
        <f>IF(ISBLANK(Invullen!E185),"",Invullen!E185)</f>
        <v/>
      </c>
      <c r="D187" s="151" t="str">
        <f>IF(ISBLANK(Invullen!F185),"",Invullen!F185)</f>
        <v/>
      </c>
      <c r="E187" s="151" t="str">
        <f>IF(ISBLANK(Invullen!G185),"",Invullen!G185)</f>
        <v/>
      </c>
      <c r="F187" s="149" t="str">
        <f>IF(ISBLANK(Invullen!K186),"",Invullen!K186)</f>
        <v/>
      </c>
      <c r="G187" s="152" t="str">
        <f>IF(ISBLANK(Invullen!L185),"",Invullen!L185)</f>
        <v/>
      </c>
      <c r="H187" s="185" t="str">
        <f>IF(ISBLANK(Invullen!M185),"",Invullen!M185)</f>
        <v/>
      </c>
      <c r="I187" s="188" t="str">
        <f>IF(ISBLANK(Invullen!N185),"",Invullen!N185)</f>
        <v/>
      </c>
      <c r="J187" s="189" t="str">
        <f>IF(ISBLANK(Invullen!N185),"",I187*$J$3)</f>
        <v/>
      </c>
      <c r="K187" s="188" t="str">
        <f>IF(ISBLANK(Invullen!O185),"",Invullen!O185)</f>
        <v/>
      </c>
      <c r="L187" s="189" t="str">
        <f>IF(ISBLANK(Invullen!O185),"",K187*$L$3)</f>
        <v/>
      </c>
      <c r="M187" s="192"/>
    </row>
    <row r="188" spans="1:13" x14ac:dyDescent="0.3">
      <c r="A188" s="148">
        <f>Invullen!A186</f>
        <v>182</v>
      </c>
      <c r="B188" s="149" t="str">
        <f>IF(ISBLANK(Invullen!D186),"",Invullen!D186)</f>
        <v/>
      </c>
      <c r="C188" s="150" t="str">
        <f>IF(ISBLANK(Invullen!E186),"",Invullen!E186)</f>
        <v/>
      </c>
      <c r="D188" s="151" t="str">
        <f>IF(ISBLANK(Invullen!F186),"",Invullen!F186)</f>
        <v/>
      </c>
      <c r="E188" s="151" t="str">
        <f>IF(ISBLANK(Invullen!G186),"",Invullen!G186)</f>
        <v/>
      </c>
      <c r="F188" s="149" t="str">
        <f>IF(ISBLANK(Invullen!K187),"",Invullen!K187)</f>
        <v/>
      </c>
      <c r="G188" s="152" t="str">
        <f>IF(ISBLANK(Invullen!L186),"",Invullen!L186)</f>
        <v/>
      </c>
      <c r="H188" s="185" t="str">
        <f>IF(ISBLANK(Invullen!M186),"",Invullen!M186)</f>
        <v/>
      </c>
      <c r="I188" s="188" t="str">
        <f>IF(ISBLANK(Invullen!N186),"",Invullen!N186)</f>
        <v/>
      </c>
      <c r="J188" s="189" t="str">
        <f>IF(ISBLANK(Invullen!N186),"",I188*$J$3)</f>
        <v/>
      </c>
      <c r="K188" s="188" t="str">
        <f>IF(ISBLANK(Invullen!O186),"",Invullen!O186)</f>
        <v/>
      </c>
      <c r="L188" s="189" t="str">
        <f>IF(ISBLANK(Invullen!O186),"",K188*$L$3)</f>
        <v/>
      </c>
      <c r="M188" s="192"/>
    </row>
    <row r="189" spans="1:13" x14ac:dyDescent="0.3">
      <c r="A189" s="148">
        <f>Invullen!A187</f>
        <v>183</v>
      </c>
      <c r="B189" s="149" t="str">
        <f>IF(ISBLANK(Invullen!D187),"",Invullen!D187)</f>
        <v/>
      </c>
      <c r="C189" s="150" t="str">
        <f>IF(ISBLANK(Invullen!E187),"",Invullen!E187)</f>
        <v/>
      </c>
      <c r="D189" s="151" t="str">
        <f>IF(ISBLANK(Invullen!F187),"",Invullen!F187)</f>
        <v/>
      </c>
      <c r="E189" s="151" t="str">
        <f>IF(ISBLANK(Invullen!G187),"",Invullen!G187)</f>
        <v/>
      </c>
      <c r="F189" s="149" t="str">
        <f>IF(ISBLANK(Invullen!K188),"",Invullen!K188)</f>
        <v/>
      </c>
      <c r="G189" s="152" t="str">
        <f>IF(ISBLANK(Invullen!L187),"",Invullen!L187)</f>
        <v/>
      </c>
      <c r="H189" s="185" t="str">
        <f>IF(ISBLANK(Invullen!M187),"",Invullen!M187)</f>
        <v/>
      </c>
      <c r="I189" s="188" t="str">
        <f>IF(ISBLANK(Invullen!N187),"",Invullen!N187)</f>
        <v/>
      </c>
      <c r="J189" s="189" t="str">
        <f>IF(ISBLANK(Invullen!N187),"",I189*$J$3)</f>
        <v/>
      </c>
      <c r="K189" s="188" t="str">
        <f>IF(ISBLANK(Invullen!O187),"",Invullen!O187)</f>
        <v/>
      </c>
      <c r="L189" s="189" t="str">
        <f>IF(ISBLANK(Invullen!O187),"",K189*$L$3)</f>
        <v/>
      </c>
      <c r="M189" s="192"/>
    </row>
    <row r="190" spans="1:13" x14ac:dyDescent="0.3">
      <c r="A190" s="148">
        <f>Invullen!A188</f>
        <v>184</v>
      </c>
      <c r="B190" s="149" t="str">
        <f>IF(ISBLANK(Invullen!D188),"",Invullen!D188)</f>
        <v/>
      </c>
      <c r="C190" s="150" t="str">
        <f>IF(ISBLANK(Invullen!E188),"",Invullen!E188)</f>
        <v/>
      </c>
      <c r="D190" s="151" t="str">
        <f>IF(ISBLANK(Invullen!F188),"",Invullen!F188)</f>
        <v/>
      </c>
      <c r="E190" s="151" t="str">
        <f>IF(ISBLANK(Invullen!G188),"",Invullen!G188)</f>
        <v/>
      </c>
      <c r="F190" s="149" t="str">
        <f>IF(ISBLANK(Invullen!K189),"",Invullen!K189)</f>
        <v/>
      </c>
      <c r="G190" s="152" t="str">
        <f>IF(ISBLANK(Invullen!L188),"",Invullen!L188)</f>
        <v/>
      </c>
      <c r="H190" s="185" t="str">
        <f>IF(ISBLANK(Invullen!M188),"",Invullen!M188)</f>
        <v/>
      </c>
      <c r="I190" s="188" t="str">
        <f>IF(ISBLANK(Invullen!N188),"",Invullen!N188)</f>
        <v/>
      </c>
      <c r="J190" s="189" t="str">
        <f>IF(ISBLANK(Invullen!N188),"",I190*$J$3)</f>
        <v/>
      </c>
      <c r="K190" s="188" t="str">
        <f>IF(ISBLANK(Invullen!O188),"",Invullen!O188)</f>
        <v/>
      </c>
      <c r="L190" s="189" t="str">
        <f>IF(ISBLANK(Invullen!O188),"",K190*$L$3)</f>
        <v/>
      </c>
      <c r="M190" s="192"/>
    </row>
    <row r="191" spans="1:13" x14ac:dyDescent="0.3">
      <c r="A191" s="148">
        <f>Invullen!A189</f>
        <v>185</v>
      </c>
      <c r="B191" s="149" t="str">
        <f>IF(ISBLANK(Invullen!D189),"",Invullen!D189)</f>
        <v/>
      </c>
      <c r="C191" s="150" t="str">
        <f>IF(ISBLANK(Invullen!E189),"",Invullen!E189)</f>
        <v/>
      </c>
      <c r="D191" s="151" t="str">
        <f>IF(ISBLANK(Invullen!F189),"",Invullen!F189)</f>
        <v/>
      </c>
      <c r="E191" s="151" t="str">
        <f>IF(ISBLANK(Invullen!G189),"",Invullen!G189)</f>
        <v/>
      </c>
      <c r="F191" s="149" t="str">
        <f>IF(ISBLANK(Invullen!K190),"",Invullen!K190)</f>
        <v/>
      </c>
      <c r="G191" s="152" t="str">
        <f>IF(ISBLANK(Invullen!L189),"",Invullen!L189)</f>
        <v/>
      </c>
      <c r="H191" s="185" t="str">
        <f>IF(ISBLANK(Invullen!M189),"",Invullen!M189)</f>
        <v/>
      </c>
      <c r="I191" s="188" t="str">
        <f>IF(ISBLANK(Invullen!N189),"",Invullen!N189)</f>
        <v/>
      </c>
      <c r="J191" s="189" t="str">
        <f>IF(ISBLANK(Invullen!N189),"",I191*$J$3)</f>
        <v/>
      </c>
      <c r="K191" s="188" t="str">
        <f>IF(ISBLANK(Invullen!O189),"",Invullen!O189)</f>
        <v/>
      </c>
      <c r="L191" s="189" t="str">
        <f>IF(ISBLANK(Invullen!O189),"",K191*$L$3)</f>
        <v/>
      </c>
      <c r="M191" s="192"/>
    </row>
    <row r="192" spans="1:13" x14ac:dyDescent="0.3">
      <c r="A192" s="148">
        <f>Invullen!A190</f>
        <v>186</v>
      </c>
      <c r="B192" s="149" t="str">
        <f>IF(ISBLANK(Invullen!D190),"",Invullen!D190)</f>
        <v/>
      </c>
      <c r="C192" s="150" t="str">
        <f>IF(ISBLANK(Invullen!E190),"",Invullen!E190)</f>
        <v/>
      </c>
      <c r="D192" s="151" t="str">
        <f>IF(ISBLANK(Invullen!F190),"",Invullen!F190)</f>
        <v/>
      </c>
      <c r="E192" s="151" t="str">
        <f>IF(ISBLANK(Invullen!G190),"",Invullen!G190)</f>
        <v/>
      </c>
      <c r="F192" s="149" t="str">
        <f>IF(ISBLANK(Invullen!K191),"",Invullen!K191)</f>
        <v/>
      </c>
      <c r="G192" s="152" t="str">
        <f>IF(ISBLANK(Invullen!L190),"",Invullen!L190)</f>
        <v/>
      </c>
      <c r="H192" s="185" t="str">
        <f>IF(ISBLANK(Invullen!M190),"",Invullen!M190)</f>
        <v/>
      </c>
      <c r="I192" s="188" t="str">
        <f>IF(ISBLANK(Invullen!N190),"",Invullen!N190)</f>
        <v/>
      </c>
      <c r="J192" s="189" t="str">
        <f>IF(ISBLANK(Invullen!N190),"",I192*$J$3)</f>
        <v/>
      </c>
      <c r="K192" s="188" t="str">
        <f>IF(ISBLANK(Invullen!O190),"",Invullen!O190)</f>
        <v/>
      </c>
      <c r="L192" s="189" t="str">
        <f>IF(ISBLANK(Invullen!O190),"",K192*$L$3)</f>
        <v/>
      </c>
      <c r="M192" s="192"/>
    </row>
    <row r="193" spans="1:13" x14ac:dyDescent="0.3">
      <c r="A193" s="148">
        <f>Invullen!A191</f>
        <v>187</v>
      </c>
      <c r="B193" s="149" t="str">
        <f>IF(ISBLANK(Invullen!D191),"",Invullen!D191)</f>
        <v/>
      </c>
      <c r="C193" s="150" t="str">
        <f>IF(ISBLANK(Invullen!E191),"",Invullen!E191)</f>
        <v/>
      </c>
      <c r="D193" s="151" t="str">
        <f>IF(ISBLANK(Invullen!F191),"",Invullen!F191)</f>
        <v/>
      </c>
      <c r="E193" s="151" t="str">
        <f>IF(ISBLANK(Invullen!G191),"",Invullen!G191)</f>
        <v/>
      </c>
      <c r="F193" s="149" t="str">
        <f>IF(ISBLANK(Invullen!K192),"",Invullen!K192)</f>
        <v/>
      </c>
      <c r="G193" s="152" t="str">
        <f>IF(ISBLANK(Invullen!L191),"",Invullen!L191)</f>
        <v/>
      </c>
      <c r="H193" s="185" t="str">
        <f>IF(ISBLANK(Invullen!M191),"",Invullen!M191)</f>
        <v/>
      </c>
      <c r="I193" s="188" t="str">
        <f>IF(ISBLANK(Invullen!N191),"",Invullen!N191)</f>
        <v/>
      </c>
      <c r="J193" s="189" t="str">
        <f>IF(ISBLANK(Invullen!N191),"",I193*$J$3)</f>
        <v/>
      </c>
      <c r="K193" s="188" t="str">
        <f>IF(ISBLANK(Invullen!O191),"",Invullen!O191)</f>
        <v/>
      </c>
      <c r="L193" s="189" t="str">
        <f>IF(ISBLANK(Invullen!O191),"",K193*$L$3)</f>
        <v/>
      </c>
      <c r="M193" s="192"/>
    </row>
    <row r="194" spans="1:13" x14ac:dyDescent="0.3">
      <c r="A194" s="148">
        <f>Invullen!A192</f>
        <v>188</v>
      </c>
      <c r="B194" s="149" t="str">
        <f>IF(ISBLANK(Invullen!D192),"",Invullen!D192)</f>
        <v/>
      </c>
      <c r="C194" s="150" t="str">
        <f>IF(ISBLANK(Invullen!E192),"",Invullen!E192)</f>
        <v/>
      </c>
      <c r="D194" s="151" t="str">
        <f>IF(ISBLANK(Invullen!F192),"",Invullen!F192)</f>
        <v/>
      </c>
      <c r="E194" s="151" t="str">
        <f>IF(ISBLANK(Invullen!G192),"",Invullen!G192)</f>
        <v/>
      </c>
      <c r="F194" s="149" t="str">
        <f>IF(ISBLANK(Invullen!K193),"",Invullen!K193)</f>
        <v/>
      </c>
      <c r="G194" s="152" t="str">
        <f>IF(ISBLANK(Invullen!L192),"",Invullen!L192)</f>
        <v/>
      </c>
      <c r="H194" s="185" t="str">
        <f>IF(ISBLANK(Invullen!M192),"",Invullen!M192)</f>
        <v/>
      </c>
      <c r="I194" s="188" t="str">
        <f>IF(ISBLANK(Invullen!N192),"",Invullen!N192)</f>
        <v/>
      </c>
      <c r="J194" s="189" t="str">
        <f>IF(ISBLANK(Invullen!N192),"",I194*$J$3)</f>
        <v/>
      </c>
      <c r="K194" s="188" t="str">
        <f>IF(ISBLANK(Invullen!O192),"",Invullen!O192)</f>
        <v/>
      </c>
      <c r="L194" s="189" t="str">
        <f>IF(ISBLANK(Invullen!O192),"",K194*$L$3)</f>
        <v/>
      </c>
      <c r="M194" s="192"/>
    </row>
    <row r="195" spans="1:13" x14ac:dyDescent="0.3">
      <c r="A195" s="148">
        <f>Invullen!A193</f>
        <v>189</v>
      </c>
      <c r="B195" s="149" t="str">
        <f>IF(ISBLANK(Invullen!D193),"",Invullen!D193)</f>
        <v/>
      </c>
      <c r="C195" s="150" t="str">
        <f>IF(ISBLANK(Invullen!E193),"",Invullen!E193)</f>
        <v/>
      </c>
      <c r="D195" s="151" t="str">
        <f>IF(ISBLANK(Invullen!F193),"",Invullen!F193)</f>
        <v/>
      </c>
      <c r="E195" s="151" t="str">
        <f>IF(ISBLANK(Invullen!G193),"",Invullen!G193)</f>
        <v/>
      </c>
      <c r="F195" s="149" t="str">
        <f>IF(ISBLANK(Invullen!K194),"",Invullen!K194)</f>
        <v/>
      </c>
      <c r="G195" s="152" t="str">
        <f>IF(ISBLANK(Invullen!L193),"",Invullen!L193)</f>
        <v/>
      </c>
      <c r="H195" s="185" t="str">
        <f>IF(ISBLANK(Invullen!M193),"",Invullen!M193)</f>
        <v/>
      </c>
      <c r="I195" s="188" t="str">
        <f>IF(ISBLANK(Invullen!N193),"",Invullen!N193)</f>
        <v/>
      </c>
      <c r="J195" s="189" t="str">
        <f>IF(ISBLANK(Invullen!N193),"",I195*$J$3)</f>
        <v/>
      </c>
      <c r="K195" s="188" t="str">
        <f>IF(ISBLANK(Invullen!O193),"",Invullen!O193)</f>
        <v/>
      </c>
      <c r="L195" s="189" t="str">
        <f>IF(ISBLANK(Invullen!O193),"",K195*$L$3)</f>
        <v/>
      </c>
      <c r="M195" s="192"/>
    </row>
    <row r="196" spans="1:13" x14ac:dyDescent="0.3">
      <c r="A196" s="148">
        <f>Invullen!A194</f>
        <v>190</v>
      </c>
      <c r="B196" s="149" t="str">
        <f>IF(ISBLANK(Invullen!D194),"",Invullen!D194)</f>
        <v/>
      </c>
      <c r="C196" s="150" t="str">
        <f>IF(ISBLANK(Invullen!E194),"",Invullen!E194)</f>
        <v/>
      </c>
      <c r="D196" s="151" t="str">
        <f>IF(ISBLANK(Invullen!F194),"",Invullen!F194)</f>
        <v/>
      </c>
      <c r="E196" s="151" t="str">
        <f>IF(ISBLANK(Invullen!G194),"",Invullen!G194)</f>
        <v/>
      </c>
      <c r="F196" s="149" t="str">
        <f>IF(ISBLANK(Invullen!K195),"",Invullen!K195)</f>
        <v/>
      </c>
      <c r="G196" s="152" t="str">
        <f>IF(ISBLANK(Invullen!L194),"",Invullen!L194)</f>
        <v/>
      </c>
      <c r="H196" s="185" t="str">
        <f>IF(ISBLANK(Invullen!M194),"",Invullen!M194)</f>
        <v/>
      </c>
      <c r="I196" s="188" t="str">
        <f>IF(ISBLANK(Invullen!N194),"",Invullen!N194)</f>
        <v/>
      </c>
      <c r="J196" s="189" t="str">
        <f>IF(ISBLANK(Invullen!N194),"",I196*$J$3)</f>
        <v/>
      </c>
      <c r="K196" s="188" t="str">
        <f>IF(ISBLANK(Invullen!O194),"",Invullen!O194)</f>
        <v/>
      </c>
      <c r="L196" s="189" t="str">
        <f>IF(ISBLANK(Invullen!O194),"",K196*$L$3)</f>
        <v/>
      </c>
      <c r="M196" s="192"/>
    </row>
    <row r="197" spans="1:13" x14ac:dyDescent="0.3">
      <c r="A197" s="148">
        <f>Invullen!A195</f>
        <v>191</v>
      </c>
      <c r="B197" s="149" t="str">
        <f>IF(ISBLANK(Invullen!D195),"",Invullen!D195)</f>
        <v/>
      </c>
      <c r="C197" s="150" t="str">
        <f>IF(ISBLANK(Invullen!E195),"",Invullen!E195)</f>
        <v/>
      </c>
      <c r="D197" s="151" t="str">
        <f>IF(ISBLANK(Invullen!F195),"",Invullen!F195)</f>
        <v/>
      </c>
      <c r="E197" s="151" t="str">
        <f>IF(ISBLANK(Invullen!G195),"",Invullen!G195)</f>
        <v/>
      </c>
      <c r="F197" s="149" t="str">
        <f>IF(ISBLANK(Invullen!K196),"",Invullen!K196)</f>
        <v/>
      </c>
      <c r="G197" s="152" t="str">
        <f>IF(ISBLANK(Invullen!L195),"",Invullen!L195)</f>
        <v/>
      </c>
      <c r="H197" s="185" t="str">
        <f>IF(ISBLANK(Invullen!M195),"",Invullen!M195)</f>
        <v/>
      </c>
      <c r="I197" s="188" t="str">
        <f>IF(ISBLANK(Invullen!N195),"",Invullen!N195)</f>
        <v/>
      </c>
      <c r="J197" s="189" t="str">
        <f>IF(ISBLANK(Invullen!N195),"",I197*$J$3)</f>
        <v/>
      </c>
      <c r="K197" s="188" t="str">
        <f>IF(ISBLANK(Invullen!O195),"",Invullen!O195)</f>
        <v/>
      </c>
      <c r="L197" s="189" t="str">
        <f>IF(ISBLANK(Invullen!O195),"",K197*$L$3)</f>
        <v/>
      </c>
      <c r="M197" s="192"/>
    </row>
    <row r="198" spans="1:13" x14ac:dyDescent="0.3">
      <c r="A198" s="148">
        <f>Invullen!A196</f>
        <v>192</v>
      </c>
      <c r="B198" s="149" t="str">
        <f>IF(ISBLANK(Invullen!D196),"",Invullen!D196)</f>
        <v/>
      </c>
      <c r="C198" s="150" t="str">
        <f>IF(ISBLANK(Invullen!E196),"",Invullen!E196)</f>
        <v/>
      </c>
      <c r="D198" s="151" t="str">
        <f>IF(ISBLANK(Invullen!F196),"",Invullen!F196)</f>
        <v/>
      </c>
      <c r="E198" s="151" t="str">
        <f>IF(ISBLANK(Invullen!G196),"",Invullen!G196)</f>
        <v/>
      </c>
      <c r="F198" s="149" t="str">
        <f>IF(ISBLANK(Invullen!K197),"",Invullen!K197)</f>
        <v/>
      </c>
      <c r="G198" s="152" t="str">
        <f>IF(ISBLANK(Invullen!L196),"",Invullen!L196)</f>
        <v/>
      </c>
      <c r="H198" s="185" t="str">
        <f>IF(ISBLANK(Invullen!M196),"",Invullen!M196)</f>
        <v/>
      </c>
      <c r="I198" s="188" t="str">
        <f>IF(ISBLANK(Invullen!N196),"",Invullen!N196)</f>
        <v/>
      </c>
      <c r="J198" s="189" t="str">
        <f>IF(ISBLANK(Invullen!N196),"",I198*$J$3)</f>
        <v/>
      </c>
      <c r="K198" s="188" t="str">
        <f>IF(ISBLANK(Invullen!O196),"",Invullen!O196)</f>
        <v/>
      </c>
      <c r="L198" s="189" t="str">
        <f>IF(ISBLANK(Invullen!O196),"",K198*$L$3)</f>
        <v/>
      </c>
      <c r="M198" s="192"/>
    </row>
    <row r="199" spans="1:13" x14ac:dyDescent="0.3">
      <c r="A199" s="148">
        <f>Invullen!A197</f>
        <v>193</v>
      </c>
      <c r="B199" s="149" t="str">
        <f>IF(ISBLANK(Invullen!D197),"",Invullen!D197)</f>
        <v/>
      </c>
      <c r="C199" s="150" t="str">
        <f>IF(ISBLANK(Invullen!E197),"",Invullen!E197)</f>
        <v/>
      </c>
      <c r="D199" s="151" t="str">
        <f>IF(ISBLANK(Invullen!F197),"",Invullen!F197)</f>
        <v/>
      </c>
      <c r="E199" s="151" t="str">
        <f>IF(ISBLANK(Invullen!G197),"",Invullen!G197)</f>
        <v/>
      </c>
      <c r="F199" s="149" t="str">
        <f>IF(ISBLANK(Invullen!K198),"",Invullen!K198)</f>
        <v/>
      </c>
      <c r="G199" s="152" t="str">
        <f>IF(ISBLANK(Invullen!L197),"",Invullen!L197)</f>
        <v/>
      </c>
      <c r="H199" s="185" t="str">
        <f>IF(ISBLANK(Invullen!M197),"",Invullen!M197)</f>
        <v/>
      </c>
      <c r="I199" s="188" t="str">
        <f>IF(ISBLANK(Invullen!N197),"",Invullen!N197)</f>
        <v/>
      </c>
      <c r="J199" s="189" t="str">
        <f>IF(ISBLANK(Invullen!N197),"",I199*$J$3)</f>
        <v/>
      </c>
      <c r="K199" s="188" t="str">
        <f>IF(ISBLANK(Invullen!O197),"",Invullen!O197)</f>
        <v/>
      </c>
      <c r="L199" s="189" t="str">
        <f>IF(ISBLANK(Invullen!O197),"",K199*$L$3)</f>
        <v/>
      </c>
      <c r="M199" s="192"/>
    </row>
    <row r="200" spans="1:13" x14ac:dyDescent="0.3">
      <c r="A200" s="148">
        <f>Invullen!A198</f>
        <v>194</v>
      </c>
      <c r="B200" s="149" t="str">
        <f>IF(ISBLANK(Invullen!D198),"",Invullen!D198)</f>
        <v/>
      </c>
      <c r="C200" s="150" t="str">
        <f>IF(ISBLANK(Invullen!E198),"",Invullen!E198)</f>
        <v/>
      </c>
      <c r="D200" s="151" t="str">
        <f>IF(ISBLANK(Invullen!F198),"",Invullen!F198)</f>
        <v/>
      </c>
      <c r="E200" s="151" t="str">
        <f>IF(ISBLANK(Invullen!G198),"",Invullen!G198)</f>
        <v/>
      </c>
      <c r="F200" s="149" t="str">
        <f>IF(ISBLANK(Invullen!K199),"",Invullen!K199)</f>
        <v/>
      </c>
      <c r="G200" s="152" t="str">
        <f>IF(ISBLANK(Invullen!L198),"",Invullen!L198)</f>
        <v/>
      </c>
      <c r="H200" s="185" t="str">
        <f>IF(ISBLANK(Invullen!M198),"",Invullen!M198)</f>
        <v/>
      </c>
      <c r="I200" s="188" t="str">
        <f>IF(ISBLANK(Invullen!N198),"",Invullen!N198)</f>
        <v/>
      </c>
      <c r="J200" s="189" t="str">
        <f>IF(ISBLANK(Invullen!N198),"",I200*$J$3)</f>
        <v/>
      </c>
      <c r="K200" s="188" t="str">
        <f>IF(ISBLANK(Invullen!O198),"",Invullen!O198)</f>
        <v/>
      </c>
      <c r="L200" s="189" t="str">
        <f>IF(ISBLANK(Invullen!O198),"",K200*$L$3)</f>
        <v/>
      </c>
      <c r="M200" s="192"/>
    </row>
    <row r="201" spans="1:13" x14ac:dyDescent="0.3">
      <c r="A201" s="148">
        <f>Invullen!A199</f>
        <v>195</v>
      </c>
      <c r="B201" s="149" t="str">
        <f>IF(ISBLANK(Invullen!D199),"",Invullen!D199)</f>
        <v/>
      </c>
      <c r="C201" s="150" t="str">
        <f>IF(ISBLANK(Invullen!E199),"",Invullen!E199)</f>
        <v/>
      </c>
      <c r="D201" s="151" t="str">
        <f>IF(ISBLANK(Invullen!F199),"",Invullen!F199)</f>
        <v/>
      </c>
      <c r="E201" s="151" t="str">
        <f>IF(ISBLANK(Invullen!G199),"",Invullen!G199)</f>
        <v/>
      </c>
      <c r="F201" s="149" t="str">
        <f>IF(ISBLANK(Invullen!K200),"",Invullen!K200)</f>
        <v/>
      </c>
      <c r="G201" s="152" t="str">
        <f>IF(ISBLANK(Invullen!L199),"",Invullen!L199)</f>
        <v/>
      </c>
      <c r="H201" s="185" t="str">
        <f>IF(ISBLANK(Invullen!M199),"",Invullen!M199)</f>
        <v/>
      </c>
      <c r="I201" s="188" t="str">
        <f>IF(ISBLANK(Invullen!N199),"",Invullen!N199)</f>
        <v/>
      </c>
      <c r="J201" s="189" t="str">
        <f>IF(ISBLANK(Invullen!N199),"",I201*$J$3)</f>
        <v/>
      </c>
      <c r="K201" s="188" t="str">
        <f>IF(ISBLANK(Invullen!O199),"",Invullen!O199)</f>
        <v/>
      </c>
      <c r="L201" s="189" t="str">
        <f>IF(ISBLANK(Invullen!O199),"",K201*$L$3)</f>
        <v/>
      </c>
      <c r="M201" s="192"/>
    </row>
    <row r="202" spans="1:13" x14ac:dyDescent="0.3">
      <c r="A202" s="148">
        <f>Invullen!A200</f>
        <v>196</v>
      </c>
      <c r="B202" s="149" t="str">
        <f>IF(ISBLANK(Invullen!D200),"",Invullen!D200)</f>
        <v/>
      </c>
      <c r="C202" s="150" t="str">
        <f>IF(ISBLANK(Invullen!E200),"",Invullen!E200)</f>
        <v/>
      </c>
      <c r="D202" s="151" t="str">
        <f>IF(ISBLANK(Invullen!F200),"",Invullen!F200)</f>
        <v/>
      </c>
      <c r="E202" s="151" t="str">
        <f>IF(ISBLANK(Invullen!G200),"",Invullen!G200)</f>
        <v/>
      </c>
      <c r="F202" s="149" t="str">
        <f>IF(ISBLANK(Invullen!K201),"",Invullen!K201)</f>
        <v/>
      </c>
      <c r="G202" s="152" t="str">
        <f>IF(ISBLANK(Invullen!L200),"",Invullen!L200)</f>
        <v/>
      </c>
      <c r="H202" s="185" t="str">
        <f>IF(ISBLANK(Invullen!M200),"",Invullen!M200)</f>
        <v/>
      </c>
      <c r="I202" s="188" t="str">
        <f>IF(ISBLANK(Invullen!N200),"",Invullen!N200)</f>
        <v/>
      </c>
      <c r="J202" s="189" t="str">
        <f>IF(ISBLANK(Invullen!N200),"",I202*$J$3)</f>
        <v/>
      </c>
      <c r="K202" s="188" t="str">
        <f>IF(ISBLANK(Invullen!O200),"",Invullen!O200)</f>
        <v/>
      </c>
      <c r="L202" s="189" t="str">
        <f>IF(ISBLANK(Invullen!O200),"",K202*$L$3)</f>
        <v/>
      </c>
      <c r="M202" s="192"/>
    </row>
    <row r="203" spans="1:13" x14ac:dyDescent="0.3">
      <c r="A203" s="148">
        <f>Invullen!A201</f>
        <v>197</v>
      </c>
      <c r="B203" s="149" t="str">
        <f>IF(ISBLANK(Invullen!D201),"",Invullen!D201)</f>
        <v/>
      </c>
      <c r="C203" s="150" t="str">
        <f>IF(ISBLANK(Invullen!E201),"",Invullen!E201)</f>
        <v/>
      </c>
      <c r="D203" s="151" t="str">
        <f>IF(ISBLANK(Invullen!F201),"",Invullen!F201)</f>
        <v/>
      </c>
      <c r="E203" s="151" t="str">
        <f>IF(ISBLANK(Invullen!G201),"",Invullen!G201)</f>
        <v/>
      </c>
      <c r="F203" s="149" t="str">
        <f>IF(ISBLANK(Invullen!K202),"",Invullen!K202)</f>
        <v/>
      </c>
      <c r="G203" s="152" t="str">
        <f>IF(ISBLANK(Invullen!L201),"",Invullen!L201)</f>
        <v/>
      </c>
      <c r="H203" s="185" t="str">
        <f>IF(ISBLANK(Invullen!M201),"",Invullen!M201)</f>
        <v/>
      </c>
      <c r="I203" s="188" t="str">
        <f>IF(ISBLANK(Invullen!N201),"",Invullen!N201)</f>
        <v/>
      </c>
      <c r="J203" s="189" t="str">
        <f>IF(ISBLANK(Invullen!N201),"",I203*$J$3)</f>
        <v/>
      </c>
      <c r="K203" s="188" t="str">
        <f>IF(ISBLANK(Invullen!O201),"",Invullen!O201)</f>
        <v/>
      </c>
      <c r="L203" s="189" t="str">
        <f>IF(ISBLANK(Invullen!O201),"",K203*$L$3)</f>
        <v/>
      </c>
      <c r="M203" s="192"/>
    </row>
    <row r="204" spans="1:13" x14ac:dyDescent="0.3">
      <c r="A204" s="148">
        <f>Invullen!A202</f>
        <v>198</v>
      </c>
      <c r="B204" s="149" t="str">
        <f>IF(ISBLANK(Invullen!D202),"",Invullen!D202)</f>
        <v/>
      </c>
      <c r="C204" s="150" t="str">
        <f>IF(ISBLANK(Invullen!E202),"",Invullen!E202)</f>
        <v/>
      </c>
      <c r="D204" s="151" t="str">
        <f>IF(ISBLANK(Invullen!F202),"",Invullen!F202)</f>
        <v/>
      </c>
      <c r="E204" s="151" t="str">
        <f>IF(ISBLANK(Invullen!G202),"",Invullen!G202)</f>
        <v/>
      </c>
      <c r="F204" s="149" t="str">
        <f>IF(ISBLANK(Invullen!K203),"",Invullen!K203)</f>
        <v/>
      </c>
      <c r="G204" s="152" t="str">
        <f>IF(ISBLANK(Invullen!L202),"",Invullen!L202)</f>
        <v/>
      </c>
      <c r="H204" s="185" t="str">
        <f>IF(ISBLANK(Invullen!M202),"",Invullen!M202)</f>
        <v/>
      </c>
      <c r="I204" s="188" t="str">
        <f>IF(ISBLANK(Invullen!N202),"",Invullen!N202)</f>
        <v/>
      </c>
      <c r="J204" s="189" t="str">
        <f>IF(ISBLANK(Invullen!N202),"",I204*$J$3)</f>
        <v/>
      </c>
      <c r="K204" s="188" t="str">
        <f>IF(ISBLANK(Invullen!O202),"",Invullen!O202)</f>
        <v/>
      </c>
      <c r="L204" s="189" t="str">
        <f>IF(ISBLANK(Invullen!O202),"",K204*$L$3)</f>
        <v/>
      </c>
      <c r="M204" s="192"/>
    </row>
    <row r="205" spans="1:13" x14ac:dyDescent="0.3">
      <c r="A205" s="148">
        <f>Invullen!A203</f>
        <v>199</v>
      </c>
      <c r="B205" s="149" t="str">
        <f>IF(ISBLANK(Invullen!D203),"",Invullen!D203)</f>
        <v/>
      </c>
      <c r="C205" s="150" t="str">
        <f>IF(ISBLANK(Invullen!E203),"",Invullen!E203)</f>
        <v/>
      </c>
      <c r="D205" s="151" t="str">
        <f>IF(ISBLANK(Invullen!F203),"",Invullen!F203)</f>
        <v/>
      </c>
      <c r="E205" s="151" t="str">
        <f>IF(ISBLANK(Invullen!G203),"",Invullen!G203)</f>
        <v/>
      </c>
      <c r="F205" s="149" t="str">
        <f>IF(ISBLANK(Invullen!K204),"",Invullen!K204)</f>
        <v/>
      </c>
      <c r="G205" s="152" t="str">
        <f>IF(ISBLANK(Invullen!L203),"",Invullen!L203)</f>
        <v/>
      </c>
      <c r="H205" s="185" t="str">
        <f>IF(ISBLANK(Invullen!M203),"",Invullen!M203)</f>
        <v/>
      </c>
      <c r="I205" s="188" t="str">
        <f>IF(ISBLANK(Invullen!N203),"",Invullen!N203)</f>
        <v/>
      </c>
      <c r="J205" s="189" t="str">
        <f>IF(ISBLANK(Invullen!N203),"",I205*$J$3)</f>
        <v/>
      </c>
      <c r="K205" s="188" t="str">
        <f>IF(ISBLANK(Invullen!O203),"",Invullen!O203)</f>
        <v/>
      </c>
      <c r="L205" s="189" t="str">
        <f>IF(ISBLANK(Invullen!O203),"",K205*$L$3)</f>
        <v/>
      </c>
      <c r="M205" s="192"/>
    </row>
    <row r="206" spans="1:13" x14ac:dyDescent="0.3">
      <c r="A206" s="148">
        <f>Invullen!A204</f>
        <v>200</v>
      </c>
      <c r="B206" s="149" t="str">
        <f>IF(ISBLANK(Invullen!D204),"",Invullen!D204)</f>
        <v/>
      </c>
      <c r="C206" s="150" t="str">
        <f>IF(ISBLANK(Invullen!E204),"",Invullen!E204)</f>
        <v/>
      </c>
      <c r="D206" s="151" t="str">
        <f>IF(ISBLANK(Invullen!F204),"",Invullen!F204)</f>
        <v/>
      </c>
      <c r="E206" s="151" t="str">
        <f>IF(ISBLANK(Invullen!G204),"",Invullen!G204)</f>
        <v/>
      </c>
      <c r="F206" s="149" t="str">
        <f>IF(ISBLANK(Invullen!K205),"",Invullen!K205)</f>
        <v/>
      </c>
      <c r="G206" s="152" t="str">
        <f>IF(ISBLANK(Invullen!L204),"",Invullen!L204)</f>
        <v/>
      </c>
      <c r="H206" s="185" t="str">
        <f>IF(ISBLANK(Invullen!M204),"",Invullen!M204)</f>
        <v/>
      </c>
      <c r="I206" s="188" t="str">
        <f>IF(ISBLANK(Invullen!N204),"",Invullen!N204)</f>
        <v/>
      </c>
      <c r="J206" s="189" t="str">
        <f>IF(ISBLANK(Invullen!N204),"",I206*$J$3)</f>
        <v/>
      </c>
      <c r="K206" s="188" t="str">
        <f>IF(ISBLANK(Invullen!O204),"",Invullen!O204)</f>
        <v/>
      </c>
      <c r="L206" s="189" t="str">
        <f>IF(ISBLANK(Invullen!O204),"",K206*$L$3)</f>
        <v/>
      </c>
      <c r="M206" s="192"/>
    </row>
    <row r="207" spans="1:13" x14ac:dyDescent="0.3">
      <c r="A207" s="148">
        <f>Invullen!A205</f>
        <v>201</v>
      </c>
      <c r="B207" s="149" t="str">
        <f>IF(ISBLANK(Invullen!D205),"",Invullen!D205)</f>
        <v/>
      </c>
      <c r="C207" s="150" t="str">
        <f>IF(ISBLANK(Invullen!E205),"",Invullen!E205)</f>
        <v/>
      </c>
      <c r="D207" s="151" t="str">
        <f>IF(ISBLANK(Invullen!F205),"",Invullen!F205)</f>
        <v/>
      </c>
      <c r="E207" s="151" t="str">
        <f>IF(ISBLANK(Invullen!G205),"",Invullen!G205)</f>
        <v/>
      </c>
      <c r="F207" s="149" t="str">
        <f>IF(ISBLANK(Invullen!K206),"",Invullen!K206)</f>
        <v/>
      </c>
      <c r="G207" s="152" t="str">
        <f>IF(ISBLANK(Invullen!L205),"",Invullen!L205)</f>
        <v/>
      </c>
      <c r="H207" s="185" t="str">
        <f>IF(ISBLANK(Invullen!M205),"",Invullen!M205)</f>
        <v/>
      </c>
      <c r="I207" s="188" t="str">
        <f>IF(ISBLANK(Invullen!N205),"",Invullen!N205)</f>
        <v/>
      </c>
      <c r="J207" s="189" t="str">
        <f>IF(ISBLANK(Invullen!N205),"",I207*$J$3)</f>
        <v/>
      </c>
      <c r="K207" s="188" t="str">
        <f>IF(ISBLANK(Invullen!O205),"",Invullen!O205)</f>
        <v/>
      </c>
      <c r="L207" s="189" t="str">
        <f>IF(ISBLANK(Invullen!O205),"",K207*$L$3)</f>
        <v/>
      </c>
      <c r="M207" s="192"/>
    </row>
    <row r="208" spans="1:13" x14ac:dyDescent="0.3">
      <c r="A208" s="148">
        <f>Invullen!A206</f>
        <v>202</v>
      </c>
      <c r="B208" s="149" t="str">
        <f>IF(ISBLANK(Invullen!D206),"",Invullen!D206)</f>
        <v/>
      </c>
      <c r="C208" s="150" t="str">
        <f>IF(ISBLANK(Invullen!E206),"",Invullen!E206)</f>
        <v/>
      </c>
      <c r="D208" s="151" t="str">
        <f>IF(ISBLANK(Invullen!F206),"",Invullen!F206)</f>
        <v/>
      </c>
      <c r="E208" s="151" t="str">
        <f>IF(ISBLANK(Invullen!G206),"",Invullen!G206)</f>
        <v/>
      </c>
      <c r="F208" s="149" t="str">
        <f>IF(ISBLANK(Invullen!K207),"",Invullen!K207)</f>
        <v/>
      </c>
      <c r="G208" s="152" t="str">
        <f>IF(ISBLANK(Invullen!L206),"",Invullen!L206)</f>
        <v/>
      </c>
      <c r="H208" s="185" t="str">
        <f>IF(ISBLANK(Invullen!M206),"",Invullen!M206)</f>
        <v/>
      </c>
      <c r="I208" s="188" t="str">
        <f>IF(ISBLANK(Invullen!N206),"",Invullen!N206)</f>
        <v/>
      </c>
      <c r="J208" s="189" t="str">
        <f>IF(ISBLANK(Invullen!N206),"",I208*$J$3)</f>
        <v/>
      </c>
      <c r="K208" s="188" t="str">
        <f>IF(ISBLANK(Invullen!O206),"",Invullen!O206)</f>
        <v/>
      </c>
      <c r="L208" s="189" t="str">
        <f>IF(ISBLANK(Invullen!O206),"",K208*$L$3)</f>
        <v/>
      </c>
      <c r="M208" s="192"/>
    </row>
    <row r="209" spans="1:13" x14ac:dyDescent="0.3">
      <c r="A209" s="148">
        <f>Invullen!A207</f>
        <v>203</v>
      </c>
      <c r="B209" s="149" t="str">
        <f>IF(ISBLANK(Invullen!D207),"",Invullen!D207)</f>
        <v/>
      </c>
      <c r="C209" s="150" t="str">
        <f>IF(ISBLANK(Invullen!E207),"",Invullen!E207)</f>
        <v/>
      </c>
      <c r="D209" s="151" t="str">
        <f>IF(ISBLANK(Invullen!F207),"",Invullen!F207)</f>
        <v/>
      </c>
      <c r="E209" s="151" t="str">
        <f>IF(ISBLANK(Invullen!G207),"",Invullen!G207)</f>
        <v/>
      </c>
      <c r="F209" s="149" t="str">
        <f>IF(ISBLANK(Invullen!K208),"",Invullen!K208)</f>
        <v/>
      </c>
      <c r="G209" s="152" t="str">
        <f>IF(ISBLANK(Invullen!L207),"",Invullen!L207)</f>
        <v/>
      </c>
      <c r="H209" s="185" t="str">
        <f>IF(ISBLANK(Invullen!M207),"",Invullen!M207)</f>
        <v/>
      </c>
      <c r="I209" s="188" t="str">
        <f>IF(ISBLANK(Invullen!N207),"",Invullen!N207)</f>
        <v/>
      </c>
      <c r="J209" s="189" t="str">
        <f>IF(ISBLANK(Invullen!N207),"",I209*$J$3)</f>
        <v/>
      </c>
      <c r="K209" s="188" t="str">
        <f>IF(ISBLANK(Invullen!O207),"",Invullen!O207)</f>
        <v/>
      </c>
      <c r="L209" s="189" t="str">
        <f>IF(ISBLANK(Invullen!O207),"",K209*$L$3)</f>
        <v/>
      </c>
      <c r="M209" s="192"/>
    </row>
    <row r="210" spans="1:13" x14ac:dyDescent="0.3">
      <c r="A210" s="148">
        <f>Invullen!A208</f>
        <v>204</v>
      </c>
      <c r="B210" s="149" t="str">
        <f>IF(ISBLANK(Invullen!D208),"",Invullen!D208)</f>
        <v/>
      </c>
      <c r="C210" s="150" t="str">
        <f>IF(ISBLANK(Invullen!E208),"",Invullen!E208)</f>
        <v/>
      </c>
      <c r="D210" s="151" t="str">
        <f>IF(ISBLANK(Invullen!F208),"",Invullen!F208)</f>
        <v/>
      </c>
      <c r="E210" s="151" t="str">
        <f>IF(ISBLANK(Invullen!G208),"",Invullen!G208)</f>
        <v/>
      </c>
      <c r="F210" s="149" t="str">
        <f>IF(ISBLANK(Invullen!K209),"",Invullen!K209)</f>
        <v/>
      </c>
      <c r="G210" s="152" t="str">
        <f>IF(ISBLANK(Invullen!L208),"",Invullen!L208)</f>
        <v/>
      </c>
      <c r="H210" s="185" t="str">
        <f>IF(ISBLANK(Invullen!M208),"",Invullen!M208)</f>
        <v/>
      </c>
      <c r="I210" s="188" t="str">
        <f>IF(ISBLANK(Invullen!N208),"",Invullen!N208)</f>
        <v/>
      </c>
      <c r="J210" s="189" t="str">
        <f>IF(ISBLANK(Invullen!N208),"",I210*$J$3)</f>
        <v/>
      </c>
      <c r="K210" s="188" t="str">
        <f>IF(ISBLANK(Invullen!O208),"",Invullen!O208)</f>
        <v/>
      </c>
      <c r="L210" s="189" t="str">
        <f>IF(ISBLANK(Invullen!O208),"",K210*$L$3)</f>
        <v/>
      </c>
      <c r="M210" s="192"/>
    </row>
    <row r="211" spans="1:13" x14ac:dyDescent="0.3">
      <c r="A211" s="148">
        <f>Invullen!A209</f>
        <v>205</v>
      </c>
      <c r="B211" s="149" t="str">
        <f>IF(ISBLANK(Invullen!D209),"",Invullen!D209)</f>
        <v/>
      </c>
      <c r="C211" s="150" t="str">
        <f>IF(ISBLANK(Invullen!E209),"",Invullen!E209)</f>
        <v/>
      </c>
      <c r="D211" s="151" t="str">
        <f>IF(ISBLANK(Invullen!F209),"",Invullen!F209)</f>
        <v/>
      </c>
      <c r="E211" s="151" t="str">
        <f>IF(ISBLANK(Invullen!G209),"",Invullen!G209)</f>
        <v/>
      </c>
      <c r="F211" s="149" t="str">
        <f>IF(ISBLANK(Invullen!K210),"",Invullen!K210)</f>
        <v/>
      </c>
      <c r="G211" s="152" t="str">
        <f>IF(ISBLANK(Invullen!L209),"",Invullen!L209)</f>
        <v/>
      </c>
      <c r="H211" s="185" t="str">
        <f>IF(ISBLANK(Invullen!M209),"",Invullen!M209)</f>
        <v/>
      </c>
      <c r="I211" s="188" t="str">
        <f>IF(ISBLANK(Invullen!N209),"",Invullen!N209)</f>
        <v/>
      </c>
      <c r="J211" s="189" t="str">
        <f>IF(ISBLANK(Invullen!N209),"",I211*$J$3)</f>
        <v/>
      </c>
      <c r="K211" s="188" t="str">
        <f>IF(ISBLANK(Invullen!O209),"",Invullen!O209)</f>
        <v/>
      </c>
      <c r="L211" s="189" t="str">
        <f>IF(ISBLANK(Invullen!O209),"",K211*$L$3)</f>
        <v/>
      </c>
      <c r="M211" s="192"/>
    </row>
    <row r="212" spans="1:13" x14ac:dyDescent="0.3">
      <c r="A212" s="148">
        <f>Invullen!A210</f>
        <v>206</v>
      </c>
      <c r="B212" s="149" t="str">
        <f>IF(ISBLANK(Invullen!D210),"",Invullen!D210)</f>
        <v/>
      </c>
      <c r="C212" s="150" t="str">
        <f>IF(ISBLANK(Invullen!E210),"",Invullen!E210)</f>
        <v/>
      </c>
      <c r="D212" s="151" t="str">
        <f>IF(ISBLANK(Invullen!F210),"",Invullen!F210)</f>
        <v/>
      </c>
      <c r="E212" s="151" t="str">
        <f>IF(ISBLANK(Invullen!G210),"",Invullen!G210)</f>
        <v/>
      </c>
      <c r="F212" s="149" t="str">
        <f>IF(ISBLANK(Invullen!K211),"",Invullen!K211)</f>
        <v/>
      </c>
      <c r="G212" s="152" t="str">
        <f>IF(ISBLANK(Invullen!L210),"",Invullen!L210)</f>
        <v/>
      </c>
      <c r="H212" s="185" t="str">
        <f>IF(ISBLANK(Invullen!M210),"",Invullen!M210)</f>
        <v/>
      </c>
      <c r="I212" s="188" t="str">
        <f>IF(ISBLANK(Invullen!N210),"",Invullen!N210)</f>
        <v/>
      </c>
      <c r="J212" s="189" t="str">
        <f>IF(ISBLANK(Invullen!N210),"",I212*$J$3)</f>
        <v/>
      </c>
      <c r="K212" s="188" t="str">
        <f>IF(ISBLANK(Invullen!O210),"",Invullen!O210)</f>
        <v/>
      </c>
      <c r="L212" s="189" t="str">
        <f>IF(ISBLANK(Invullen!O210),"",K212*$L$3)</f>
        <v/>
      </c>
      <c r="M212" s="192"/>
    </row>
    <row r="213" spans="1:13" x14ac:dyDescent="0.3">
      <c r="A213" s="148">
        <f>Invullen!A211</f>
        <v>207</v>
      </c>
      <c r="B213" s="149" t="str">
        <f>IF(ISBLANK(Invullen!D211),"",Invullen!D211)</f>
        <v/>
      </c>
      <c r="C213" s="150" t="str">
        <f>IF(ISBLANK(Invullen!E211),"",Invullen!E211)</f>
        <v/>
      </c>
      <c r="D213" s="151" t="str">
        <f>IF(ISBLANK(Invullen!F211),"",Invullen!F211)</f>
        <v/>
      </c>
      <c r="E213" s="151" t="str">
        <f>IF(ISBLANK(Invullen!G211),"",Invullen!G211)</f>
        <v/>
      </c>
      <c r="F213" s="149" t="str">
        <f>IF(ISBLANK(Invullen!K212),"",Invullen!K212)</f>
        <v/>
      </c>
      <c r="G213" s="152" t="str">
        <f>IF(ISBLANK(Invullen!L211),"",Invullen!L211)</f>
        <v/>
      </c>
      <c r="H213" s="185" t="str">
        <f>IF(ISBLANK(Invullen!M211),"",Invullen!M211)</f>
        <v/>
      </c>
      <c r="I213" s="188" t="str">
        <f>IF(ISBLANK(Invullen!N211),"",Invullen!N211)</f>
        <v/>
      </c>
      <c r="J213" s="189" t="str">
        <f>IF(ISBLANK(Invullen!N211),"",I213*$J$3)</f>
        <v/>
      </c>
      <c r="K213" s="188" t="str">
        <f>IF(ISBLANK(Invullen!O211),"",Invullen!O211)</f>
        <v/>
      </c>
      <c r="L213" s="189" t="str">
        <f>IF(ISBLANK(Invullen!O211),"",K213*$L$3)</f>
        <v/>
      </c>
      <c r="M213" s="192"/>
    </row>
    <row r="214" spans="1:13" x14ac:dyDescent="0.3">
      <c r="A214" s="148">
        <f>Invullen!A212</f>
        <v>208</v>
      </c>
      <c r="B214" s="149" t="str">
        <f>IF(ISBLANK(Invullen!D212),"",Invullen!D212)</f>
        <v/>
      </c>
      <c r="C214" s="150" t="str">
        <f>IF(ISBLANK(Invullen!E212),"",Invullen!E212)</f>
        <v/>
      </c>
      <c r="D214" s="151" t="str">
        <f>IF(ISBLANK(Invullen!F212),"",Invullen!F212)</f>
        <v/>
      </c>
      <c r="E214" s="151" t="str">
        <f>IF(ISBLANK(Invullen!G212),"",Invullen!G212)</f>
        <v/>
      </c>
      <c r="F214" s="149" t="str">
        <f>IF(ISBLANK(Invullen!K213),"",Invullen!K213)</f>
        <v/>
      </c>
      <c r="G214" s="152" t="str">
        <f>IF(ISBLANK(Invullen!L212),"",Invullen!L212)</f>
        <v/>
      </c>
      <c r="H214" s="185" t="str">
        <f>IF(ISBLANK(Invullen!M212),"",Invullen!M212)</f>
        <v/>
      </c>
      <c r="I214" s="188" t="str">
        <f>IF(ISBLANK(Invullen!N212),"",Invullen!N212)</f>
        <v/>
      </c>
      <c r="J214" s="189" t="str">
        <f>IF(ISBLANK(Invullen!N212),"",I214*$J$3)</f>
        <v/>
      </c>
      <c r="K214" s="188" t="str">
        <f>IF(ISBLANK(Invullen!O212),"",Invullen!O212)</f>
        <v/>
      </c>
      <c r="L214" s="189" t="str">
        <f>IF(ISBLANK(Invullen!O212),"",K214*$L$3)</f>
        <v/>
      </c>
      <c r="M214" s="192"/>
    </row>
    <row r="215" spans="1:13" x14ac:dyDescent="0.3">
      <c r="A215" s="148">
        <f>Invullen!A213</f>
        <v>209</v>
      </c>
      <c r="B215" s="149" t="str">
        <f>IF(ISBLANK(Invullen!D213),"",Invullen!D213)</f>
        <v/>
      </c>
      <c r="C215" s="150" t="str">
        <f>IF(ISBLANK(Invullen!E213),"",Invullen!E213)</f>
        <v/>
      </c>
      <c r="D215" s="151" t="str">
        <f>IF(ISBLANK(Invullen!F213),"",Invullen!F213)</f>
        <v/>
      </c>
      <c r="E215" s="151" t="str">
        <f>IF(ISBLANK(Invullen!G213),"",Invullen!G213)</f>
        <v/>
      </c>
      <c r="F215" s="149" t="str">
        <f>IF(ISBLANK(Invullen!K214),"",Invullen!K214)</f>
        <v/>
      </c>
      <c r="G215" s="152" t="str">
        <f>IF(ISBLANK(Invullen!L213),"",Invullen!L213)</f>
        <v/>
      </c>
      <c r="H215" s="185" t="str">
        <f>IF(ISBLANK(Invullen!M213),"",Invullen!M213)</f>
        <v/>
      </c>
      <c r="I215" s="188" t="str">
        <f>IF(ISBLANK(Invullen!N213),"",Invullen!N213)</f>
        <v/>
      </c>
      <c r="J215" s="189" t="str">
        <f>IF(ISBLANK(Invullen!N213),"",I215*$J$3)</f>
        <v/>
      </c>
      <c r="K215" s="188" t="str">
        <f>IF(ISBLANK(Invullen!O213),"",Invullen!O213)</f>
        <v/>
      </c>
      <c r="L215" s="189" t="str">
        <f>IF(ISBLANK(Invullen!O213),"",K215*$L$3)</f>
        <v/>
      </c>
      <c r="M215" s="192"/>
    </row>
    <row r="216" spans="1:13" x14ac:dyDescent="0.3">
      <c r="A216" s="148">
        <f>Invullen!A214</f>
        <v>210</v>
      </c>
      <c r="B216" s="149" t="str">
        <f>IF(ISBLANK(Invullen!D214),"",Invullen!D214)</f>
        <v/>
      </c>
      <c r="C216" s="150" t="str">
        <f>IF(ISBLANK(Invullen!E214),"",Invullen!E214)</f>
        <v/>
      </c>
      <c r="D216" s="151" t="str">
        <f>IF(ISBLANK(Invullen!F214),"",Invullen!F214)</f>
        <v/>
      </c>
      <c r="E216" s="151" t="str">
        <f>IF(ISBLANK(Invullen!G214),"",Invullen!G214)</f>
        <v/>
      </c>
      <c r="F216" s="149" t="str">
        <f>IF(ISBLANK(Invullen!K215),"",Invullen!K215)</f>
        <v/>
      </c>
      <c r="G216" s="152" t="str">
        <f>IF(ISBLANK(Invullen!L214),"",Invullen!L214)</f>
        <v/>
      </c>
      <c r="H216" s="185" t="str">
        <f>IF(ISBLANK(Invullen!M214),"",Invullen!M214)</f>
        <v/>
      </c>
      <c r="I216" s="188" t="str">
        <f>IF(ISBLANK(Invullen!N214),"",Invullen!N214)</f>
        <v/>
      </c>
      <c r="J216" s="189" t="str">
        <f>IF(ISBLANK(Invullen!N214),"",I216*$J$3)</f>
        <v/>
      </c>
      <c r="K216" s="188" t="str">
        <f>IF(ISBLANK(Invullen!O214),"",Invullen!O214)</f>
        <v/>
      </c>
      <c r="L216" s="189" t="str">
        <f>IF(ISBLANK(Invullen!O214),"",K216*$L$3)</f>
        <v/>
      </c>
      <c r="M216" s="192"/>
    </row>
    <row r="217" spans="1:13" x14ac:dyDescent="0.3">
      <c r="A217" s="148">
        <f>Invullen!A215</f>
        <v>211</v>
      </c>
      <c r="B217" s="149" t="str">
        <f>IF(ISBLANK(Invullen!D215),"",Invullen!D215)</f>
        <v/>
      </c>
      <c r="C217" s="150" t="str">
        <f>IF(ISBLANK(Invullen!E215),"",Invullen!E215)</f>
        <v/>
      </c>
      <c r="D217" s="151" t="str">
        <f>IF(ISBLANK(Invullen!F215),"",Invullen!F215)</f>
        <v/>
      </c>
      <c r="E217" s="151" t="str">
        <f>IF(ISBLANK(Invullen!G215),"",Invullen!G215)</f>
        <v/>
      </c>
      <c r="F217" s="149" t="str">
        <f>IF(ISBLANK(Invullen!K216),"",Invullen!K216)</f>
        <v/>
      </c>
      <c r="G217" s="152" t="str">
        <f>IF(ISBLANK(Invullen!L215),"",Invullen!L215)</f>
        <v/>
      </c>
      <c r="H217" s="185" t="str">
        <f>IF(ISBLANK(Invullen!M215),"",Invullen!M215)</f>
        <v/>
      </c>
      <c r="I217" s="188" t="str">
        <f>IF(ISBLANK(Invullen!N215),"",Invullen!N215)</f>
        <v/>
      </c>
      <c r="J217" s="189" t="str">
        <f>IF(ISBLANK(Invullen!N215),"",I217*$J$3)</f>
        <v/>
      </c>
      <c r="K217" s="188" t="str">
        <f>IF(ISBLANK(Invullen!O215),"",Invullen!O215)</f>
        <v/>
      </c>
      <c r="L217" s="189" t="str">
        <f>IF(ISBLANK(Invullen!O215),"",K217*$L$3)</f>
        <v/>
      </c>
      <c r="M217" s="192"/>
    </row>
    <row r="218" spans="1:13" x14ac:dyDescent="0.3">
      <c r="A218" s="148">
        <f>Invullen!A216</f>
        <v>212</v>
      </c>
      <c r="B218" s="149" t="str">
        <f>IF(ISBLANK(Invullen!D216),"",Invullen!D216)</f>
        <v/>
      </c>
      <c r="C218" s="150" t="str">
        <f>IF(ISBLANK(Invullen!E216),"",Invullen!E216)</f>
        <v/>
      </c>
      <c r="D218" s="151" t="str">
        <f>IF(ISBLANK(Invullen!F216),"",Invullen!F216)</f>
        <v/>
      </c>
      <c r="E218" s="151" t="str">
        <f>IF(ISBLANK(Invullen!G216),"",Invullen!G216)</f>
        <v/>
      </c>
      <c r="F218" s="149" t="str">
        <f>IF(ISBLANK(Invullen!K217),"",Invullen!K217)</f>
        <v/>
      </c>
      <c r="G218" s="152" t="str">
        <f>IF(ISBLANK(Invullen!L216),"",Invullen!L216)</f>
        <v/>
      </c>
      <c r="H218" s="185" t="str">
        <f>IF(ISBLANK(Invullen!M216),"",Invullen!M216)</f>
        <v/>
      </c>
      <c r="I218" s="188" t="str">
        <f>IF(ISBLANK(Invullen!N216),"",Invullen!N216)</f>
        <v/>
      </c>
      <c r="J218" s="189" t="str">
        <f>IF(ISBLANK(Invullen!N216),"",I218*$J$3)</f>
        <v/>
      </c>
      <c r="K218" s="188" t="str">
        <f>IF(ISBLANK(Invullen!O216),"",Invullen!O216)</f>
        <v/>
      </c>
      <c r="L218" s="189" t="str">
        <f>IF(ISBLANK(Invullen!O216),"",K218*$L$3)</f>
        <v/>
      </c>
      <c r="M218" s="192"/>
    </row>
    <row r="219" spans="1:13" x14ac:dyDescent="0.3">
      <c r="A219" s="148">
        <f>Invullen!A217</f>
        <v>213</v>
      </c>
      <c r="B219" s="149" t="str">
        <f>IF(ISBLANK(Invullen!D217),"",Invullen!D217)</f>
        <v/>
      </c>
      <c r="C219" s="150" t="str">
        <f>IF(ISBLANK(Invullen!E217),"",Invullen!E217)</f>
        <v/>
      </c>
      <c r="D219" s="151" t="str">
        <f>IF(ISBLANK(Invullen!F217),"",Invullen!F217)</f>
        <v/>
      </c>
      <c r="E219" s="151" t="str">
        <f>IF(ISBLANK(Invullen!G217),"",Invullen!G217)</f>
        <v/>
      </c>
      <c r="F219" s="149" t="str">
        <f>IF(ISBLANK(Invullen!K218),"",Invullen!K218)</f>
        <v/>
      </c>
      <c r="G219" s="152" t="str">
        <f>IF(ISBLANK(Invullen!L217),"",Invullen!L217)</f>
        <v/>
      </c>
      <c r="H219" s="185" t="str">
        <f>IF(ISBLANK(Invullen!M217),"",Invullen!M217)</f>
        <v/>
      </c>
      <c r="I219" s="188" t="str">
        <f>IF(ISBLANK(Invullen!N217),"",Invullen!N217)</f>
        <v/>
      </c>
      <c r="J219" s="189" t="str">
        <f>IF(ISBLANK(Invullen!N217),"",I219*$J$3)</f>
        <v/>
      </c>
      <c r="K219" s="188" t="str">
        <f>IF(ISBLANK(Invullen!O217),"",Invullen!O217)</f>
        <v/>
      </c>
      <c r="L219" s="189" t="str">
        <f>IF(ISBLANK(Invullen!O217),"",K219*$L$3)</f>
        <v/>
      </c>
      <c r="M219" s="192"/>
    </row>
    <row r="220" spans="1:13" x14ac:dyDescent="0.3">
      <c r="A220" s="148">
        <f>Invullen!A218</f>
        <v>214</v>
      </c>
      <c r="B220" s="149" t="str">
        <f>IF(ISBLANK(Invullen!D218),"",Invullen!D218)</f>
        <v/>
      </c>
      <c r="C220" s="150" t="str">
        <f>IF(ISBLANK(Invullen!E218),"",Invullen!E218)</f>
        <v/>
      </c>
      <c r="D220" s="151" t="str">
        <f>IF(ISBLANK(Invullen!F218),"",Invullen!F218)</f>
        <v/>
      </c>
      <c r="E220" s="151" t="str">
        <f>IF(ISBLANK(Invullen!G218),"",Invullen!G218)</f>
        <v/>
      </c>
      <c r="F220" s="149" t="str">
        <f>IF(ISBLANK(Invullen!K219),"",Invullen!K219)</f>
        <v/>
      </c>
      <c r="G220" s="152" t="str">
        <f>IF(ISBLANK(Invullen!L218),"",Invullen!L218)</f>
        <v/>
      </c>
      <c r="H220" s="185" t="str">
        <f>IF(ISBLANK(Invullen!M218),"",Invullen!M218)</f>
        <v/>
      </c>
      <c r="I220" s="188" t="str">
        <f>IF(ISBLANK(Invullen!N218),"",Invullen!N218)</f>
        <v/>
      </c>
      <c r="J220" s="189" t="str">
        <f>IF(ISBLANK(Invullen!N218),"",I220*$J$3)</f>
        <v/>
      </c>
      <c r="K220" s="188" t="str">
        <f>IF(ISBLANK(Invullen!O218),"",Invullen!O218)</f>
        <v/>
      </c>
      <c r="L220" s="189" t="str">
        <f>IF(ISBLANK(Invullen!O218),"",K220*$L$3)</f>
        <v/>
      </c>
      <c r="M220" s="192"/>
    </row>
    <row r="221" spans="1:13" x14ac:dyDescent="0.3">
      <c r="A221" s="148">
        <f>Invullen!A219</f>
        <v>215</v>
      </c>
      <c r="B221" s="149" t="str">
        <f>IF(ISBLANK(Invullen!D219),"",Invullen!D219)</f>
        <v/>
      </c>
      <c r="C221" s="150" t="str">
        <f>IF(ISBLANK(Invullen!E219),"",Invullen!E219)</f>
        <v/>
      </c>
      <c r="D221" s="151" t="str">
        <f>IF(ISBLANK(Invullen!F219),"",Invullen!F219)</f>
        <v/>
      </c>
      <c r="E221" s="151" t="str">
        <f>IF(ISBLANK(Invullen!G219),"",Invullen!G219)</f>
        <v/>
      </c>
      <c r="F221" s="149" t="str">
        <f>IF(ISBLANK(Invullen!K220),"",Invullen!K220)</f>
        <v/>
      </c>
      <c r="G221" s="152" t="str">
        <f>IF(ISBLANK(Invullen!L219),"",Invullen!L219)</f>
        <v/>
      </c>
      <c r="H221" s="185" t="str">
        <f>IF(ISBLANK(Invullen!M219),"",Invullen!M219)</f>
        <v/>
      </c>
      <c r="I221" s="188" t="str">
        <f>IF(ISBLANK(Invullen!N219),"",Invullen!N219)</f>
        <v/>
      </c>
      <c r="J221" s="189" t="str">
        <f>IF(ISBLANK(Invullen!N219),"",I221*$J$3)</f>
        <v/>
      </c>
      <c r="K221" s="188" t="str">
        <f>IF(ISBLANK(Invullen!O219),"",Invullen!O219)</f>
        <v/>
      </c>
      <c r="L221" s="189" t="str">
        <f>IF(ISBLANK(Invullen!O219),"",K221*$L$3)</f>
        <v/>
      </c>
      <c r="M221" s="192"/>
    </row>
    <row r="222" spans="1:13" x14ac:dyDescent="0.3">
      <c r="A222" s="148">
        <f>Invullen!A220</f>
        <v>216</v>
      </c>
      <c r="B222" s="149" t="str">
        <f>IF(ISBLANK(Invullen!D220),"",Invullen!D220)</f>
        <v/>
      </c>
      <c r="C222" s="150" t="str">
        <f>IF(ISBLANK(Invullen!E220),"",Invullen!E220)</f>
        <v/>
      </c>
      <c r="D222" s="151" t="str">
        <f>IF(ISBLANK(Invullen!F220),"",Invullen!F220)</f>
        <v/>
      </c>
      <c r="E222" s="151" t="str">
        <f>IF(ISBLANK(Invullen!G220),"",Invullen!G220)</f>
        <v/>
      </c>
      <c r="F222" s="149" t="str">
        <f>IF(ISBLANK(Invullen!K221),"",Invullen!K221)</f>
        <v/>
      </c>
      <c r="G222" s="152" t="str">
        <f>IF(ISBLANK(Invullen!L220),"",Invullen!L220)</f>
        <v/>
      </c>
      <c r="H222" s="185" t="str">
        <f>IF(ISBLANK(Invullen!M220),"",Invullen!M220)</f>
        <v/>
      </c>
      <c r="I222" s="188" t="str">
        <f>IF(ISBLANK(Invullen!N220),"",Invullen!N220)</f>
        <v/>
      </c>
      <c r="J222" s="189" t="str">
        <f>IF(ISBLANK(Invullen!N220),"",I222*$J$3)</f>
        <v/>
      </c>
      <c r="K222" s="188" t="str">
        <f>IF(ISBLANK(Invullen!O220),"",Invullen!O220)</f>
        <v/>
      </c>
      <c r="L222" s="189" t="str">
        <f>IF(ISBLANK(Invullen!O220),"",K222*$L$3)</f>
        <v/>
      </c>
      <c r="M222" s="192"/>
    </row>
    <row r="223" spans="1:13" x14ac:dyDescent="0.3">
      <c r="A223" s="148">
        <f>Invullen!A221</f>
        <v>217</v>
      </c>
      <c r="B223" s="149" t="str">
        <f>IF(ISBLANK(Invullen!D221),"",Invullen!D221)</f>
        <v/>
      </c>
      <c r="C223" s="150" t="str">
        <f>IF(ISBLANK(Invullen!E221),"",Invullen!E221)</f>
        <v/>
      </c>
      <c r="D223" s="151" t="str">
        <f>IF(ISBLANK(Invullen!F221),"",Invullen!F221)</f>
        <v/>
      </c>
      <c r="E223" s="151" t="str">
        <f>IF(ISBLANK(Invullen!G221),"",Invullen!G221)</f>
        <v/>
      </c>
      <c r="F223" s="149" t="str">
        <f>IF(ISBLANK(Invullen!K222),"",Invullen!K222)</f>
        <v/>
      </c>
      <c r="G223" s="152" t="str">
        <f>IF(ISBLANK(Invullen!L221),"",Invullen!L221)</f>
        <v/>
      </c>
      <c r="H223" s="185" t="str">
        <f>IF(ISBLANK(Invullen!M221),"",Invullen!M221)</f>
        <v/>
      </c>
      <c r="I223" s="188" t="str">
        <f>IF(ISBLANK(Invullen!N221),"",Invullen!N221)</f>
        <v/>
      </c>
      <c r="J223" s="189" t="str">
        <f>IF(ISBLANK(Invullen!N221),"",I223*$J$3)</f>
        <v/>
      </c>
      <c r="K223" s="188" t="str">
        <f>IF(ISBLANK(Invullen!O221),"",Invullen!O221)</f>
        <v/>
      </c>
      <c r="L223" s="189" t="str">
        <f>IF(ISBLANK(Invullen!O221),"",K223*$L$3)</f>
        <v/>
      </c>
      <c r="M223" s="192"/>
    </row>
    <row r="224" spans="1:13" x14ac:dyDescent="0.3">
      <c r="A224" s="148">
        <f>Invullen!A222</f>
        <v>218</v>
      </c>
      <c r="B224" s="149" t="str">
        <f>IF(ISBLANK(Invullen!D222),"",Invullen!D222)</f>
        <v/>
      </c>
      <c r="C224" s="150" t="str">
        <f>IF(ISBLANK(Invullen!E222),"",Invullen!E222)</f>
        <v/>
      </c>
      <c r="D224" s="151" t="str">
        <f>IF(ISBLANK(Invullen!F222),"",Invullen!F222)</f>
        <v/>
      </c>
      <c r="E224" s="151" t="str">
        <f>IF(ISBLANK(Invullen!G222),"",Invullen!G222)</f>
        <v/>
      </c>
      <c r="F224" s="149" t="str">
        <f>IF(ISBLANK(Invullen!K223),"",Invullen!K223)</f>
        <v/>
      </c>
      <c r="G224" s="152" t="str">
        <f>IF(ISBLANK(Invullen!L222),"",Invullen!L222)</f>
        <v/>
      </c>
      <c r="H224" s="185" t="str">
        <f>IF(ISBLANK(Invullen!M222),"",Invullen!M222)</f>
        <v/>
      </c>
      <c r="I224" s="188" t="str">
        <f>IF(ISBLANK(Invullen!N222),"",Invullen!N222)</f>
        <v/>
      </c>
      <c r="J224" s="189" t="str">
        <f>IF(ISBLANK(Invullen!N222),"",I224*$J$3)</f>
        <v/>
      </c>
      <c r="K224" s="188" t="str">
        <f>IF(ISBLANK(Invullen!O222),"",Invullen!O222)</f>
        <v/>
      </c>
      <c r="L224" s="189" t="str">
        <f>IF(ISBLANK(Invullen!O222),"",K224*$L$3)</f>
        <v/>
      </c>
      <c r="M224" s="192"/>
    </row>
    <row r="225" spans="1:13" x14ac:dyDescent="0.3">
      <c r="A225" s="148">
        <f>Invullen!A223</f>
        <v>219</v>
      </c>
      <c r="B225" s="149" t="str">
        <f>IF(ISBLANK(Invullen!D223),"",Invullen!D223)</f>
        <v/>
      </c>
      <c r="C225" s="150" t="str">
        <f>IF(ISBLANK(Invullen!E223),"",Invullen!E223)</f>
        <v/>
      </c>
      <c r="D225" s="151" t="str">
        <f>IF(ISBLANK(Invullen!F223),"",Invullen!F223)</f>
        <v/>
      </c>
      <c r="E225" s="151" t="str">
        <f>IF(ISBLANK(Invullen!G223),"",Invullen!G223)</f>
        <v/>
      </c>
      <c r="F225" s="149" t="str">
        <f>IF(ISBLANK(Invullen!K224),"",Invullen!K224)</f>
        <v/>
      </c>
      <c r="G225" s="152" t="str">
        <f>IF(ISBLANK(Invullen!L223),"",Invullen!L223)</f>
        <v/>
      </c>
      <c r="H225" s="185" t="str">
        <f>IF(ISBLANK(Invullen!M223),"",Invullen!M223)</f>
        <v/>
      </c>
      <c r="I225" s="188" t="str">
        <f>IF(ISBLANK(Invullen!N223),"",Invullen!N223)</f>
        <v/>
      </c>
      <c r="J225" s="189" t="str">
        <f>IF(ISBLANK(Invullen!N223),"",I225*$J$3)</f>
        <v/>
      </c>
      <c r="K225" s="188" t="str">
        <f>IF(ISBLANK(Invullen!O223),"",Invullen!O223)</f>
        <v/>
      </c>
      <c r="L225" s="189" t="str">
        <f>IF(ISBLANK(Invullen!O223),"",K225*$L$3)</f>
        <v/>
      </c>
      <c r="M225" s="192"/>
    </row>
    <row r="226" spans="1:13" x14ac:dyDescent="0.3">
      <c r="A226" s="148">
        <f>Invullen!A224</f>
        <v>220</v>
      </c>
      <c r="B226" s="149" t="str">
        <f>IF(ISBLANK(Invullen!D224),"",Invullen!D224)</f>
        <v/>
      </c>
      <c r="C226" s="150" t="str">
        <f>IF(ISBLANK(Invullen!E224),"",Invullen!E224)</f>
        <v/>
      </c>
      <c r="D226" s="151" t="str">
        <f>IF(ISBLANK(Invullen!F224),"",Invullen!F224)</f>
        <v/>
      </c>
      <c r="E226" s="151" t="str">
        <f>IF(ISBLANK(Invullen!G224),"",Invullen!G224)</f>
        <v/>
      </c>
      <c r="F226" s="149" t="str">
        <f>IF(ISBLANK(Invullen!K225),"",Invullen!K225)</f>
        <v/>
      </c>
      <c r="G226" s="152" t="str">
        <f>IF(ISBLANK(Invullen!L224),"",Invullen!L224)</f>
        <v/>
      </c>
      <c r="H226" s="185" t="str">
        <f>IF(ISBLANK(Invullen!M224),"",Invullen!M224)</f>
        <v/>
      </c>
      <c r="I226" s="188" t="str">
        <f>IF(ISBLANK(Invullen!N224),"",Invullen!N224)</f>
        <v/>
      </c>
      <c r="J226" s="189" t="str">
        <f>IF(ISBLANK(Invullen!N224),"",I226*$J$3)</f>
        <v/>
      </c>
      <c r="K226" s="188" t="str">
        <f>IF(ISBLANK(Invullen!O224),"",Invullen!O224)</f>
        <v/>
      </c>
      <c r="L226" s="189" t="str">
        <f>IF(ISBLANK(Invullen!O224),"",K226*$L$3)</f>
        <v/>
      </c>
      <c r="M226" s="192"/>
    </row>
    <row r="227" spans="1:13" x14ac:dyDescent="0.3">
      <c r="A227" s="148">
        <f>Invullen!A225</f>
        <v>221</v>
      </c>
      <c r="B227" s="149" t="str">
        <f>IF(ISBLANK(Invullen!D225),"",Invullen!D225)</f>
        <v/>
      </c>
      <c r="C227" s="150" t="str">
        <f>IF(ISBLANK(Invullen!E225),"",Invullen!E225)</f>
        <v/>
      </c>
      <c r="D227" s="151" t="str">
        <f>IF(ISBLANK(Invullen!F225),"",Invullen!F225)</f>
        <v/>
      </c>
      <c r="E227" s="151" t="str">
        <f>IF(ISBLANK(Invullen!G225),"",Invullen!G225)</f>
        <v/>
      </c>
      <c r="F227" s="149" t="str">
        <f>IF(ISBLANK(Invullen!K226),"",Invullen!K226)</f>
        <v/>
      </c>
      <c r="G227" s="152" t="str">
        <f>IF(ISBLANK(Invullen!L225),"",Invullen!L225)</f>
        <v/>
      </c>
      <c r="H227" s="185" t="str">
        <f>IF(ISBLANK(Invullen!M225),"",Invullen!M225)</f>
        <v/>
      </c>
      <c r="I227" s="188" t="str">
        <f>IF(ISBLANK(Invullen!N225),"",Invullen!N225)</f>
        <v/>
      </c>
      <c r="J227" s="189" t="str">
        <f>IF(ISBLANK(Invullen!N225),"",I227*$J$3)</f>
        <v/>
      </c>
      <c r="K227" s="188" t="str">
        <f>IF(ISBLANK(Invullen!O225),"",Invullen!O225)</f>
        <v/>
      </c>
      <c r="L227" s="189" t="str">
        <f>IF(ISBLANK(Invullen!O225),"",K227*$L$3)</f>
        <v/>
      </c>
      <c r="M227" s="192"/>
    </row>
    <row r="228" spans="1:13" x14ac:dyDescent="0.3">
      <c r="A228" s="148">
        <f>Invullen!A226</f>
        <v>222</v>
      </c>
      <c r="B228" s="149" t="str">
        <f>IF(ISBLANK(Invullen!D226),"",Invullen!D226)</f>
        <v/>
      </c>
      <c r="C228" s="150" t="str">
        <f>IF(ISBLANK(Invullen!E226),"",Invullen!E226)</f>
        <v/>
      </c>
      <c r="D228" s="151" t="str">
        <f>IF(ISBLANK(Invullen!F226),"",Invullen!F226)</f>
        <v/>
      </c>
      <c r="E228" s="151" t="str">
        <f>IF(ISBLANK(Invullen!G226),"",Invullen!G226)</f>
        <v/>
      </c>
      <c r="F228" s="149" t="str">
        <f>IF(ISBLANK(Invullen!K227),"",Invullen!K227)</f>
        <v/>
      </c>
      <c r="G228" s="152" t="str">
        <f>IF(ISBLANK(Invullen!L226),"",Invullen!L226)</f>
        <v/>
      </c>
      <c r="H228" s="185" t="str">
        <f>IF(ISBLANK(Invullen!M226),"",Invullen!M226)</f>
        <v/>
      </c>
      <c r="I228" s="188" t="str">
        <f>IF(ISBLANK(Invullen!N226),"",Invullen!N226)</f>
        <v/>
      </c>
      <c r="J228" s="189" t="str">
        <f>IF(ISBLANK(Invullen!N226),"",I228*$J$3)</f>
        <v/>
      </c>
      <c r="K228" s="188" t="str">
        <f>IF(ISBLANK(Invullen!O226),"",Invullen!O226)</f>
        <v/>
      </c>
      <c r="L228" s="189" t="str">
        <f>IF(ISBLANK(Invullen!O226),"",K228*$L$3)</f>
        <v/>
      </c>
      <c r="M228" s="192"/>
    </row>
    <row r="229" spans="1:13" x14ac:dyDescent="0.3">
      <c r="A229" s="148">
        <f>Invullen!A227</f>
        <v>223</v>
      </c>
      <c r="B229" s="149" t="str">
        <f>IF(ISBLANK(Invullen!D227),"",Invullen!D227)</f>
        <v/>
      </c>
      <c r="C229" s="150" t="str">
        <f>IF(ISBLANK(Invullen!E227),"",Invullen!E227)</f>
        <v/>
      </c>
      <c r="D229" s="151" t="str">
        <f>IF(ISBLANK(Invullen!F227),"",Invullen!F227)</f>
        <v/>
      </c>
      <c r="E229" s="151" t="str">
        <f>IF(ISBLANK(Invullen!G227),"",Invullen!G227)</f>
        <v/>
      </c>
      <c r="F229" s="149" t="str">
        <f>IF(ISBLANK(Invullen!K228),"",Invullen!K228)</f>
        <v/>
      </c>
      <c r="G229" s="152" t="str">
        <f>IF(ISBLANK(Invullen!L227),"",Invullen!L227)</f>
        <v/>
      </c>
      <c r="H229" s="185" t="str">
        <f>IF(ISBLANK(Invullen!M227),"",Invullen!M227)</f>
        <v/>
      </c>
      <c r="I229" s="188" t="str">
        <f>IF(ISBLANK(Invullen!N227),"",Invullen!N227)</f>
        <v/>
      </c>
      <c r="J229" s="189" t="str">
        <f>IF(ISBLANK(Invullen!N227),"",I229*$J$3)</f>
        <v/>
      </c>
      <c r="K229" s="188" t="str">
        <f>IF(ISBLANK(Invullen!O227),"",Invullen!O227)</f>
        <v/>
      </c>
      <c r="L229" s="189" t="str">
        <f>IF(ISBLANK(Invullen!O227),"",K229*$L$3)</f>
        <v/>
      </c>
      <c r="M229" s="192"/>
    </row>
    <row r="230" spans="1:13" x14ac:dyDescent="0.3">
      <c r="A230" s="148">
        <f>Invullen!A228</f>
        <v>224</v>
      </c>
      <c r="B230" s="149" t="str">
        <f>IF(ISBLANK(Invullen!D228),"",Invullen!D228)</f>
        <v/>
      </c>
      <c r="C230" s="150" t="str">
        <f>IF(ISBLANK(Invullen!E228),"",Invullen!E228)</f>
        <v/>
      </c>
      <c r="D230" s="151" t="str">
        <f>IF(ISBLANK(Invullen!F228),"",Invullen!F228)</f>
        <v/>
      </c>
      <c r="E230" s="151" t="str">
        <f>IF(ISBLANK(Invullen!G228),"",Invullen!G228)</f>
        <v/>
      </c>
      <c r="F230" s="149" t="str">
        <f>IF(ISBLANK(Invullen!K229),"",Invullen!K229)</f>
        <v/>
      </c>
      <c r="G230" s="152" t="str">
        <f>IF(ISBLANK(Invullen!L228),"",Invullen!L228)</f>
        <v/>
      </c>
      <c r="H230" s="185" t="str">
        <f>IF(ISBLANK(Invullen!M228),"",Invullen!M228)</f>
        <v/>
      </c>
      <c r="I230" s="188" t="str">
        <f>IF(ISBLANK(Invullen!N228),"",Invullen!N228)</f>
        <v/>
      </c>
      <c r="J230" s="189" t="str">
        <f>IF(ISBLANK(Invullen!N228),"",I230*$J$3)</f>
        <v/>
      </c>
      <c r="K230" s="188" t="str">
        <f>IF(ISBLANK(Invullen!O228),"",Invullen!O228)</f>
        <v/>
      </c>
      <c r="L230" s="189" t="str">
        <f>IF(ISBLANK(Invullen!O228),"",K230*$L$3)</f>
        <v/>
      </c>
      <c r="M230" s="192"/>
    </row>
    <row r="231" spans="1:13" x14ac:dyDescent="0.3">
      <c r="A231" s="148">
        <f>Invullen!A229</f>
        <v>225</v>
      </c>
      <c r="B231" s="149" t="str">
        <f>IF(ISBLANK(Invullen!D229),"",Invullen!D229)</f>
        <v/>
      </c>
      <c r="C231" s="150" t="str">
        <f>IF(ISBLANK(Invullen!E229),"",Invullen!E229)</f>
        <v/>
      </c>
      <c r="D231" s="151" t="str">
        <f>IF(ISBLANK(Invullen!F229),"",Invullen!F229)</f>
        <v/>
      </c>
      <c r="E231" s="151" t="str">
        <f>IF(ISBLANK(Invullen!G229),"",Invullen!G229)</f>
        <v/>
      </c>
      <c r="F231" s="149" t="str">
        <f>IF(ISBLANK(Invullen!K230),"",Invullen!K230)</f>
        <v/>
      </c>
      <c r="G231" s="152" t="str">
        <f>IF(ISBLANK(Invullen!L229),"",Invullen!L229)</f>
        <v/>
      </c>
      <c r="H231" s="185" t="str">
        <f>IF(ISBLANK(Invullen!M229),"",Invullen!M229)</f>
        <v/>
      </c>
      <c r="I231" s="188" t="str">
        <f>IF(ISBLANK(Invullen!N229),"",Invullen!N229)</f>
        <v/>
      </c>
      <c r="J231" s="189" t="str">
        <f>IF(ISBLANK(Invullen!N229),"",I231*$J$3)</f>
        <v/>
      </c>
      <c r="K231" s="188" t="str">
        <f>IF(ISBLANK(Invullen!O229),"",Invullen!O229)</f>
        <v/>
      </c>
      <c r="L231" s="189" t="str">
        <f>IF(ISBLANK(Invullen!O229),"",K231*$L$3)</f>
        <v/>
      </c>
      <c r="M231" s="192"/>
    </row>
    <row r="232" spans="1:13" x14ac:dyDescent="0.3">
      <c r="A232" s="148">
        <f>Invullen!A230</f>
        <v>226</v>
      </c>
      <c r="B232" s="149" t="str">
        <f>IF(ISBLANK(Invullen!D230),"",Invullen!D230)</f>
        <v/>
      </c>
      <c r="C232" s="150" t="str">
        <f>IF(ISBLANK(Invullen!E230),"",Invullen!E230)</f>
        <v/>
      </c>
      <c r="D232" s="151" t="str">
        <f>IF(ISBLANK(Invullen!F230),"",Invullen!F230)</f>
        <v/>
      </c>
      <c r="E232" s="151" t="str">
        <f>IF(ISBLANK(Invullen!G230),"",Invullen!G230)</f>
        <v/>
      </c>
      <c r="F232" s="149" t="str">
        <f>IF(ISBLANK(Invullen!K231),"",Invullen!K231)</f>
        <v/>
      </c>
      <c r="G232" s="152" t="str">
        <f>IF(ISBLANK(Invullen!L230),"",Invullen!L230)</f>
        <v/>
      </c>
      <c r="H232" s="185" t="str">
        <f>IF(ISBLANK(Invullen!M230),"",Invullen!M230)</f>
        <v/>
      </c>
      <c r="I232" s="188" t="str">
        <f>IF(ISBLANK(Invullen!N230),"",Invullen!N230)</f>
        <v/>
      </c>
      <c r="J232" s="189" t="str">
        <f>IF(ISBLANK(Invullen!N230),"",I232*$J$3)</f>
        <v/>
      </c>
      <c r="K232" s="188" t="str">
        <f>IF(ISBLANK(Invullen!O230),"",Invullen!O230)</f>
        <v/>
      </c>
      <c r="L232" s="189" t="str">
        <f>IF(ISBLANK(Invullen!O230),"",K232*$L$3)</f>
        <v/>
      </c>
      <c r="M232" s="192"/>
    </row>
    <row r="233" spans="1:13" x14ac:dyDescent="0.3">
      <c r="A233" s="148">
        <f>Invullen!A231</f>
        <v>227</v>
      </c>
      <c r="B233" s="149" t="str">
        <f>IF(ISBLANK(Invullen!D231),"",Invullen!D231)</f>
        <v/>
      </c>
      <c r="C233" s="150" t="str">
        <f>IF(ISBLANK(Invullen!E231),"",Invullen!E231)</f>
        <v/>
      </c>
      <c r="D233" s="151" t="str">
        <f>IF(ISBLANK(Invullen!F231),"",Invullen!F231)</f>
        <v/>
      </c>
      <c r="E233" s="151" t="str">
        <f>IF(ISBLANK(Invullen!G231),"",Invullen!G231)</f>
        <v/>
      </c>
      <c r="F233" s="149" t="str">
        <f>IF(ISBLANK(Invullen!K232),"",Invullen!K232)</f>
        <v/>
      </c>
      <c r="G233" s="152" t="str">
        <f>IF(ISBLANK(Invullen!L231),"",Invullen!L231)</f>
        <v/>
      </c>
      <c r="H233" s="185" t="str">
        <f>IF(ISBLANK(Invullen!M231),"",Invullen!M231)</f>
        <v/>
      </c>
      <c r="I233" s="188" t="str">
        <f>IF(ISBLANK(Invullen!N231),"",Invullen!N231)</f>
        <v/>
      </c>
      <c r="J233" s="189" t="str">
        <f>IF(ISBLANK(Invullen!N231),"",I233*$J$3)</f>
        <v/>
      </c>
      <c r="K233" s="188" t="str">
        <f>IF(ISBLANK(Invullen!O231),"",Invullen!O231)</f>
        <v/>
      </c>
      <c r="L233" s="189" t="str">
        <f>IF(ISBLANK(Invullen!O231),"",K233*$L$3)</f>
        <v/>
      </c>
      <c r="M233" s="192"/>
    </row>
    <row r="234" spans="1:13" x14ac:dyDescent="0.3">
      <c r="A234" s="148">
        <f>Invullen!A232</f>
        <v>228</v>
      </c>
      <c r="B234" s="149" t="str">
        <f>IF(ISBLANK(Invullen!D232),"",Invullen!D232)</f>
        <v/>
      </c>
      <c r="C234" s="150" t="str">
        <f>IF(ISBLANK(Invullen!E232),"",Invullen!E232)</f>
        <v/>
      </c>
      <c r="D234" s="151" t="str">
        <f>IF(ISBLANK(Invullen!F232),"",Invullen!F232)</f>
        <v/>
      </c>
      <c r="E234" s="151" t="str">
        <f>IF(ISBLANK(Invullen!G232),"",Invullen!G232)</f>
        <v/>
      </c>
      <c r="F234" s="149" t="str">
        <f>IF(ISBLANK(Invullen!K233),"",Invullen!K233)</f>
        <v/>
      </c>
      <c r="G234" s="152" t="str">
        <f>IF(ISBLANK(Invullen!L232),"",Invullen!L232)</f>
        <v/>
      </c>
      <c r="H234" s="185" t="str">
        <f>IF(ISBLANK(Invullen!M232),"",Invullen!M232)</f>
        <v/>
      </c>
      <c r="I234" s="188" t="str">
        <f>IF(ISBLANK(Invullen!N232),"",Invullen!N232)</f>
        <v/>
      </c>
      <c r="J234" s="189" t="str">
        <f>IF(ISBLANK(Invullen!N232),"",I234*$J$3)</f>
        <v/>
      </c>
      <c r="K234" s="188" t="str">
        <f>IF(ISBLANK(Invullen!O232),"",Invullen!O232)</f>
        <v/>
      </c>
      <c r="L234" s="189" t="str">
        <f>IF(ISBLANK(Invullen!O232),"",K234*$L$3)</f>
        <v/>
      </c>
      <c r="M234" s="192"/>
    </row>
    <row r="235" spans="1:13" x14ac:dyDescent="0.3">
      <c r="A235" s="148">
        <f>Invullen!A233</f>
        <v>229</v>
      </c>
      <c r="B235" s="149" t="str">
        <f>IF(ISBLANK(Invullen!D233),"",Invullen!D233)</f>
        <v/>
      </c>
      <c r="C235" s="150" t="str">
        <f>IF(ISBLANK(Invullen!E233),"",Invullen!E233)</f>
        <v/>
      </c>
      <c r="D235" s="151" t="str">
        <f>IF(ISBLANK(Invullen!F233),"",Invullen!F233)</f>
        <v/>
      </c>
      <c r="E235" s="151" t="str">
        <f>IF(ISBLANK(Invullen!G233),"",Invullen!G233)</f>
        <v/>
      </c>
      <c r="F235" s="149" t="str">
        <f>IF(ISBLANK(Invullen!K234),"",Invullen!K234)</f>
        <v/>
      </c>
      <c r="G235" s="152" t="str">
        <f>IF(ISBLANK(Invullen!L233),"",Invullen!L233)</f>
        <v/>
      </c>
      <c r="H235" s="185" t="str">
        <f>IF(ISBLANK(Invullen!M233),"",Invullen!M233)</f>
        <v/>
      </c>
      <c r="I235" s="188" t="str">
        <f>IF(ISBLANK(Invullen!N233),"",Invullen!N233)</f>
        <v/>
      </c>
      <c r="J235" s="189" t="str">
        <f>IF(ISBLANK(Invullen!N233),"",I235*$J$3)</f>
        <v/>
      </c>
      <c r="K235" s="188" t="str">
        <f>IF(ISBLANK(Invullen!O233),"",Invullen!O233)</f>
        <v/>
      </c>
      <c r="L235" s="189" t="str">
        <f>IF(ISBLANK(Invullen!O233),"",K235*$L$3)</f>
        <v/>
      </c>
      <c r="M235" s="192"/>
    </row>
    <row r="236" spans="1:13" x14ac:dyDescent="0.3">
      <c r="A236" s="148">
        <f>Invullen!A234</f>
        <v>230</v>
      </c>
      <c r="B236" s="149" t="str">
        <f>IF(ISBLANK(Invullen!D234),"",Invullen!D234)</f>
        <v/>
      </c>
      <c r="C236" s="150" t="str">
        <f>IF(ISBLANK(Invullen!E234),"",Invullen!E234)</f>
        <v/>
      </c>
      <c r="D236" s="151" t="str">
        <f>IF(ISBLANK(Invullen!F234),"",Invullen!F234)</f>
        <v/>
      </c>
      <c r="E236" s="151" t="str">
        <f>IF(ISBLANK(Invullen!G234),"",Invullen!G234)</f>
        <v/>
      </c>
      <c r="F236" s="149" t="str">
        <f>IF(ISBLANK(Invullen!K235),"",Invullen!K235)</f>
        <v/>
      </c>
      <c r="G236" s="152" t="str">
        <f>IF(ISBLANK(Invullen!L234),"",Invullen!L234)</f>
        <v/>
      </c>
      <c r="H236" s="185" t="str">
        <f>IF(ISBLANK(Invullen!M234),"",Invullen!M234)</f>
        <v/>
      </c>
      <c r="I236" s="188" t="str">
        <f>IF(ISBLANK(Invullen!N234),"",Invullen!N234)</f>
        <v/>
      </c>
      <c r="J236" s="189" t="str">
        <f>IF(ISBLANK(Invullen!N234),"",I236*$J$3)</f>
        <v/>
      </c>
      <c r="K236" s="188" t="str">
        <f>IF(ISBLANK(Invullen!O234),"",Invullen!O234)</f>
        <v/>
      </c>
      <c r="L236" s="189" t="str">
        <f>IF(ISBLANK(Invullen!O234),"",K236*$L$3)</f>
        <v/>
      </c>
      <c r="M236" s="192"/>
    </row>
    <row r="237" spans="1:13" x14ac:dyDescent="0.3">
      <c r="A237" s="148">
        <f>Invullen!A235</f>
        <v>231</v>
      </c>
      <c r="B237" s="149" t="str">
        <f>IF(ISBLANK(Invullen!D235),"",Invullen!D235)</f>
        <v/>
      </c>
      <c r="C237" s="150" t="str">
        <f>IF(ISBLANK(Invullen!E235),"",Invullen!E235)</f>
        <v/>
      </c>
      <c r="D237" s="151" t="str">
        <f>IF(ISBLANK(Invullen!F235),"",Invullen!F235)</f>
        <v/>
      </c>
      <c r="E237" s="151" t="str">
        <f>IF(ISBLANK(Invullen!G235),"",Invullen!G235)</f>
        <v/>
      </c>
      <c r="F237" s="149" t="str">
        <f>IF(ISBLANK(Invullen!K236),"",Invullen!K236)</f>
        <v/>
      </c>
      <c r="G237" s="152" t="str">
        <f>IF(ISBLANK(Invullen!L235),"",Invullen!L235)</f>
        <v/>
      </c>
      <c r="H237" s="185" t="str">
        <f>IF(ISBLANK(Invullen!M235),"",Invullen!M235)</f>
        <v/>
      </c>
      <c r="I237" s="188" t="str">
        <f>IF(ISBLANK(Invullen!N235),"",Invullen!N235)</f>
        <v/>
      </c>
      <c r="J237" s="189" t="str">
        <f>IF(ISBLANK(Invullen!N235),"",I237*$J$3)</f>
        <v/>
      </c>
      <c r="K237" s="188" t="str">
        <f>IF(ISBLANK(Invullen!O235),"",Invullen!O235)</f>
        <v/>
      </c>
      <c r="L237" s="189" t="str">
        <f>IF(ISBLANK(Invullen!O235),"",K237*$L$3)</f>
        <v/>
      </c>
      <c r="M237" s="192"/>
    </row>
    <row r="238" spans="1:13" x14ac:dyDescent="0.3">
      <c r="A238" s="148">
        <f>Invullen!A236</f>
        <v>232</v>
      </c>
      <c r="B238" s="149" t="str">
        <f>IF(ISBLANK(Invullen!D236),"",Invullen!D236)</f>
        <v/>
      </c>
      <c r="C238" s="150" t="str">
        <f>IF(ISBLANK(Invullen!E236),"",Invullen!E236)</f>
        <v/>
      </c>
      <c r="D238" s="151" t="str">
        <f>IF(ISBLANK(Invullen!F236),"",Invullen!F236)</f>
        <v/>
      </c>
      <c r="E238" s="151" t="str">
        <f>IF(ISBLANK(Invullen!G236),"",Invullen!G236)</f>
        <v/>
      </c>
      <c r="F238" s="149" t="str">
        <f>IF(ISBLANK(Invullen!K237),"",Invullen!K237)</f>
        <v/>
      </c>
      <c r="G238" s="152" t="str">
        <f>IF(ISBLANK(Invullen!L236),"",Invullen!L236)</f>
        <v/>
      </c>
      <c r="H238" s="185" t="str">
        <f>IF(ISBLANK(Invullen!M236),"",Invullen!M236)</f>
        <v/>
      </c>
      <c r="I238" s="188" t="str">
        <f>IF(ISBLANK(Invullen!N236),"",Invullen!N236)</f>
        <v/>
      </c>
      <c r="J238" s="189" t="str">
        <f>IF(ISBLANK(Invullen!N236),"",I238*$J$3)</f>
        <v/>
      </c>
      <c r="K238" s="188" t="str">
        <f>IF(ISBLANK(Invullen!O236),"",Invullen!O236)</f>
        <v/>
      </c>
      <c r="L238" s="189" t="str">
        <f>IF(ISBLANK(Invullen!O236),"",K238*$L$3)</f>
        <v/>
      </c>
      <c r="M238" s="192"/>
    </row>
    <row r="239" spans="1:13" x14ac:dyDescent="0.3">
      <c r="A239" s="148">
        <f>Invullen!A237</f>
        <v>233</v>
      </c>
      <c r="B239" s="149" t="str">
        <f>IF(ISBLANK(Invullen!D237),"",Invullen!D237)</f>
        <v/>
      </c>
      <c r="C239" s="150" t="str">
        <f>IF(ISBLANK(Invullen!E237),"",Invullen!E237)</f>
        <v/>
      </c>
      <c r="D239" s="151" t="str">
        <f>IF(ISBLANK(Invullen!F237),"",Invullen!F237)</f>
        <v/>
      </c>
      <c r="E239" s="151" t="str">
        <f>IF(ISBLANK(Invullen!G237),"",Invullen!G237)</f>
        <v/>
      </c>
      <c r="F239" s="149" t="str">
        <f>IF(ISBLANK(Invullen!K238),"",Invullen!K238)</f>
        <v/>
      </c>
      <c r="G239" s="152" t="str">
        <f>IF(ISBLANK(Invullen!L237),"",Invullen!L237)</f>
        <v/>
      </c>
      <c r="H239" s="185" t="str">
        <f>IF(ISBLANK(Invullen!M237),"",Invullen!M237)</f>
        <v/>
      </c>
      <c r="I239" s="188" t="str">
        <f>IF(ISBLANK(Invullen!N237),"",Invullen!N237)</f>
        <v/>
      </c>
      <c r="J239" s="189" t="str">
        <f>IF(ISBLANK(Invullen!N237),"",I239*$J$3)</f>
        <v/>
      </c>
      <c r="K239" s="188" t="str">
        <f>IF(ISBLANK(Invullen!O237),"",Invullen!O237)</f>
        <v/>
      </c>
      <c r="L239" s="189" t="str">
        <f>IF(ISBLANK(Invullen!O237),"",K239*$L$3)</f>
        <v/>
      </c>
      <c r="M239" s="192"/>
    </row>
    <row r="240" spans="1:13" x14ac:dyDescent="0.3">
      <c r="A240" s="148">
        <f>Invullen!A238</f>
        <v>234</v>
      </c>
      <c r="B240" s="149" t="str">
        <f>IF(ISBLANK(Invullen!D238),"",Invullen!D238)</f>
        <v/>
      </c>
      <c r="C240" s="150" t="str">
        <f>IF(ISBLANK(Invullen!E238),"",Invullen!E238)</f>
        <v/>
      </c>
      <c r="D240" s="151" t="str">
        <f>IF(ISBLANK(Invullen!F238),"",Invullen!F238)</f>
        <v/>
      </c>
      <c r="E240" s="151" t="str">
        <f>IF(ISBLANK(Invullen!G238),"",Invullen!G238)</f>
        <v/>
      </c>
      <c r="F240" s="149" t="str">
        <f>IF(ISBLANK(Invullen!K239),"",Invullen!K239)</f>
        <v/>
      </c>
      <c r="G240" s="152" t="str">
        <f>IF(ISBLANK(Invullen!L238),"",Invullen!L238)</f>
        <v/>
      </c>
      <c r="H240" s="185" t="str">
        <f>IF(ISBLANK(Invullen!M238),"",Invullen!M238)</f>
        <v/>
      </c>
      <c r="I240" s="188" t="str">
        <f>IF(ISBLANK(Invullen!N238),"",Invullen!N238)</f>
        <v/>
      </c>
      <c r="J240" s="189" t="str">
        <f>IF(ISBLANK(Invullen!N238),"",I240*$J$3)</f>
        <v/>
      </c>
      <c r="K240" s="188" t="str">
        <f>IF(ISBLANK(Invullen!O238),"",Invullen!O238)</f>
        <v/>
      </c>
      <c r="L240" s="189" t="str">
        <f>IF(ISBLANK(Invullen!O238),"",K240*$L$3)</f>
        <v/>
      </c>
      <c r="M240" s="192"/>
    </row>
    <row r="241" spans="1:13" x14ac:dyDescent="0.3">
      <c r="A241" s="148">
        <f>Invullen!A239</f>
        <v>235</v>
      </c>
      <c r="B241" s="149" t="str">
        <f>IF(ISBLANK(Invullen!D239),"",Invullen!D239)</f>
        <v/>
      </c>
      <c r="C241" s="150" t="str">
        <f>IF(ISBLANK(Invullen!E239),"",Invullen!E239)</f>
        <v/>
      </c>
      <c r="D241" s="151" t="str">
        <f>IF(ISBLANK(Invullen!F239),"",Invullen!F239)</f>
        <v/>
      </c>
      <c r="E241" s="151" t="str">
        <f>IF(ISBLANK(Invullen!G239),"",Invullen!G239)</f>
        <v/>
      </c>
      <c r="F241" s="149" t="str">
        <f>IF(ISBLANK(Invullen!K240),"",Invullen!K240)</f>
        <v/>
      </c>
      <c r="G241" s="152" t="str">
        <f>IF(ISBLANK(Invullen!L239),"",Invullen!L239)</f>
        <v/>
      </c>
      <c r="H241" s="185" t="str">
        <f>IF(ISBLANK(Invullen!M239),"",Invullen!M239)</f>
        <v/>
      </c>
      <c r="I241" s="188" t="str">
        <f>IF(ISBLANK(Invullen!N239),"",Invullen!N239)</f>
        <v/>
      </c>
      <c r="J241" s="189" t="str">
        <f>IF(ISBLANK(Invullen!N239),"",I241*$J$3)</f>
        <v/>
      </c>
      <c r="K241" s="188" t="str">
        <f>IF(ISBLANK(Invullen!O239),"",Invullen!O239)</f>
        <v/>
      </c>
      <c r="L241" s="189" t="str">
        <f>IF(ISBLANK(Invullen!O239),"",K241*$L$3)</f>
        <v/>
      </c>
      <c r="M241" s="192"/>
    </row>
    <row r="242" spans="1:13" x14ac:dyDescent="0.3">
      <c r="A242" s="148">
        <f>Invullen!A240</f>
        <v>236</v>
      </c>
      <c r="B242" s="149" t="str">
        <f>IF(ISBLANK(Invullen!D240),"",Invullen!D240)</f>
        <v/>
      </c>
      <c r="C242" s="150" t="str">
        <f>IF(ISBLANK(Invullen!E240),"",Invullen!E240)</f>
        <v/>
      </c>
      <c r="D242" s="151" t="str">
        <f>IF(ISBLANK(Invullen!F240),"",Invullen!F240)</f>
        <v/>
      </c>
      <c r="E242" s="151" t="str">
        <f>IF(ISBLANK(Invullen!G240),"",Invullen!G240)</f>
        <v/>
      </c>
      <c r="F242" s="149" t="str">
        <f>IF(ISBLANK(Invullen!K241),"",Invullen!K241)</f>
        <v/>
      </c>
      <c r="G242" s="152" t="str">
        <f>IF(ISBLANK(Invullen!L240),"",Invullen!L240)</f>
        <v/>
      </c>
      <c r="H242" s="185" t="str">
        <f>IF(ISBLANK(Invullen!M240),"",Invullen!M240)</f>
        <v/>
      </c>
      <c r="I242" s="188" t="str">
        <f>IF(ISBLANK(Invullen!N240),"",Invullen!N240)</f>
        <v/>
      </c>
      <c r="J242" s="189" t="str">
        <f>IF(ISBLANK(Invullen!N240),"",I242*$J$3)</f>
        <v/>
      </c>
      <c r="K242" s="188" t="str">
        <f>IF(ISBLANK(Invullen!O240),"",Invullen!O240)</f>
        <v/>
      </c>
      <c r="L242" s="189" t="str">
        <f>IF(ISBLANK(Invullen!O240),"",K242*$L$3)</f>
        <v/>
      </c>
      <c r="M242" s="192"/>
    </row>
    <row r="243" spans="1:13" x14ac:dyDescent="0.3">
      <c r="A243" s="148">
        <f>Invullen!A241</f>
        <v>237</v>
      </c>
      <c r="B243" s="149" t="str">
        <f>IF(ISBLANK(Invullen!D241),"",Invullen!D241)</f>
        <v/>
      </c>
      <c r="C243" s="150" t="str">
        <f>IF(ISBLANK(Invullen!E241),"",Invullen!E241)</f>
        <v/>
      </c>
      <c r="D243" s="151" t="str">
        <f>IF(ISBLANK(Invullen!F241),"",Invullen!F241)</f>
        <v/>
      </c>
      <c r="E243" s="151" t="str">
        <f>IF(ISBLANK(Invullen!G241),"",Invullen!G241)</f>
        <v/>
      </c>
      <c r="F243" s="149" t="str">
        <f>IF(ISBLANK(Invullen!K242),"",Invullen!K242)</f>
        <v/>
      </c>
      <c r="G243" s="152" t="str">
        <f>IF(ISBLANK(Invullen!L241),"",Invullen!L241)</f>
        <v/>
      </c>
      <c r="H243" s="185" t="str">
        <f>IF(ISBLANK(Invullen!M241),"",Invullen!M241)</f>
        <v/>
      </c>
      <c r="I243" s="188" t="str">
        <f>IF(ISBLANK(Invullen!N241),"",Invullen!N241)</f>
        <v/>
      </c>
      <c r="J243" s="189" t="str">
        <f>IF(ISBLANK(Invullen!N241),"",I243*$J$3)</f>
        <v/>
      </c>
      <c r="K243" s="188" t="str">
        <f>IF(ISBLANK(Invullen!O241),"",Invullen!O241)</f>
        <v/>
      </c>
      <c r="L243" s="189" t="str">
        <f>IF(ISBLANK(Invullen!O241),"",K243*$L$3)</f>
        <v/>
      </c>
      <c r="M243" s="192"/>
    </row>
    <row r="244" spans="1:13" x14ac:dyDescent="0.3">
      <c r="A244" s="148">
        <f>Invullen!A242</f>
        <v>238</v>
      </c>
      <c r="B244" s="149" t="str">
        <f>IF(ISBLANK(Invullen!D242),"",Invullen!D242)</f>
        <v/>
      </c>
      <c r="C244" s="150" t="str">
        <f>IF(ISBLANK(Invullen!E242),"",Invullen!E242)</f>
        <v/>
      </c>
      <c r="D244" s="151" t="str">
        <f>IF(ISBLANK(Invullen!F242),"",Invullen!F242)</f>
        <v/>
      </c>
      <c r="E244" s="151" t="str">
        <f>IF(ISBLANK(Invullen!G242),"",Invullen!G242)</f>
        <v/>
      </c>
      <c r="F244" s="149" t="str">
        <f>IF(ISBLANK(Invullen!K243),"",Invullen!K243)</f>
        <v/>
      </c>
      <c r="G244" s="152" t="str">
        <f>IF(ISBLANK(Invullen!L242),"",Invullen!L242)</f>
        <v/>
      </c>
      <c r="H244" s="185" t="str">
        <f>IF(ISBLANK(Invullen!M242),"",Invullen!M242)</f>
        <v/>
      </c>
      <c r="I244" s="188" t="str">
        <f>IF(ISBLANK(Invullen!N242),"",Invullen!N242)</f>
        <v/>
      </c>
      <c r="J244" s="189" t="str">
        <f>IF(ISBLANK(Invullen!N242),"",I244*$J$3)</f>
        <v/>
      </c>
      <c r="K244" s="188" t="str">
        <f>IF(ISBLANK(Invullen!O242),"",Invullen!O242)</f>
        <v/>
      </c>
      <c r="L244" s="189" t="str">
        <f>IF(ISBLANK(Invullen!O242),"",K244*$L$3)</f>
        <v/>
      </c>
      <c r="M244" s="192"/>
    </row>
    <row r="245" spans="1:13" x14ac:dyDescent="0.3">
      <c r="A245" s="148">
        <f>Invullen!A243</f>
        <v>239</v>
      </c>
      <c r="B245" s="149" t="str">
        <f>IF(ISBLANK(Invullen!D243),"",Invullen!D243)</f>
        <v/>
      </c>
      <c r="C245" s="150" t="str">
        <f>IF(ISBLANK(Invullen!E243),"",Invullen!E243)</f>
        <v/>
      </c>
      <c r="D245" s="151" t="str">
        <f>IF(ISBLANK(Invullen!F243),"",Invullen!F243)</f>
        <v/>
      </c>
      <c r="E245" s="151" t="str">
        <f>IF(ISBLANK(Invullen!G243),"",Invullen!G243)</f>
        <v/>
      </c>
      <c r="F245" s="149" t="str">
        <f>IF(ISBLANK(Invullen!K244),"",Invullen!K244)</f>
        <v/>
      </c>
      <c r="G245" s="152" t="str">
        <f>IF(ISBLANK(Invullen!L243),"",Invullen!L243)</f>
        <v/>
      </c>
      <c r="H245" s="185" t="str">
        <f>IF(ISBLANK(Invullen!M243),"",Invullen!M243)</f>
        <v/>
      </c>
      <c r="I245" s="188" t="str">
        <f>IF(ISBLANK(Invullen!N243),"",Invullen!N243)</f>
        <v/>
      </c>
      <c r="J245" s="189" t="str">
        <f>IF(ISBLANK(Invullen!N243),"",I245*$J$3)</f>
        <v/>
      </c>
      <c r="K245" s="188" t="str">
        <f>IF(ISBLANK(Invullen!O243),"",Invullen!O243)</f>
        <v/>
      </c>
      <c r="L245" s="189" t="str">
        <f>IF(ISBLANK(Invullen!O243),"",K245*$L$3)</f>
        <v/>
      </c>
      <c r="M245" s="192"/>
    </row>
    <row r="246" spans="1:13" x14ac:dyDescent="0.3">
      <c r="A246" s="148">
        <f>Invullen!A244</f>
        <v>240</v>
      </c>
      <c r="B246" s="149" t="str">
        <f>IF(ISBLANK(Invullen!D244),"",Invullen!D244)</f>
        <v/>
      </c>
      <c r="C246" s="150" t="str">
        <f>IF(ISBLANK(Invullen!E244),"",Invullen!E244)</f>
        <v/>
      </c>
      <c r="D246" s="151" t="str">
        <f>IF(ISBLANK(Invullen!F244),"",Invullen!F244)</f>
        <v/>
      </c>
      <c r="E246" s="151" t="str">
        <f>IF(ISBLANK(Invullen!G244),"",Invullen!G244)</f>
        <v/>
      </c>
      <c r="F246" s="149" t="str">
        <f>IF(ISBLANK(Invullen!K245),"",Invullen!K245)</f>
        <v/>
      </c>
      <c r="G246" s="152" t="str">
        <f>IF(ISBLANK(Invullen!L244),"",Invullen!L244)</f>
        <v/>
      </c>
      <c r="H246" s="185" t="str">
        <f>IF(ISBLANK(Invullen!M244),"",Invullen!M244)</f>
        <v/>
      </c>
      <c r="I246" s="188" t="str">
        <f>IF(ISBLANK(Invullen!N244),"",Invullen!N244)</f>
        <v/>
      </c>
      <c r="J246" s="189" t="str">
        <f>IF(ISBLANK(Invullen!N244),"",I246*$J$3)</f>
        <v/>
      </c>
      <c r="K246" s="188" t="str">
        <f>IF(ISBLANK(Invullen!O244),"",Invullen!O244)</f>
        <v/>
      </c>
      <c r="L246" s="189" t="str">
        <f>IF(ISBLANK(Invullen!O244),"",K246*$L$3)</f>
        <v/>
      </c>
      <c r="M246" s="192"/>
    </row>
    <row r="247" spans="1:13" x14ac:dyDescent="0.3">
      <c r="A247" s="148">
        <f>Invullen!A245</f>
        <v>241</v>
      </c>
      <c r="B247" s="149" t="str">
        <f>IF(ISBLANK(Invullen!D245),"",Invullen!D245)</f>
        <v/>
      </c>
      <c r="C247" s="150" t="str">
        <f>IF(ISBLANK(Invullen!E245),"",Invullen!E245)</f>
        <v/>
      </c>
      <c r="D247" s="151" t="str">
        <f>IF(ISBLANK(Invullen!F245),"",Invullen!F245)</f>
        <v/>
      </c>
      <c r="E247" s="151" t="str">
        <f>IF(ISBLANK(Invullen!G245),"",Invullen!G245)</f>
        <v/>
      </c>
      <c r="F247" s="149" t="str">
        <f>IF(ISBLANK(Invullen!K246),"",Invullen!K246)</f>
        <v/>
      </c>
      <c r="G247" s="152" t="str">
        <f>IF(ISBLANK(Invullen!L245),"",Invullen!L245)</f>
        <v/>
      </c>
      <c r="H247" s="185" t="str">
        <f>IF(ISBLANK(Invullen!M245),"",Invullen!M245)</f>
        <v/>
      </c>
      <c r="I247" s="188" t="str">
        <f>IF(ISBLANK(Invullen!N245),"",Invullen!N245)</f>
        <v/>
      </c>
      <c r="J247" s="189" t="str">
        <f>IF(ISBLANK(Invullen!N245),"",I247*$J$3)</f>
        <v/>
      </c>
      <c r="K247" s="188" t="str">
        <f>IF(ISBLANK(Invullen!O245),"",Invullen!O245)</f>
        <v/>
      </c>
      <c r="L247" s="189" t="str">
        <f>IF(ISBLANK(Invullen!O245),"",K247*$L$3)</f>
        <v/>
      </c>
      <c r="M247" s="192"/>
    </row>
    <row r="248" spans="1:13" x14ac:dyDescent="0.3">
      <c r="A248" s="148">
        <f>Invullen!A246</f>
        <v>242</v>
      </c>
      <c r="B248" s="149" t="str">
        <f>IF(ISBLANK(Invullen!D246),"",Invullen!D246)</f>
        <v/>
      </c>
      <c r="C248" s="150" t="str">
        <f>IF(ISBLANK(Invullen!E246),"",Invullen!E246)</f>
        <v/>
      </c>
      <c r="D248" s="151" t="str">
        <f>IF(ISBLANK(Invullen!F246),"",Invullen!F246)</f>
        <v/>
      </c>
      <c r="E248" s="151" t="str">
        <f>IF(ISBLANK(Invullen!G246),"",Invullen!G246)</f>
        <v/>
      </c>
      <c r="F248" s="149" t="str">
        <f>IF(ISBLANK(Invullen!K247),"",Invullen!K247)</f>
        <v/>
      </c>
      <c r="G248" s="152" t="str">
        <f>IF(ISBLANK(Invullen!L246),"",Invullen!L246)</f>
        <v/>
      </c>
      <c r="H248" s="185" t="str">
        <f>IF(ISBLANK(Invullen!M246),"",Invullen!M246)</f>
        <v/>
      </c>
      <c r="I248" s="188" t="str">
        <f>IF(ISBLANK(Invullen!N246),"",Invullen!N246)</f>
        <v/>
      </c>
      <c r="J248" s="189" t="str">
        <f>IF(ISBLANK(Invullen!N246),"",I248*$J$3)</f>
        <v/>
      </c>
      <c r="K248" s="188" t="str">
        <f>IF(ISBLANK(Invullen!O246),"",Invullen!O246)</f>
        <v/>
      </c>
      <c r="L248" s="189" t="str">
        <f>IF(ISBLANK(Invullen!O246),"",K248*$L$3)</f>
        <v/>
      </c>
      <c r="M248" s="192"/>
    </row>
    <row r="249" spans="1:13" x14ac:dyDescent="0.3">
      <c r="A249" s="148">
        <f>Invullen!A247</f>
        <v>243</v>
      </c>
      <c r="B249" s="149" t="str">
        <f>IF(ISBLANK(Invullen!D247),"",Invullen!D247)</f>
        <v/>
      </c>
      <c r="C249" s="150" t="str">
        <f>IF(ISBLANK(Invullen!E247),"",Invullen!E247)</f>
        <v/>
      </c>
      <c r="D249" s="151" t="str">
        <f>IF(ISBLANK(Invullen!F247),"",Invullen!F247)</f>
        <v/>
      </c>
      <c r="E249" s="151" t="str">
        <f>IF(ISBLANK(Invullen!G247),"",Invullen!G247)</f>
        <v/>
      </c>
      <c r="F249" s="149" t="str">
        <f>IF(ISBLANK(Invullen!K248),"",Invullen!K248)</f>
        <v/>
      </c>
      <c r="G249" s="152" t="str">
        <f>IF(ISBLANK(Invullen!L247),"",Invullen!L247)</f>
        <v/>
      </c>
      <c r="H249" s="185" t="str">
        <f>IF(ISBLANK(Invullen!M247),"",Invullen!M247)</f>
        <v/>
      </c>
      <c r="I249" s="188" t="str">
        <f>IF(ISBLANK(Invullen!N247),"",Invullen!N247)</f>
        <v/>
      </c>
      <c r="J249" s="189" t="str">
        <f>IF(ISBLANK(Invullen!N247),"",I249*$J$3)</f>
        <v/>
      </c>
      <c r="K249" s="188" t="str">
        <f>IF(ISBLANK(Invullen!O247),"",Invullen!O247)</f>
        <v/>
      </c>
      <c r="L249" s="189" t="str">
        <f>IF(ISBLANK(Invullen!O247),"",K249*$L$3)</f>
        <v/>
      </c>
      <c r="M249" s="192"/>
    </row>
    <row r="250" spans="1:13" x14ac:dyDescent="0.3">
      <c r="A250" s="148">
        <f>Invullen!A248</f>
        <v>244</v>
      </c>
      <c r="B250" s="149" t="str">
        <f>IF(ISBLANK(Invullen!D248),"",Invullen!D248)</f>
        <v/>
      </c>
      <c r="C250" s="150" t="str">
        <f>IF(ISBLANK(Invullen!E248),"",Invullen!E248)</f>
        <v/>
      </c>
      <c r="D250" s="151" t="str">
        <f>IF(ISBLANK(Invullen!F248),"",Invullen!F248)</f>
        <v/>
      </c>
      <c r="E250" s="151" t="str">
        <f>IF(ISBLANK(Invullen!G248),"",Invullen!G248)</f>
        <v/>
      </c>
      <c r="F250" s="149" t="str">
        <f>IF(ISBLANK(Invullen!K249),"",Invullen!K249)</f>
        <v/>
      </c>
      <c r="G250" s="152" t="str">
        <f>IF(ISBLANK(Invullen!L248),"",Invullen!L248)</f>
        <v/>
      </c>
      <c r="H250" s="185" t="str">
        <f>IF(ISBLANK(Invullen!M248),"",Invullen!M248)</f>
        <v/>
      </c>
      <c r="I250" s="188" t="str">
        <f>IF(ISBLANK(Invullen!N248),"",Invullen!N248)</f>
        <v/>
      </c>
      <c r="J250" s="189" t="str">
        <f>IF(ISBLANK(Invullen!N248),"",I250*$J$3)</f>
        <v/>
      </c>
      <c r="K250" s="188" t="str">
        <f>IF(ISBLANK(Invullen!O248),"",Invullen!O248)</f>
        <v/>
      </c>
      <c r="L250" s="189" t="str">
        <f>IF(ISBLANK(Invullen!O248),"",K250*$L$3)</f>
        <v/>
      </c>
      <c r="M250" s="192"/>
    </row>
    <row r="251" spans="1:13" x14ac:dyDescent="0.3">
      <c r="A251" s="148">
        <f>Invullen!A249</f>
        <v>245</v>
      </c>
      <c r="B251" s="149" t="str">
        <f>IF(ISBLANK(Invullen!D249),"",Invullen!D249)</f>
        <v/>
      </c>
      <c r="C251" s="150" t="str">
        <f>IF(ISBLANK(Invullen!E249),"",Invullen!E249)</f>
        <v/>
      </c>
      <c r="D251" s="151" t="str">
        <f>IF(ISBLANK(Invullen!F249),"",Invullen!F249)</f>
        <v/>
      </c>
      <c r="E251" s="151" t="str">
        <f>IF(ISBLANK(Invullen!G249),"",Invullen!G249)</f>
        <v/>
      </c>
      <c r="F251" s="149" t="str">
        <f>IF(ISBLANK(Invullen!K250),"",Invullen!K250)</f>
        <v/>
      </c>
      <c r="G251" s="152" t="str">
        <f>IF(ISBLANK(Invullen!L249),"",Invullen!L249)</f>
        <v/>
      </c>
      <c r="H251" s="185" t="str">
        <f>IF(ISBLANK(Invullen!M249),"",Invullen!M249)</f>
        <v/>
      </c>
      <c r="I251" s="188" t="str">
        <f>IF(ISBLANK(Invullen!N249),"",Invullen!N249)</f>
        <v/>
      </c>
      <c r="J251" s="189" t="str">
        <f>IF(ISBLANK(Invullen!N249),"",I251*$J$3)</f>
        <v/>
      </c>
      <c r="K251" s="188" t="str">
        <f>IF(ISBLANK(Invullen!O249),"",Invullen!O249)</f>
        <v/>
      </c>
      <c r="L251" s="189" t="str">
        <f>IF(ISBLANK(Invullen!O249),"",K251*$L$3)</f>
        <v/>
      </c>
      <c r="M251" s="192"/>
    </row>
    <row r="252" spans="1:13" x14ac:dyDescent="0.3">
      <c r="A252" s="148">
        <f>Invullen!A250</f>
        <v>246</v>
      </c>
      <c r="B252" s="149" t="str">
        <f>IF(ISBLANK(Invullen!D250),"",Invullen!D250)</f>
        <v/>
      </c>
      <c r="C252" s="150" t="str">
        <f>IF(ISBLANK(Invullen!E250),"",Invullen!E250)</f>
        <v/>
      </c>
      <c r="D252" s="151" t="str">
        <f>IF(ISBLANK(Invullen!F250),"",Invullen!F250)</f>
        <v/>
      </c>
      <c r="E252" s="151" t="str">
        <f>IF(ISBLANK(Invullen!G250),"",Invullen!G250)</f>
        <v/>
      </c>
      <c r="F252" s="149" t="str">
        <f>IF(ISBLANK(Invullen!K251),"",Invullen!K251)</f>
        <v/>
      </c>
      <c r="G252" s="152" t="str">
        <f>IF(ISBLANK(Invullen!L250),"",Invullen!L250)</f>
        <v/>
      </c>
      <c r="H252" s="185" t="str">
        <f>IF(ISBLANK(Invullen!M250),"",Invullen!M250)</f>
        <v/>
      </c>
      <c r="I252" s="188" t="str">
        <f>IF(ISBLANK(Invullen!N250),"",Invullen!N250)</f>
        <v/>
      </c>
      <c r="J252" s="189" t="str">
        <f>IF(ISBLANK(Invullen!N250),"",I252*$J$3)</f>
        <v/>
      </c>
      <c r="K252" s="188" t="str">
        <f>IF(ISBLANK(Invullen!O250),"",Invullen!O250)</f>
        <v/>
      </c>
      <c r="L252" s="189" t="str">
        <f>IF(ISBLANK(Invullen!O250),"",K252*$L$3)</f>
        <v/>
      </c>
      <c r="M252" s="192"/>
    </row>
    <row r="253" spans="1:13" x14ac:dyDescent="0.3">
      <c r="A253" s="148">
        <f>Invullen!A251</f>
        <v>247</v>
      </c>
      <c r="B253" s="149" t="str">
        <f>IF(ISBLANK(Invullen!D251),"",Invullen!D251)</f>
        <v/>
      </c>
      <c r="C253" s="150" t="str">
        <f>IF(ISBLANK(Invullen!E251),"",Invullen!E251)</f>
        <v/>
      </c>
      <c r="D253" s="151" t="str">
        <f>IF(ISBLANK(Invullen!F251),"",Invullen!F251)</f>
        <v/>
      </c>
      <c r="E253" s="151" t="str">
        <f>IF(ISBLANK(Invullen!G251),"",Invullen!G251)</f>
        <v/>
      </c>
      <c r="F253" s="149" t="str">
        <f>IF(ISBLANK(Invullen!K252),"",Invullen!K252)</f>
        <v/>
      </c>
      <c r="G253" s="152" t="str">
        <f>IF(ISBLANK(Invullen!L251),"",Invullen!L251)</f>
        <v/>
      </c>
      <c r="H253" s="185" t="str">
        <f>IF(ISBLANK(Invullen!M251),"",Invullen!M251)</f>
        <v/>
      </c>
      <c r="I253" s="188" t="str">
        <f>IF(ISBLANK(Invullen!N251),"",Invullen!N251)</f>
        <v/>
      </c>
      <c r="J253" s="189" t="str">
        <f>IF(ISBLANK(Invullen!N251),"",I253*$J$3)</f>
        <v/>
      </c>
      <c r="K253" s="188" t="str">
        <f>IF(ISBLANK(Invullen!O251),"",Invullen!O251)</f>
        <v/>
      </c>
      <c r="L253" s="189" t="str">
        <f>IF(ISBLANK(Invullen!O251),"",K253*$L$3)</f>
        <v/>
      </c>
      <c r="M253" s="192"/>
    </row>
    <row r="254" spans="1:13" x14ac:dyDescent="0.3">
      <c r="A254" s="148">
        <f>Invullen!A252</f>
        <v>248</v>
      </c>
      <c r="B254" s="149" t="str">
        <f>IF(ISBLANK(Invullen!D252),"",Invullen!D252)</f>
        <v/>
      </c>
      <c r="C254" s="150" t="str">
        <f>IF(ISBLANK(Invullen!E252),"",Invullen!E252)</f>
        <v/>
      </c>
      <c r="D254" s="151" t="str">
        <f>IF(ISBLANK(Invullen!F252),"",Invullen!F252)</f>
        <v/>
      </c>
      <c r="E254" s="151" t="str">
        <f>IF(ISBLANK(Invullen!G252),"",Invullen!G252)</f>
        <v/>
      </c>
      <c r="F254" s="149" t="str">
        <f>IF(ISBLANK(Invullen!K253),"",Invullen!K253)</f>
        <v/>
      </c>
      <c r="G254" s="152" t="str">
        <f>IF(ISBLANK(Invullen!L252),"",Invullen!L252)</f>
        <v/>
      </c>
      <c r="H254" s="185" t="str">
        <f>IF(ISBLANK(Invullen!M252),"",Invullen!M252)</f>
        <v/>
      </c>
      <c r="I254" s="188" t="str">
        <f>IF(ISBLANK(Invullen!N252),"",Invullen!N252)</f>
        <v/>
      </c>
      <c r="J254" s="189" t="str">
        <f>IF(ISBLANK(Invullen!N252),"",I254*$J$3)</f>
        <v/>
      </c>
      <c r="K254" s="188" t="str">
        <f>IF(ISBLANK(Invullen!O252),"",Invullen!O252)</f>
        <v/>
      </c>
      <c r="L254" s="189" t="str">
        <f>IF(ISBLANK(Invullen!O252),"",K254*$L$3)</f>
        <v/>
      </c>
      <c r="M254" s="192"/>
    </row>
    <row r="255" spans="1:13" x14ac:dyDescent="0.3">
      <c r="A255" s="148">
        <f>Invullen!A253</f>
        <v>249</v>
      </c>
      <c r="B255" s="149" t="str">
        <f>IF(ISBLANK(Invullen!D253),"",Invullen!D253)</f>
        <v/>
      </c>
      <c r="C255" s="150" t="str">
        <f>IF(ISBLANK(Invullen!E253),"",Invullen!E253)</f>
        <v/>
      </c>
      <c r="D255" s="151" t="str">
        <f>IF(ISBLANK(Invullen!F253),"",Invullen!F253)</f>
        <v/>
      </c>
      <c r="E255" s="151" t="str">
        <f>IF(ISBLANK(Invullen!G253),"",Invullen!G253)</f>
        <v/>
      </c>
      <c r="F255" s="149" t="str">
        <f>IF(ISBLANK(Invullen!K254),"",Invullen!K254)</f>
        <v/>
      </c>
      <c r="G255" s="152" t="str">
        <f>IF(ISBLANK(Invullen!L253),"",Invullen!L253)</f>
        <v/>
      </c>
      <c r="H255" s="185" t="str">
        <f>IF(ISBLANK(Invullen!M253),"",Invullen!M253)</f>
        <v/>
      </c>
      <c r="I255" s="188" t="str">
        <f>IF(ISBLANK(Invullen!N253),"",Invullen!N253)</f>
        <v/>
      </c>
      <c r="J255" s="189" t="str">
        <f>IF(ISBLANK(Invullen!N253),"",I255*$J$3)</f>
        <v/>
      </c>
      <c r="K255" s="188" t="str">
        <f>IF(ISBLANK(Invullen!O253),"",Invullen!O253)</f>
        <v/>
      </c>
      <c r="L255" s="189" t="str">
        <f>IF(ISBLANK(Invullen!O253),"",K255*$L$3)</f>
        <v/>
      </c>
      <c r="M255" s="192"/>
    </row>
    <row r="256" spans="1:13" ht="15" thickBot="1" x14ac:dyDescent="0.35">
      <c r="A256" s="148">
        <f>Invullen!A254</f>
        <v>250</v>
      </c>
      <c r="B256" s="149" t="str">
        <f>IF(ISBLANK(Invullen!D254),"",Invullen!D254)</f>
        <v/>
      </c>
      <c r="C256" s="150" t="str">
        <f>IF(ISBLANK(Invullen!E254),"",Invullen!E254)</f>
        <v/>
      </c>
      <c r="D256" s="151" t="str">
        <f>IF(ISBLANK(Invullen!F254),"",Invullen!F254)</f>
        <v/>
      </c>
      <c r="E256" s="151" t="str">
        <f>IF(ISBLANK(Invullen!G254),"",Invullen!G254)</f>
        <v/>
      </c>
      <c r="F256" s="149" t="str">
        <f>IF(ISBLANK(Invullen!K255),"",Invullen!K255)</f>
        <v/>
      </c>
      <c r="G256" s="152" t="str">
        <f>IF(ISBLANK(Invullen!L254),"",Invullen!L254)</f>
        <v/>
      </c>
      <c r="H256" s="185" t="str">
        <f>IF(ISBLANK(Invullen!M254),"",Invullen!M254)</f>
        <v/>
      </c>
      <c r="I256" s="190" t="str">
        <f>IF(ISBLANK(Invullen!N254),"",Invullen!N254)</f>
        <v/>
      </c>
      <c r="J256" s="191" t="str">
        <f>IF(ISBLANK(Invullen!N254),"",I256*$J$3)</f>
        <v/>
      </c>
      <c r="K256" s="190" t="str">
        <f>IF(ISBLANK(Invullen!O254),"",Invullen!O254)</f>
        <v/>
      </c>
      <c r="L256" s="191" t="str">
        <f>IF(ISBLANK(Invullen!O254),"",K256*$L$3)</f>
        <v/>
      </c>
      <c r="M256" s="192"/>
    </row>
    <row r="257" spans="2:13" x14ac:dyDescent="0.3">
      <c r="B257" s="143"/>
      <c r="C257" s="142"/>
      <c r="D257" s="144"/>
      <c r="E257" s="144"/>
      <c r="F257" s="143"/>
      <c r="G257" s="146"/>
      <c r="H257" s="146"/>
      <c r="I257" s="146"/>
      <c r="J257" s="145"/>
      <c r="K257" s="146"/>
      <c r="L257" s="145"/>
      <c r="M257" s="147"/>
    </row>
    <row r="258" spans="2:13" x14ac:dyDescent="0.3">
      <c r="B258" s="143"/>
      <c r="C258" s="142"/>
      <c r="D258" s="144"/>
      <c r="E258" s="144"/>
      <c r="F258" s="143"/>
      <c r="G258" s="146"/>
      <c r="H258" s="146"/>
      <c r="I258" s="146"/>
      <c r="J258" s="145"/>
      <c r="K258" s="146"/>
      <c r="L258" s="145"/>
      <c r="M258" s="147"/>
    </row>
    <row r="259" spans="2:13" x14ac:dyDescent="0.3">
      <c r="B259" s="143"/>
      <c r="C259" s="142"/>
      <c r="D259" s="144"/>
      <c r="E259" s="144"/>
      <c r="F259" s="143"/>
      <c r="G259" s="146"/>
      <c r="H259" s="146"/>
      <c r="I259" s="146"/>
      <c r="J259" s="145"/>
      <c r="K259" s="146"/>
      <c r="L259" s="145"/>
      <c r="M259" s="147"/>
    </row>
    <row r="260" spans="2:13" x14ac:dyDescent="0.3">
      <c r="B260" s="143"/>
      <c r="C260" s="142"/>
      <c r="D260" s="144"/>
      <c r="E260" s="144"/>
      <c r="F260" s="143"/>
      <c r="G260" s="146"/>
      <c r="H260" s="146"/>
      <c r="I260" s="146"/>
      <c r="J260" s="145"/>
      <c r="K260" s="146"/>
      <c r="L260" s="145"/>
      <c r="M260" s="147"/>
    </row>
    <row r="261" spans="2:13" x14ac:dyDescent="0.3">
      <c r="B261" s="143"/>
      <c r="C261" s="142"/>
      <c r="D261" s="144"/>
      <c r="E261" s="144"/>
      <c r="F261" s="143"/>
      <c r="G261" s="146"/>
      <c r="H261" s="146"/>
      <c r="I261" s="146"/>
      <c r="J261" s="145"/>
      <c r="K261" s="146"/>
      <c r="L261" s="145"/>
      <c r="M261" s="147"/>
    </row>
    <row r="262" spans="2:13" x14ac:dyDescent="0.3">
      <c r="B262" s="143"/>
      <c r="C262" s="142"/>
      <c r="D262" s="144"/>
      <c r="E262" s="144"/>
      <c r="F262" s="143"/>
      <c r="G262" s="146"/>
      <c r="H262" s="146"/>
      <c r="I262" s="146"/>
      <c r="J262" s="145"/>
      <c r="K262" s="146"/>
      <c r="L262" s="145"/>
      <c r="M262" s="147"/>
    </row>
    <row r="263" spans="2:13" x14ac:dyDescent="0.3">
      <c r="B263" s="143"/>
      <c r="C263" s="142"/>
      <c r="D263" s="144"/>
      <c r="E263" s="144"/>
      <c r="F263" s="143"/>
      <c r="G263" s="146"/>
      <c r="H263" s="146"/>
      <c r="I263" s="146"/>
      <c r="J263" s="145"/>
      <c r="K263" s="146"/>
      <c r="L263" s="145"/>
      <c r="M263" s="147"/>
    </row>
    <row r="264" spans="2:13" x14ac:dyDescent="0.3">
      <c r="B264" s="143"/>
      <c r="C264" s="142"/>
      <c r="D264" s="144"/>
      <c r="E264" s="144"/>
      <c r="F264" s="143"/>
      <c r="G264" s="146"/>
      <c r="H264" s="146"/>
      <c r="I264" s="146"/>
      <c r="J264" s="145"/>
      <c r="K264" s="146"/>
      <c r="L264" s="145"/>
      <c r="M264" s="147"/>
    </row>
    <row r="265" spans="2:13" x14ac:dyDescent="0.3">
      <c r="B265" s="143"/>
      <c r="C265" s="142"/>
      <c r="D265" s="144"/>
      <c r="E265" s="144"/>
      <c r="F265" s="143"/>
      <c r="G265" s="146"/>
      <c r="H265" s="146"/>
      <c r="I265" s="146"/>
      <c r="J265" s="145"/>
      <c r="K265" s="146"/>
      <c r="L265" s="145"/>
      <c r="M265" s="147"/>
    </row>
    <row r="266" spans="2:13" x14ac:dyDescent="0.3">
      <c r="B266" s="143"/>
      <c r="C266" s="142"/>
      <c r="D266" s="144"/>
      <c r="E266" s="144"/>
      <c r="F266" s="143"/>
      <c r="G266" s="146"/>
      <c r="H266" s="146"/>
      <c r="I266" s="146"/>
      <c r="J266" s="145"/>
      <c r="K266" s="146"/>
      <c r="L266" s="145"/>
      <c r="M266" s="147"/>
    </row>
    <row r="267" spans="2:13" x14ac:dyDescent="0.3">
      <c r="B267" s="143"/>
      <c r="C267" s="142"/>
      <c r="D267" s="144"/>
      <c r="E267" s="144"/>
      <c r="F267" s="143"/>
      <c r="G267" s="146"/>
      <c r="H267" s="146"/>
      <c r="I267" s="146"/>
      <c r="J267" s="145"/>
      <c r="K267" s="146"/>
      <c r="L267" s="145"/>
      <c r="M267" s="147"/>
    </row>
    <row r="268" spans="2:13" x14ac:dyDescent="0.3">
      <c r="B268" s="143"/>
      <c r="C268" s="142"/>
      <c r="D268" s="144"/>
      <c r="E268" s="144"/>
      <c r="F268" s="143"/>
      <c r="G268" s="146"/>
      <c r="H268" s="146"/>
      <c r="I268" s="146"/>
      <c r="J268" s="145"/>
      <c r="K268" s="146"/>
      <c r="L268" s="145"/>
      <c r="M268" s="147"/>
    </row>
    <row r="269" spans="2:13" x14ac:dyDescent="0.3">
      <c r="B269" s="143"/>
      <c r="C269" s="142"/>
      <c r="D269" s="144"/>
      <c r="E269" s="144"/>
      <c r="F269" s="143"/>
      <c r="G269" s="146"/>
      <c r="H269" s="146"/>
      <c r="I269" s="146"/>
      <c r="J269" s="145"/>
      <c r="K269" s="146"/>
      <c r="L269" s="145"/>
      <c r="M269" s="147"/>
    </row>
  </sheetData>
  <mergeCells count="13">
    <mergeCell ref="M1:M6"/>
    <mergeCell ref="I1:L1"/>
    <mergeCell ref="H1:H6"/>
    <mergeCell ref="G1:G6"/>
    <mergeCell ref="F1:F6"/>
    <mergeCell ref="A1:A6"/>
    <mergeCell ref="E2:E6"/>
    <mergeCell ref="D2:D6"/>
    <mergeCell ref="I2:J2"/>
    <mergeCell ref="K2:L2"/>
    <mergeCell ref="D1:E1"/>
    <mergeCell ref="C1:C6"/>
    <mergeCell ref="B1:B6"/>
  </mergeCells>
  <pageMargins left="0.7" right="0.7" top="0.75" bottom="0.75" header="0.3" footer="0.3"/>
  <pageSetup scale="81" fitToHeight="0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0" tint="-0.499984740745262"/>
  </sheetPr>
  <dimension ref="A1:J41"/>
  <sheetViews>
    <sheetView zoomScale="85" zoomScaleNormal="85" workbookViewId="0">
      <selection activeCell="K7" sqref="K7"/>
    </sheetView>
  </sheetViews>
  <sheetFormatPr defaultColWidth="9.21875" defaultRowHeight="14.4" x14ac:dyDescent="0.3"/>
  <cols>
    <col min="1" max="1" width="27.21875" style="48" customWidth="1"/>
    <col min="2" max="2" width="15" style="48" customWidth="1"/>
    <col min="3" max="4" width="27.21875" style="48" customWidth="1"/>
    <col min="5" max="5" width="9.77734375" style="48" customWidth="1"/>
    <col min="6" max="6" width="9.21875" style="48"/>
    <col min="7" max="7" width="23.77734375" style="81" hidden="1" customWidth="1"/>
    <col min="8" max="8" width="10.44140625" style="81" hidden="1" customWidth="1"/>
    <col min="9" max="9" width="38" style="81" hidden="1" customWidth="1"/>
    <col min="10" max="10" width="23.5546875" style="81" hidden="1" customWidth="1"/>
    <col min="11" max="16384" width="9.21875" style="48"/>
  </cols>
  <sheetData>
    <row r="1" spans="1:10" customFormat="1" ht="28.8" x14ac:dyDescent="0.3">
      <c r="A1" s="47" t="s">
        <v>1053</v>
      </c>
      <c r="B1" s="47" t="s">
        <v>9</v>
      </c>
      <c r="C1" s="47" t="s">
        <v>47</v>
      </c>
      <c r="D1" s="47" t="s">
        <v>1054</v>
      </c>
      <c r="E1" s="48"/>
      <c r="F1" s="84" t="s">
        <v>1298</v>
      </c>
      <c r="G1" s="83" t="s">
        <v>1053</v>
      </c>
      <c r="H1" s="83" t="s">
        <v>9</v>
      </c>
      <c r="I1" s="83" t="s">
        <v>47</v>
      </c>
      <c r="J1" s="83" t="s">
        <v>1054</v>
      </c>
    </row>
    <row r="2" spans="1:10" customFormat="1" x14ac:dyDescent="0.3">
      <c r="A2" s="5" t="str">
        <f t="shared" ref="A2:B5" si="0">G2</f>
        <v>Blonde rog</v>
      </c>
      <c r="B2" s="5" t="str">
        <f t="shared" si="0"/>
        <v>RJH</v>
      </c>
      <c r="C2" s="5" t="str">
        <f t="shared" ref="C2:D2" si="1">I2</f>
        <v>Raja brachyura</v>
      </c>
      <c r="D2" s="5" t="str">
        <f t="shared" si="1"/>
        <v>Blonde ray</v>
      </c>
      <c r="E2" s="48"/>
      <c r="F2" t="s">
        <v>1296</v>
      </c>
      <c r="G2" s="82" t="s">
        <v>1103</v>
      </c>
      <c r="H2" s="82" t="s">
        <v>1225</v>
      </c>
      <c r="I2" s="82" t="s">
        <v>1224</v>
      </c>
      <c r="J2" s="82" t="s">
        <v>1226</v>
      </c>
    </row>
    <row r="3" spans="1:10" customFormat="1" x14ac:dyDescent="0.3">
      <c r="A3" s="5" t="str">
        <f t="shared" si="0"/>
        <v>Bot</v>
      </c>
      <c r="B3" s="5" t="str">
        <f t="shared" si="0"/>
        <v>FLE</v>
      </c>
      <c r="C3" s="5" t="str">
        <f t="shared" ref="C3:D5" si="2">I3</f>
        <v>Platichthys flesus</v>
      </c>
      <c r="D3" s="5" t="str">
        <f t="shared" si="2"/>
        <v>European flounder</v>
      </c>
      <c r="E3" s="48"/>
      <c r="F3" t="s">
        <v>1297</v>
      </c>
      <c r="G3" s="82" t="s">
        <v>1089</v>
      </c>
      <c r="H3" s="82" t="s">
        <v>1088</v>
      </c>
      <c r="I3" s="82" t="s">
        <v>1090</v>
      </c>
      <c r="J3" s="82" t="s">
        <v>1091</v>
      </c>
    </row>
    <row r="4" spans="1:10" customFormat="1" x14ac:dyDescent="0.3">
      <c r="A4" s="5" t="str">
        <f t="shared" si="0"/>
        <v>Gladde/gevlekte rog</v>
      </c>
      <c r="B4" s="5" t="str">
        <f t="shared" si="0"/>
        <v>RJM</v>
      </c>
      <c r="C4" s="5" t="str">
        <f t="shared" si="2"/>
        <v>Raja montagui</v>
      </c>
      <c r="D4" s="5" t="str">
        <f t="shared" si="2"/>
        <v>Spotted ray</v>
      </c>
      <c r="G4" s="82" t="s">
        <v>1230</v>
      </c>
      <c r="H4" s="82" t="s">
        <v>1229</v>
      </c>
      <c r="I4" s="82" t="s">
        <v>1227</v>
      </c>
      <c r="J4" s="82" t="s">
        <v>1228</v>
      </c>
    </row>
    <row r="5" spans="1:10" customFormat="1" x14ac:dyDescent="0.3">
      <c r="A5" s="5" t="str">
        <f t="shared" si="0"/>
        <v>Grauwe poon</v>
      </c>
      <c r="B5" s="5" t="str">
        <f t="shared" si="0"/>
        <v>GUG</v>
      </c>
      <c r="C5" s="5" t="str">
        <f t="shared" si="2"/>
        <v>Eutrigla gurnardus</v>
      </c>
      <c r="D5" s="5" t="str">
        <f t="shared" si="2"/>
        <v>Grey gurnard</v>
      </c>
      <c r="G5" s="82" t="s">
        <v>1280</v>
      </c>
      <c r="H5" s="82" t="s">
        <v>1223</v>
      </c>
      <c r="I5" s="82" t="s">
        <v>1221</v>
      </c>
      <c r="J5" s="82" t="s">
        <v>1222</v>
      </c>
    </row>
    <row r="6" spans="1:10" customFormat="1" x14ac:dyDescent="0.3">
      <c r="A6" s="5" t="str">
        <f t="shared" ref="A6:D8" si="3">G7</f>
        <v>Heek</v>
      </c>
      <c r="B6" s="5" t="str">
        <f t="shared" si="3"/>
        <v>HKE</v>
      </c>
      <c r="C6" s="5" t="str">
        <f t="shared" si="3"/>
        <v>Merluccius merluccius</v>
      </c>
      <c r="D6" s="5" t="str">
        <f t="shared" si="3"/>
        <v>Hake</v>
      </c>
      <c r="G6" s="82" t="s">
        <v>1095</v>
      </c>
      <c r="H6" s="82" t="s">
        <v>1087</v>
      </c>
      <c r="I6" s="82" t="s">
        <v>1291</v>
      </c>
      <c r="J6" s="82" t="s">
        <v>1289</v>
      </c>
    </row>
    <row r="7" spans="1:10" customFormat="1" x14ac:dyDescent="0.3">
      <c r="A7" s="5" t="str">
        <f t="shared" si="3"/>
        <v>Heilbot</v>
      </c>
      <c r="B7" s="5" t="str">
        <f t="shared" si="3"/>
        <v>HAL</v>
      </c>
      <c r="C7" s="5" t="str">
        <f t="shared" si="3"/>
        <v>Hippoglossus hippoglossus</v>
      </c>
      <c r="D7" s="5" t="str">
        <f t="shared" si="3"/>
        <v>Halibut</v>
      </c>
      <c r="G7" s="82" t="s">
        <v>42</v>
      </c>
      <c r="H7" s="82" t="s">
        <v>1186</v>
      </c>
      <c r="I7" s="82" t="s">
        <v>1185</v>
      </c>
      <c r="J7" s="82" t="s">
        <v>1184</v>
      </c>
    </row>
    <row r="8" spans="1:10" customFormat="1" x14ac:dyDescent="0.3">
      <c r="A8" s="5" t="str">
        <f t="shared" si="3"/>
        <v>Inktvis</v>
      </c>
      <c r="B8" s="5" t="str">
        <f t="shared" si="3"/>
        <v>SQR</v>
      </c>
      <c r="C8" s="5" t="str">
        <f t="shared" si="3"/>
        <v>Loligo vulgaris</v>
      </c>
      <c r="D8" s="5" t="str">
        <f t="shared" si="3"/>
        <v>Squid</v>
      </c>
      <c r="G8" s="82" t="s">
        <v>1096</v>
      </c>
      <c r="H8" s="82" t="s">
        <v>1189</v>
      </c>
      <c r="I8" s="82" t="s">
        <v>1188</v>
      </c>
      <c r="J8" s="82" t="s">
        <v>1187</v>
      </c>
    </row>
    <row r="9" spans="1:10" customFormat="1" x14ac:dyDescent="0.3">
      <c r="A9" s="5" t="str">
        <f t="shared" ref="A9:A19" si="4">G11</f>
        <v>Koolvis</v>
      </c>
      <c r="B9" s="5" t="str">
        <f t="shared" ref="B9:B19" si="5">H11</f>
        <v>POK</v>
      </c>
      <c r="C9" s="5" t="str">
        <f t="shared" ref="C9:C19" si="6">I11</f>
        <v>Pollachius virens</v>
      </c>
      <c r="D9" s="5" t="str">
        <f t="shared" ref="D9:D19" si="7">J11</f>
        <v>Saithe</v>
      </c>
      <c r="G9" s="82" t="s">
        <v>45</v>
      </c>
      <c r="H9" s="82" t="s">
        <v>1274</v>
      </c>
      <c r="I9" s="82" t="s">
        <v>1273</v>
      </c>
      <c r="J9" s="82" t="s">
        <v>1190</v>
      </c>
    </row>
    <row r="10" spans="1:10" customFormat="1" x14ac:dyDescent="0.3">
      <c r="A10" s="5" t="str">
        <f t="shared" si="4"/>
        <v>Krab</v>
      </c>
      <c r="B10" s="5" t="str">
        <f t="shared" si="5"/>
        <v>CRE</v>
      </c>
      <c r="C10" s="5" t="str">
        <f t="shared" si="6"/>
        <v>Cancer pagurus</v>
      </c>
      <c r="D10" s="5" t="str">
        <f t="shared" si="7"/>
        <v>Edible crab</v>
      </c>
      <c r="G10" s="82" t="s">
        <v>1097</v>
      </c>
      <c r="H10" s="82" t="s">
        <v>1084</v>
      </c>
      <c r="I10" s="82" t="s">
        <v>1285</v>
      </c>
      <c r="J10" s="82" t="s">
        <v>1286</v>
      </c>
    </row>
    <row r="11" spans="1:10" customFormat="1" x14ac:dyDescent="0.3">
      <c r="A11" s="5" t="str">
        <f t="shared" si="4"/>
        <v>Krabbenpoten</v>
      </c>
      <c r="B11" s="5" t="str">
        <f t="shared" si="5"/>
        <v xml:space="preserve">CRE </v>
      </c>
      <c r="C11" s="5" t="str">
        <f t="shared" si="6"/>
        <v>Cancer pagurus</v>
      </c>
      <c r="D11" s="5" t="str">
        <f t="shared" si="7"/>
        <v>Edible crab</v>
      </c>
      <c r="G11" s="82" t="s">
        <v>44</v>
      </c>
      <c r="H11" s="82" t="s">
        <v>1193</v>
      </c>
      <c r="I11" s="82" t="s">
        <v>1192</v>
      </c>
      <c r="J11" s="82" t="s">
        <v>1191</v>
      </c>
    </row>
    <row r="12" spans="1:10" customFormat="1" x14ac:dyDescent="0.3">
      <c r="A12" s="5" t="str">
        <f t="shared" si="4"/>
        <v>Kreeft</v>
      </c>
      <c r="B12" s="5" t="str">
        <f t="shared" si="5"/>
        <v>LBE</v>
      </c>
      <c r="C12" s="5" t="str">
        <f t="shared" si="6"/>
        <v>Homarus gammarus</v>
      </c>
      <c r="D12" s="5" t="str">
        <f t="shared" si="7"/>
        <v>Lobster</v>
      </c>
      <c r="G12" s="82" t="s">
        <v>1098</v>
      </c>
      <c r="H12" s="82" t="s">
        <v>1196</v>
      </c>
      <c r="I12" s="82" t="s">
        <v>1194</v>
      </c>
      <c r="J12" s="82" t="s">
        <v>1195</v>
      </c>
    </row>
    <row r="13" spans="1:10" customFormat="1" x14ac:dyDescent="0.3">
      <c r="A13" s="5" t="str">
        <f t="shared" si="4"/>
        <v>Langoestine</v>
      </c>
      <c r="B13" s="5" t="str">
        <f t="shared" si="5"/>
        <v>NEP</v>
      </c>
      <c r="C13" s="5" t="str">
        <f t="shared" si="6"/>
        <v>Nephrops norvegicus</v>
      </c>
      <c r="D13" s="5" t="str">
        <f t="shared" si="7"/>
        <v>Norway lobster</v>
      </c>
      <c r="G13" s="82" t="s">
        <v>1197</v>
      </c>
      <c r="H13" s="82" t="s">
        <v>1278</v>
      </c>
      <c r="I13" s="82" t="s">
        <v>1194</v>
      </c>
      <c r="J13" s="82" t="s">
        <v>1195</v>
      </c>
    </row>
    <row r="14" spans="1:10" customFormat="1" x14ac:dyDescent="0.3">
      <c r="A14" s="5" t="str">
        <f t="shared" si="4"/>
        <v>Leng</v>
      </c>
      <c r="B14" s="5" t="str">
        <f t="shared" si="5"/>
        <v>LIN</v>
      </c>
      <c r="C14" s="5" t="str">
        <f t="shared" si="6"/>
        <v>Molva molva</v>
      </c>
      <c r="D14" s="5" t="str">
        <f t="shared" si="7"/>
        <v>Ling</v>
      </c>
      <c r="G14" s="82" t="s">
        <v>1099</v>
      </c>
      <c r="H14" s="82" t="s">
        <v>1272</v>
      </c>
      <c r="I14" s="82" t="s">
        <v>1271</v>
      </c>
      <c r="J14" s="82" t="s">
        <v>1200</v>
      </c>
    </row>
    <row r="15" spans="1:10" customFormat="1" x14ac:dyDescent="0.3">
      <c r="A15" s="5" t="str">
        <f t="shared" si="4"/>
        <v>Makreel</v>
      </c>
      <c r="B15" s="5" t="str">
        <f t="shared" si="5"/>
        <v>MAC</v>
      </c>
      <c r="C15" s="5" t="str">
        <f t="shared" si="6"/>
        <v>Scomber scombrus</v>
      </c>
      <c r="D15" s="5" t="str">
        <f t="shared" si="7"/>
        <v>Atlantic Mackerel</v>
      </c>
      <c r="G15" s="82" t="s">
        <v>1100</v>
      </c>
      <c r="H15" s="82" t="s">
        <v>1202</v>
      </c>
      <c r="I15" s="82" t="s">
        <v>1201</v>
      </c>
      <c r="J15" s="82" t="s">
        <v>1203</v>
      </c>
    </row>
    <row r="16" spans="1:10" customFormat="1" x14ac:dyDescent="0.3">
      <c r="A16" s="5" t="str">
        <f t="shared" si="4"/>
        <v>Mul</v>
      </c>
      <c r="B16" s="5" t="str">
        <f t="shared" si="5"/>
        <v>MUT</v>
      </c>
      <c r="C16" s="5" t="str">
        <f t="shared" si="6"/>
        <v>Mulus barbatus</v>
      </c>
      <c r="D16" s="5" t="str">
        <f t="shared" si="7"/>
        <v>Red mullet</v>
      </c>
      <c r="G16" s="82" t="s">
        <v>1101</v>
      </c>
      <c r="H16" s="82" t="s">
        <v>1205</v>
      </c>
      <c r="I16" s="82" t="s">
        <v>1204</v>
      </c>
      <c r="J16" s="82" t="s">
        <v>1206</v>
      </c>
    </row>
    <row r="17" spans="1:10" customFormat="1" x14ac:dyDescent="0.3">
      <c r="A17" s="5" t="str">
        <f t="shared" si="4"/>
        <v>Pieterman</v>
      </c>
      <c r="B17" s="5" t="str">
        <f t="shared" si="5"/>
        <v>WEG</v>
      </c>
      <c r="C17" s="5" t="str">
        <f t="shared" si="6"/>
        <v>Trachinus draco</v>
      </c>
      <c r="D17" s="5" t="str">
        <f t="shared" si="7"/>
        <v>Greater Weever</v>
      </c>
      <c r="G17" s="82" t="s">
        <v>40</v>
      </c>
      <c r="H17" s="82" t="s">
        <v>1209</v>
      </c>
      <c r="I17" s="82" t="s">
        <v>1208</v>
      </c>
      <c r="J17" s="82" t="s">
        <v>1207</v>
      </c>
    </row>
    <row r="18" spans="1:10" customFormat="1" x14ac:dyDescent="0.3">
      <c r="A18" s="5" t="str">
        <f t="shared" si="4"/>
        <v>Plashaai/gladde haai</v>
      </c>
      <c r="B18" s="5" t="str">
        <f t="shared" si="5"/>
        <v>SMD</v>
      </c>
      <c r="C18" s="5" t="str">
        <f t="shared" si="6"/>
        <v>Mustelus californicus</v>
      </c>
      <c r="D18" s="5" t="str">
        <f t="shared" si="7"/>
        <v>Common smooth-hound</v>
      </c>
      <c r="G18" s="82" t="s">
        <v>43</v>
      </c>
      <c r="H18" s="82" t="s">
        <v>1212</v>
      </c>
      <c r="I18" s="82" t="s">
        <v>1211</v>
      </c>
      <c r="J18" s="82" t="s">
        <v>1210</v>
      </c>
    </row>
    <row r="19" spans="1:10" customFormat="1" x14ac:dyDescent="0.3">
      <c r="A19" s="5" t="str">
        <f t="shared" si="4"/>
        <v>Rode poon</v>
      </c>
      <c r="B19" s="5" t="str">
        <f t="shared" si="5"/>
        <v>GUR</v>
      </c>
      <c r="C19" s="5" t="str">
        <f t="shared" si="6"/>
        <v>Aspitrigla cuculus</v>
      </c>
      <c r="D19" s="5" t="str">
        <f t="shared" si="7"/>
        <v>Red gurnard</v>
      </c>
      <c r="G19" s="82" t="s">
        <v>1102</v>
      </c>
      <c r="H19" s="82" t="s">
        <v>1215</v>
      </c>
      <c r="I19" s="82" t="s">
        <v>1213</v>
      </c>
      <c r="J19" s="82" t="s">
        <v>1214</v>
      </c>
    </row>
    <row r="20" spans="1:10" customFormat="1" x14ac:dyDescent="0.3">
      <c r="A20" s="5" t="str">
        <f t="shared" ref="A20:D23" si="8">G23</f>
        <v>Ruwe/stekelrog</v>
      </c>
      <c r="B20" s="5" t="str">
        <f t="shared" si="8"/>
        <v>RJC</v>
      </c>
      <c r="C20" s="5" t="str">
        <f t="shared" si="8"/>
        <v>Raja clavata</v>
      </c>
      <c r="D20" s="5" t="str">
        <f t="shared" si="8"/>
        <v>Thornback ray</v>
      </c>
      <c r="G20" s="82" t="s">
        <v>1219</v>
      </c>
      <c r="H20" s="82" t="s">
        <v>1218</v>
      </c>
      <c r="I20" s="82" t="s">
        <v>1216</v>
      </c>
      <c r="J20" s="82" t="s">
        <v>1217</v>
      </c>
    </row>
    <row r="21" spans="1:10" customFormat="1" x14ac:dyDescent="0.3">
      <c r="A21" s="5" t="str">
        <f t="shared" si="8"/>
        <v>Schar</v>
      </c>
      <c r="B21" s="5" t="str">
        <f t="shared" si="8"/>
        <v>DAB</v>
      </c>
      <c r="C21" s="5" t="str">
        <f t="shared" si="8"/>
        <v>Limanda limanda</v>
      </c>
      <c r="D21" s="5" t="str">
        <f t="shared" si="8"/>
        <v>Dab</v>
      </c>
      <c r="G21" s="82" t="s">
        <v>1220</v>
      </c>
      <c r="H21" s="82" t="s">
        <v>1092</v>
      </c>
      <c r="I21" s="82" t="s">
        <v>1093</v>
      </c>
      <c r="J21" s="82" t="s">
        <v>1094</v>
      </c>
    </row>
    <row r="22" spans="1:10" customFormat="1" x14ac:dyDescent="0.3">
      <c r="A22" s="5" t="str">
        <f t="shared" si="8"/>
        <v>Schartong</v>
      </c>
      <c r="B22" s="5" t="str">
        <f t="shared" si="8"/>
        <v>MEG</v>
      </c>
      <c r="C22" s="5" t="str">
        <f t="shared" si="8"/>
        <v>Lepidorhombus whiffiagonis</v>
      </c>
      <c r="D22" s="5" t="str">
        <f t="shared" si="8"/>
        <v>Megrim</v>
      </c>
      <c r="G22" s="82" t="s">
        <v>1165</v>
      </c>
      <c r="H22" s="82" t="s">
        <v>1085</v>
      </c>
      <c r="I22" s="82" t="s">
        <v>1277</v>
      </c>
      <c r="J22" s="82" t="s">
        <v>1290</v>
      </c>
    </row>
    <row r="23" spans="1:10" customFormat="1" x14ac:dyDescent="0.3">
      <c r="A23" s="5" t="str">
        <f t="shared" si="8"/>
        <v>Schelvis</v>
      </c>
      <c r="B23" s="5" t="str">
        <f t="shared" si="8"/>
        <v>HAD</v>
      </c>
      <c r="C23" s="5" t="str">
        <f t="shared" si="8"/>
        <v>Melanogrammus aeglefinus</v>
      </c>
      <c r="D23" s="5" t="str">
        <f t="shared" si="8"/>
        <v>Haddock</v>
      </c>
      <c r="G23" s="82" t="s">
        <v>1279</v>
      </c>
      <c r="H23" s="82" t="s">
        <v>1233</v>
      </c>
      <c r="I23" s="82" t="s">
        <v>1232</v>
      </c>
      <c r="J23" s="82" t="s">
        <v>1231</v>
      </c>
    </row>
    <row r="24" spans="1:10" customFormat="1" x14ac:dyDescent="0.3">
      <c r="A24" s="5" t="str">
        <f t="shared" ref="A24:D26" si="9">G28</f>
        <v>Sint Jacobsschelp</v>
      </c>
      <c r="B24" s="5" t="str">
        <f t="shared" si="9"/>
        <v>SCE</v>
      </c>
      <c r="C24" s="5" t="str">
        <f t="shared" si="9"/>
        <v>Pecten maximus</v>
      </c>
      <c r="D24" s="5" t="str">
        <f t="shared" si="9"/>
        <v>Great Atlantic scallop</v>
      </c>
      <c r="G24" s="82" t="s">
        <v>1104</v>
      </c>
      <c r="H24" s="82" t="s">
        <v>1133</v>
      </c>
      <c r="I24" s="82" t="s">
        <v>1198</v>
      </c>
      <c r="J24" s="82" t="s">
        <v>1199</v>
      </c>
    </row>
    <row r="25" spans="1:10" customFormat="1" x14ac:dyDescent="0.3">
      <c r="A25" s="5" t="str">
        <f t="shared" si="9"/>
        <v>Snotdolf</v>
      </c>
      <c r="B25" s="5" t="str">
        <f t="shared" si="9"/>
        <v>LUM</v>
      </c>
      <c r="C25" s="5" t="str">
        <f t="shared" si="9"/>
        <v>Cyclopterus lumpus</v>
      </c>
      <c r="D25" s="5" t="str">
        <f t="shared" si="9"/>
        <v>Lumpfish</v>
      </c>
      <c r="G25" s="82" t="s">
        <v>1105</v>
      </c>
      <c r="H25" s="82" t="s">
        <v>1252</v>
      </c>
      <c r="I25" s="82" t="s">
        <v>1250</v>
      </c>
      <c r="J25" s="82" t="s">
        <v>1251</v>
      </c>
    </row>
    <row r="26" spans="1:10" customFormat="1" x14ac:dyDescent="0.3">
      <c r="A26" s="5" t="str">
        <f t="shared" si="9"/>
        <v>Steenbolk /steenwijting</v>
      </c>
      <c r="B26" s="5" t="str">
        <f t="shared" si="9"/>
        <v>BIB</v>
      </c>
      <c r="C26" s="5" t="str">
        <f t="shared" si="9"/>
        <v>Trisopterus luscus</v>
      </c>
      <c r="D26" s="5" t="str">
        <f t="shared" si="9"/>
        <v>Pouting</v>
      </c>
      <c r="G26" s="82" t="s">
        <v>41</v>
      </c>
      <c r="H26" s="82" t="s">
        <v>1239</v>
      </c>
      <c r="I26" s="82" t="s">
        <v>1237</v>
      </c>
      <c r="J26" s="82" t="s">
        <v>1238</v>
      </c>
    </row>
    <row r="27" spans="1:10" customFormat="1" x14ac:dyDescent="0.3">
      <c r="A27" s="5" t="str">
        <f t="shared" ref="A27:A35" si="10">G33</f>
        <v>Tongschar</v>
      </c>
      <c r="B27" s="5" t="str">
        <f t="shared" ref="B27:B35" si="11">H33</f>
        <v>LEM</v>
      </c>
      <c r="C27" s="5" t="str">
        <f t="shared" ref="C27:C35" si="12">I33</f>
        <v>Microstomus kitt</v>
      </c>
      <c r="D27" s="5" t="str">
        <f t="shared" ref="D27:D35" si="13">J33</f>
        <v>Lemon sole</v>
      </c>
      <c r="G27" s="82" t="s">
        <v>1106</v>
      </c>
      <c r="H27" s="82" t="s">
        <v>1068</v>
      </c>
      <c r="I27" s="82" t="s">
        <v>1283</v>
      </c>
      <c r="J27" s="82" t="s">
        <v>1284</v>
      </c>
    </row>
    <row r="28" spans="1:10" customFormat="1" x14ac:dyDescent="0.3">
      <c r="A28" s="5" t="str">
        <f t="shared" si="10"/>
        <v>Wijting</v>
      </c>
      <c r="B28" s="5" t="str">
        <f t="shared" si="11"/>
        <v>WGH</v>
      </c>
      <c r="C28" s="5" t="str">
        <f t="shared" si="12"/>
        <v>Merlangius merlangus</v>
      </c>
      <c r="D28" s="5" t="str">
        <f t="shared" si="13"/>
        <v>Whiting</v>
      </c>
      <c r="G28" s="82" t="s">
        <v>1108</v>
      </c>
      <c r="H28" s="82" t="s">
        <v>1245</v>
      </c>
      <c r="I28" s="82" t="s">
        <v>1243</v>
      </c>
      <c r="J28" s="82" t="s">
        <v>1244</v>
      </c>
    </row>
    <row r="29" spans="1:10" customFormat="1" x14ac:dyDescent="0.3">
      <c r="A29" s="5" t="str">
        <f t="shared" si="10"/>
        <v>Wulk</v>
      </c>
      <c r="B29" s="5" t="str">
        <f t="shared" si="11"/>
        <v>WHE</v>
      </c>
      <c r="C29" s="5" t="str">
        <f t="shared" si="12"/>
        <v>Buccinum undatum</v>
      </c>
      <c r="D29" s="5" t="str">
        <f t="shared" si="13"/>
        <v>Whelk</v>
      </c>
      <c r="G29" s="82" t="s">
        <v>1107</v>
      </c>
      <c r="H29" s="82" t="s">
        <v>1242</v>
      </c>
      <c r="I29" s="82" t="s">
        <v>1241</v>
      </c>
      <c r="J29" s="82" t="s">
        <v>1240</v>
      </c>
    </row>
    <row r="30" spans="1:10" customFormat="1" x14ac:dyDescent="0.3">
      <c r="A30" s="5" t="str">
        <f t="shared" si="10"/>
        <v>Zeebaars</v>
      </c>
      <c r="B30" s="5" t="str">
        <f t="shared" si="11"/>
        <v>BSS</v>
      </c>
      <c r="C30" s="5" t="str">
        <f t="shared" si="12"/>
        <v>Dicentrarchus labrax</v>
      </c>
      <c r="D30" s="5" t="str">
        <f t="shared" si="13"/>
        <v>Sea bass</v>
      </c>
      <c r="G30" s="82" t="s">
        <v>1246</v>
      </c>
      <c r="H30" s="82" t="s">
        <v>1249</v>
      </c>
      <c r="I30" s="82" t="s">
        <v>1247</v>
      </c>
      <c r="J30" s="82" t="s">
        <v>1248</v>
      </c>
    </row>
    <row r="31" spans="1:10" customFormat="1" x14ac:dyDescent="0.3">
      <c r="A31" s="5" t="str">
        <f t="shared" si="10"/>
        <v>Zeeduivel</v>
      </c>
      <c r="B31" s="5" t="str">
        <f t="shared" si="11"/>
        <v>MON</v>
      </c>
      <c r="C31" s="5" t="str">
        <f t="shared" si="12"/>
        <v>Lophius piscatorius</v>
      </c>
      <c r="D31" s="5" t="str">
        <f t="shared" si="13"/>
        <v>Monk fish</v>
      </c>
      <c r="G31" s="82" t="s">
        <v>1109</v>
      </c>
      <c r="H31" s="82" t="s">
        <v>1086</v>
      </c>
      <c r="I31" s="82" t="s">
        <v>1287</v>
      </c>
      <c r="J31" s="82" t="s">
        <v>1288</v>
      </c>
    </row>
    <row r="32" spans="1:10" x14ac:dyDescent="0.3">
      <c r="A32" s="5" t="str">
        <f t="shared" si="10"/>
        <v>Zeekat</v>
      </c>
      <c r="B32" s="5" t="str">
        <f t="shared" si="11"/>
        <v>CTC</v>
      </c>
      <c r="C32" s="5" t="str">
        <f t="shared" si="12"/>
        <v>Sepia officinalis</v>
      </c>
      <c r="D32" s="5" t="str">
        <f t="shared" si="13"/>
        <v>Cuttlefish</v>
      </c>
      <c r="G32" s="82" t="s">
        <v>1067</v>
      </c>
      <c r="H32" s="82" t="s">
        <v>1066</v>
      </c>
      <c r="I32" s="82" t="s">
        <v>1281</v>
      </c>
      <c r="J32" s="82" t="s">
        <v>1282</v>
      </c>
    </row>
    <row r="33" spans="1:10" x14ac:dyDescent="0.3">
      <c r="A33" s="5" t="str">
        <f t="shared" si="10"/>
        <v>Zeewolf</v>
      </c>
      <c r="B33" s="5" t="str">
        <f t="shared" si="11"/>
        <v>CAA</v>
      </c>
      <c r="C33" s="5" t="str">
        <f t="shared" si="12"/>
        <v>Anarhichas lupus</v>
      </c>
      <c r="D33" s="5" t="str">
        <f t="shared" si="13"/>
        <v>Wolffish</v>
      </c>
      <c r="G33" s="82" t="s">
        <v>1110</v>
      </c>
      <c r="H33" s="82" t="s">
        <v>1236</v>
      </c>
      <c r="I33" s="82" t="s">
        <v>1234</v>
      </c>
      <c r="J33" s="82" t="s">
        <v>1235</v>
      </c>
    </row>
    <row r="34" spans="1:10" x14ac:dyDescent="0.3">
      <c r="A34" s="5" t="str">
        <f t="shared" si="10"/>
        <v>Zonnevis</v>
      </c>
      <c r="B34" s="5" t="str">
        <f t="shared" si="11"/>
        <v>JOD</v>
      </c>
      <c r="C34" s="5" t="str">
        <f t="shared" si="12"/>
        <v>Zeus faber</v>
      </c>
      <c r="D34" s="5" t="str">
        <f t="shared" si="13"/>
        <v>John dory</v>
      </c>
      <c r="G34" s="82" t="s">
        <v>46</v>
      </c>
      <c r="H34" s="82" t="s">
        <v>1255</v>
      </c>
      <c r="I34" s="82" t="s">
        <v>1254</v>
      </c>
      <c r="J34" s="82" t="s">
        <v>1253</v>
      </c>
    </row>
    <row r="35" spans="1:10" x14ac:dyDescent="0.3">
      <c r="A35" s="5" t="str">
        <f t="shared" si="10"/>
        <v>anders</v>
      </c>
      <c r="B35" s="5" t="str">
        <f t="shared" si="11"/>
        <v>anders</v>
      </c>
      <c r="C35" s="5" t="str">
        <f t="shared" si="12"/>
        <v>-</v>
      </c>
      <c r="D35" s="5" t="str">
        <f t="shared" si="13"/>
        <v>other</v>
      </c>
      <c r="G35" s="82" t="s">
        <v>1111</v>
      </c>
      <c r="H35" s="82" t="s">
        <v>1258</v>
      </c>
      <c r="I35" s="82" t="s">
        <v>1256</v>
      </c>
      <c r="J35" s="82" t="s">
        <v>1257</v>
      </c>
    </row>
    <row r="36" spans="1:10" x14ac:dyDescent="0.3">
      <c r="G36" s="82" t="s">
        <v>39</v>
      </c>
      <c r="H36" s="82" t="s">
        <v>1261</v>
      </c>
      <c r="I36" s="82" t="s">
        <v>1259</v>
      </c>
      <c r="J36" s="82" t="s">
        <v>1260</v>
      </c>
    </row>
    <row r="37" spans="1:10" x14ac:dyDescent="0.3">
      <c r="G37" s="82" t="s">
        <v>1180</v>
      </c>
      <c r="H37" s="82" t="s">
        <v>1183</v>
      </c>
      <c r="I37" s="82" t="s">
        <v>1182</v>
      </c>
      <c r="J37" s="82" t="s">
        <v>1181</v>
      </c>
    </row>
    <row r="38" spans="1:10" customFormat="1" x14ac:dyDescent="0.3">
      <c r="A38" s="48"/>
      <c r="B38" s="48"/>
      <c r="C38" s="48"/>
      <c r="D38" s="48"/>
      <c r="G38" s="82" t="s">
        <v>1112</v>
      </c>
      <c r="H38" s="82" t="s">
        <v>1264</v>
      </c>
      <c r="I38" s="82" t="s">
        <v>1262</v>
      </c>
      <c r="J38" s="82" t="s">
        <v>1263</v>
      </c>
    </row>
    <row r="39" spans="1:10" customFormat="1" x14ac:dyDescent="0.3">
      <c r="A39" s="48"/>
      <c r="B39" s="48"/>
      <c r="C39" s="48"/>
      <c r="D39" s="48"/>
      <c r="G39" s="82" t="s">
        <v>1113</v>
      </c>
      <c r="H39" s="82" t="s">
        <v>1267</v>
      </c>
      <c r="I39" s="82" t="s">
        <v>1265</v>
      </c>
      <c r="J39" s="82" t="s">
        <v>1266</v>
      </c>
    </row>
    <row r="40" spans="1:10" x14ac:dyDescent="0.3">
      <c r="E40"/>
      <c r="G40" s="82" t="s">
        <v>1114</v>
      </c>
      <c r="H40" s="82" t="s">
        <v>1270</v>
      </c>
      <c r="I40" s="82" t="s">
        <v>1268</v>
      </c>
      <c r="J40" s="82" t="s">
        <v>1269</v>
      </c>
    </row>
    <row r="41" spans="1:10" customFormat="1" x14ac:dyDescent="0.3">
      <c r="A41" s="48"/>
      <c r="B41" s="48"/>
      <c r="C41" s="48"/>
      <c r="D41" s="48"/>
      <c r="G41" s="82" t="s">
        <v>1275</v>
      </c>
      <c r="H41" s="82" t="s">
        <v>1275</v>
      </c>
      <c r="I41" s="82" t="s">
        <v>1277</v>
      </c>
      <c r="J41" s="82" t="s">
        <v>1276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B2:M13"/>
  <sheetViews>
    <sheetView workbookViewId="0">
      <selection activeCell="P7" sqref="P7"/>
    </sheetView>
  </sheetViews>
  <sheetFormatPr defaultRowHeight="14.4" x14ac:dyDescent="0.3"/>
  <sheetData>
    <row r="2" spans="2:13" x14ac:dyDescent="0.3"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</row>
    <row r="3" spans="2:13" x14ac:dyDescent="0.3">
      <c r="B3" s="89"/>
      <c r="C3" s="89" t="s">
        <v>1292</v>
      </c>
      <c r="D3" s="89"/>
      <c r="E3" s="89"/>
      <c r="F3" s="89"/>
      <c r="G3" s="89"/>
      <c r="H3" s="89"/>
      <c r="I3" s="89"/>
      <c r="J3" s="89"/>
      <c r="K3" s="89"/>
      <c r="L3" s="89"/>
      <c r="M3" s="89"/>
    </row>
    <row r="4" spans="2:13" x14ac:dyDescent="0.3">
      <c r="B4" s="89"/>
      <c r="C4" s="89" t="s">
        <v>1293</v>
      </c>
      <c r="D4" s="89"/>
      <c r="E4" s="89"/>
      <c r="F4" s="89"/>
      <c r="G4" s="89"/>
      <c r="H4" s="89"/>
      <c r="I4" s="89"/>
      <c r="J4" s="89"/>
      <c r="K4" s="89"/>
      <c r="L4" s="89"/>
      <c r="M4" s="89"/>
    </row>
    <row r="5" spans="2:13" x14ac:dyDescent="0.3"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</row>
    <row r="6" spans="2:13" ht="25.8" x14ac:dyDescent="0.5">
      <c r="B6" s="89"/>
      <c r="C6" s="91" t="s">
        <v>1299</v>
      </c>
      <c r="D6" s="89"/>
      <c r="E6" s="89"/>
      <c r="F6" s="89"/>
      <c r="G6" s="89"/>
      <c r="H6" s="89"/>
      <c r="I6" s="89"/>
      <c r="J6" s="89"/>
      <c r="K6" s="89"/>
      <c r="L6" s="89"/>
      <c r="M6" s="89"/>
    </row>
    <row r="7" spans="2:13" ht="25.8" x14ac:dyDescent="0.5">
      <c r="B7" s="89"/>
      <c r="C7" s="91" t="s">
        <v>1300</v>
      </c>
      <c r="D7" s="89"/>
      <c r="E7" s="89"/>
      <c r="F7" s="89"/>
      <c r="G7" s="89"/>
      <c r="H7" s="89"/>
      <c r="I7" s="89"/>
      <c r="J7" s="89"/>
      <c r="K7" s="89"/>
      <c r="L7" s="89"/>
      <c r="M7" s="89"/>
    </row>
    <row r="8" spans="2:13" x14ac:dyDescent="0.3"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</row>
    <row r="9" spans="2:13" x14ac:dyDescent="0.3"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</row>
    <row r="10" spans="2:13" x14ac:dyDescent="0.3"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</row>
    <row r="11" spans="2:13" x14ac:dyDescent="0.3"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</row>
    <row r="12" spans="2:13" x14ac:dyDescent="0.3"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</row>
    <row r="13" spans="2:13" x14ac:dyDescent="0.3"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eetLeegmaken">
                <anchor moveWithCells="1">
                  <from>
                    <xdr:col>10</xdr:col>
                    <xdr:colOff>419100</xdr:colOff>
                    <xdr:row>7</xdr:row>
                    <xdr:rowOff>152400</xdr:rowOff>
                  </from>
                  <to>
                    <xdr:col>12</xdr:col>
                    <xdr:colOff>228600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5762"/>
  <sheetViews>
    <sheetView workbookViewId="0">
      <selection activeCell="F12" sqref="F12"/>
    </sheetView>
  </sheetViews>
  <sheetFormatPr defaultRowHeight="14.4" x14ac:dyDescent="0.3"/>
  <cols>
    <col min="6" max="12" width="9.21875" style="11"/>
  </cols>
  <sheetData>
    <row r="1" spans="1:12" x14ac:dyDescent="0.3">
      <c r="A1" s="1" t="s">
        <v>5</v>
      </c>
      <c r="B1" s="1" t="s">
        <v>4</v>
      </c>
      <c r="C1" s="1" t="s">
        <v>48</v>
      </c>
      <c r="D1" s="1" t="s">
        <v>49</v>
      </c>
      <c r="F1" s="11" t="s">
        <v>1056</v>
      </c>
      <c r="G1" s="11" t="s">
        <v>1057</v>
      </c>
      <c r="J1"/>
      <c r="K1" s="12" t="s">
        <v>1058</v>
      </c>
      <c r="L1" s="12" t="s">
        <v>1059</v>
      </c>
    </row>
    <row r="2" spans="1:12" x14ac:dyDescent="0.3">
      <c r="A2" t="s">
        <v>50</v>
      </c>
      <c r="B2" t="s">
        <v>33</v>
      </c>
      <c r="C2" t="s">
        <v>51</v>
      </c>
      <c r="D2" t="s">
        <v>52</v>
      </c>
      <c r="F2" s="11">
        <v>-1.9986109999999999</v>
      </c>
      <c r="G2" s="11">
        <v>47.055833</v>
      </c>
      <c r="H2" s="11">
        <v>1</v>
      </c>
      <c r="J2" s="13" t="s">
        <v>1060</v>
      </c>
      <c r="K2" s="14">
        <v>-15</v>
      </c>
      <c r="L2" s="15">
        <v>63</v>
      </c>
    </row>
    <row r="3" spans="1:12" x14ac:dyDescent="0.3">
      <c r="A3" t="s">
        <v>53</v>
      </c>
      <c r="B3" t="s">
        <v>33</v>
      </c>
      <c r="C3" t="s">
        <v>54</v>
      </c>
      <c r="D3" t="s">
        <v>52</v>
      </c>
      <c r="F3" s="11">
        <v>-2.0452780000000002</v>
      </c>
      <c r="G3" s="11">
        <v>47.092500000000001</v>
      </c>
      <c r="H3" s="11">
        <v>1</v>
      </c>
      <c r="J3" s="16"/>
      <c r="K3" s="17">
        <v>-4</v>
      </c>
      <c r="L3" s="18">
        <v>63</v>
      </c>
    </row>
    <row r="4" spans="1:12" x14ac:dyDescent="0.3">
      <c r="A4" t="s">
        <v>55</v>
      </c>
      <c r="B4" t="s">
        <v>31</v>
      </c>
      <c r="C4" t="s">
        <v>56</v>
      </c>
      <c r="D4" t="s">
        <v>52</v>
      </c>
      <c r="F4" s="11">
        <v>-2.11</v>
      </c>
      <c r="G4" s="11">
        <v>47.117221999999998</v>
      </c>
      <c r="H4" s="11">
        <v>1</v>
      </c>
      <c r="J4" s="16"/>
      <c r="K4" s="17">
        <v>-4</v>
      </c>
      <c r="L4" s="18">
        <v>60.5</v>
      </c>
    </row>
    <row r="5" spans="1:12" x14ac:dyDescent="0.3">
      <c r="A5" t="s">
        <v>57</v>
      </c>
      <c r="B5" t="s">
        <v>31</v>
      </c>
      <c r="C5" t="s">
        <v>58</v>
      </c>
      <c r="D5" t="s">
        <v>52</v>
      </c>
      <c r="F5" s="11">
        <v>-2.1958329999999999</v>
      </c>
      <c r="G5" s="11">
        <v>47.128889000000001</v>
      </c>
      <c r="H5" s="11">
        <v>1</v>
      </c>
      <c r="J5" s="16"/>
      <c r="K5" s="17">
        <v>-5</v>
      </c>
      <c r="L5" s="18">
        <v>60.5</v>
      </c>
    </row>
    <row r="6" spans="1:12" x14ac:dyDescent="0.3">
      <c r="A6" t="s">
        <v>59</v>
      </c>
      <c r="B6" t="s">
        <v>31</v>
      </c>
      <c r="C6" t="s">
        <v>60</v>
      </c>
      <c r="D6" t="s">
        <v>52</v>
      </c>
      <c r="F6" s="11">
        <v>-2.2225000000000001</v>
      </c>
      <c r="G6" s="11">
        <v>47.148055999999997</v>
      </c>
      <c r="H6" s="11">
        <v>1</v>
      </c>
      <c r="J6" s="16"/>
      <c r="K6" s="17">
        <v>-5</v>
      </c>
      <c r="L6" s="18">
        <v>60</v>
      </c>
    </row>
    <row r="7" spans="1:12" x14ac:dyDescent="0.3">
      <c r="A7" t="s">
        <v>61</v>
      </c>
      <c r="B7" t="s">
        <v>31</v>
      </c>
      <c r="C7" t="s">
        <v>62</v>
      </c>
      <c r="D7" t="s">
        <v>52</v>
      </c>
      <c r="F7" s="11">
        <v>-2.1594440000000001</v>
      </c>
      <c r="G7" s="11">
        <v>47.171944000000003</v>
      </c>
      <c r="H7" s="11">
        <v>1</v>
      </c>
      <c r="J7" s="16"/>
      <c r="K7" s="17">
        <v>-8</v>
      </c>
      <c r="L7" s="18">
        <v>60</v>
      </c>
    </row>
    <row r="8" spans="1:12" x14ac:dyDescent="0.3">
      <c r="A8" t="s">
        <v>63</v>
      </c>
      <c r="B8" t="s">
        <v>31</v>
      </c>
      <c r="C8" t="s">
        <v>64</v>
      </c>
      <c r="D8" t="s">
        <v>52</v>
      </c>
      <c r="F8" s="11">
        <v>-2.170833</v>
      </c>
      <c r="G8" s="11">
        <v>47.226666999999999</v>
      </c>
      <c r="H8" s="11">
        <v>1</v>
      </c>
      <c r="J8" s="16"/>
      <c r="K8" s="17">
        <v>-8</v>
      </c>
      <c r="L8" s="18">
        <v>60.5</v>
      </c>
    </row>
    <row r="9" spans="1:12" x14ac:dyDescent="0.3">
      <c r="A9" t="s">
        <v>65</v>
      </c>
      <c r="B9" t="s">
        <v>32</v>
      </c>
      <c r="C9" t="s">
        <v>66</v>
      </c>
      <c r="D9" t="s">
        <v>52</v>
      </c>
      <c r="F9" s="11">
        <v>-2.1477780000000002</v>
      </c>
      <c r="G9" s="11">
        <v>47.273888999999997</v>
      </c>
      <c r="H9" s="11">
        <v>1</v>
      </c>
      <c r="J9" s="16"/>
      <c r="K9" s="17">
        <v>-7.5</v>
      </c>
      <c r="L9" s="18">
        <v>60.5</v>
      </c>
    </row>
    <row r="10" spans="1:12" x14ac:dyDescent="0.3">
      <c r="A10" t="s">
        <v>67</v>
      </c>
      <c r="B10" t="s">
        <v>32</v>
      </c>
      <c r="C10" t="s">
        <v>68</v>
      </c>
      <c r="D10" t="s">
        <v>52</v>
      </c>
      <c r="F10" s="11">
        <v>-2.0636109999999999</v>
      </c>
      <c r="G10" s="11">
        <v>47.282778</v>
      </c>
      <c r="H10" s="11">
        <v>1</v>
      </c>
      <c r="J10" s="16"/>
      <c r="K10" s="17">
        <v>-7.5</v>
      </c>
      <c r="L10" s="18">
        <v>61.25</v>
      </c>
    </row>
    <row r="11" spans="1:12" x14ac:dyDescent="0.3">
      <c r="A11" t="s">
        <v>69</v>
      </c>
      <c r="B11" t="s">
        <v>70</v>
      </c>
      <c r="C11" t="s">
        <v>71</v>
      </c>
      <c r="D11" t="s">
        <v>52</v>
      </c>
      <c r="F11" s="11">
        <v>-2.0027780000000002</v>
      </c>
      <c r="G11" s="11">
        <v>47.284166999999997</v>
      </c>
      <c r="H11" s="11">
        <v>1</v>
      </c>
      <c r="J11" s="16"/>
      <c r="K11" s="17">
        <v>-8</v>
      </c>
      <c r="L11" s="18">
        <v>61.5</v>
      </c>
    </row>
    <row r="12" spans="1:12" x14ac:dyDescent="0.3">
      <c r="A12" t="s">
        <v>72</v>
      </c>
      <c r="B12" t="s">
        <v>70</v>
      </c>
      <c r="C12" t="s">
        <v>73</v>
      </c>
      <c r="D12" t="s">
        <v>52</v>
      </c>
      <c r="F12" s="11">
        <v>-1.936944</v>
      </c>
      <c r="G12" s="11">
        <v>47.280833000000001</v>
      </c>
      <c r="H12" s="11">
        <v>1</v>
      </c>
      <c r="J12" s="16"/>
      <c r="K12" s="17">
        <v>-10</v>
      </c>
      <c r="L12" s="18">
        <v>61.5</v>
      </c>
    </row>
    <row r="13" spans="1:12" x14ac:dyDescent="0.3">
      <c r="A13" t="s">
        <v>74</v>
      </c>
      <c r="B13" t="s">
        <v>70</v>
      </c>
      <c r="C13" t="s">
        <v>75</v>
      </c>
      <c r="D13" t="s">
        <v>52</v>
      </c>
      <c r="F13" s="11">
        <v>-1.915556</v>
      </c>
      <c r="G13" s="11">
        <v>47.271388999999999</v>
      </c>
      <c r="H13" s="11">
        <v>1</v>
      </c>
      <c r="J13" s="16"/>
      <c r="K13" s="17">
        <v>-10</v>
      </c>
      <c r="L13" s="18">
        <v>60</v>
      </c>
    </row>
    <row r="14" spans="1:12" x14ac:dyDescent="0.3">
      <c r="A14" t="s">
        <v>76</v>
      </c>
      <c r="B14" t="s">
        <v>70</v>
      </c>
      <c r="C14" t="s">
        <v>77</v>
      </c>
      <c r="D14" t="s">
        <v>52</v>
      </c>
      <c r="F14" s="11">
        <v>-1.868611</v>
      </c>
      <c r="G14" s="11">
        <v>47.240833000000002</v>
      </c>
      <c r="H14" s="11">
        <v>1</v>
      </c>
      <c r="J14" s="16"/>
      <c r="K14" s="17">
        <v>-15</v>
      </c>
      <c r="L14" s="18">
        <v>60</v>
      </c>
    </row>
    <row r="15" spans="1:12" x14ac:dyDescent="0.3">
      <c r="A15" t="s">
        <v>78</v>
      </c>
      <c r="B15" t="s">
        <v>70</v>
      </c>
      <c r="C15" t="s">
        <v>79</v>
      </c>
      <c r="D15" t="s">
        <v>52</v>
      </c>
      <c r="F15" s="11">
        <v>-1.806389</v>
      </c>
      <c r="G15" s="11">
        <v>47.213889000000002</v>
      </c>
      <c r="H15" s="11">
        <v>1</v>
      </c>
      <c r="J15" s="19"/>
      <c r="K15" s="20">
        <v>-15</v>
      </c>
      <c r="L15" s="21">
        <v>63</v>
      </c>
    </row>
    <row r="16" spans="1:12" x14ac:dyDescent="0.3">
      <c r="A16" t="s">
        <v>80</v>
      </c>
      <c r="B16" t="s">
        <v>70</v>
      </c>
      <c r="C16" t="s">
        <v>81</v>
      </c>
      <c r="D16" t="s">
        <v>52</v>
      </c>
      <c r="F16" s="11">
        <v>-1.733889</v>
      </c>
      <c r="G16" s="11">
        <v>47.211944000000003</v>
      </c>
      <c r="H16" s="11">
        <v>1</v>
      </c>
      <c r="J16"/>
      <c r="K16"/>
      <c r="L16"/>
    </row>
    <row r="17" spans="1:12" x14ac:dyDescent="0.3">
      <c r="A17" t="s">
        <v>82</v>
      </c>
      <c r="B17" t="s">
        <v>70</v>
      </c>
      <c r="C17" t="s">
        <v>83</v>
      </c>
      <c r="D17" t="s">
        <v>52</v>
      </c>
      <c r="F17" s="11">
        <v>-1.8094440000000001</v>
      </c>
      <c r="G17" s="11">
        <v>47.232222</v>
      </c>
      <c r="H17" s="11">
        <v>1</v>
      </c>
      <c r="J17" s="13"/>
      <c r="K17" s="14">
        <v>-8</v>
      </c>
      <c r="L17" s="15">
        <v>60</v>
      </c>
    </row>
    <row r="18" spans="1:12" x14ac:dyDescent="0.3">
      <c r="A18" t="s">
        <v>84</v>
      </c>
      <c r="B18" t="s">
        <v>70</v>
      </c>
      <c r="C18" t="s">
        <v>85</v>
      </c>
      <c r="D18" t="s">
        <v>52</v>
      </c>
      <c r="F18" s="11">
        <v>-1.855</v>
      </c>
      <c r="G18" s="11">
        <v>47.269722000000002</v>
      </c>
      <c r="H18" s="11">
        <v>1</v>
      </c>
      <c r="J18" s="16"/>
      <c r="K18" s="17">
        <v>-8</v>
      </c>
      <c r="L18" s="18">
        <v>60.5</v>
      </c>
    </row>
    <row r="19" spans="1:12" x14ac:dyDescent="0.3">
      <c r="A19" t="s">
        <v>86</v>
      </c>
      <c r="B19" t="s">
        <v>70</v>
      </c>
      <c r="C19" t="s">
        <v>87</v>
      </c>
      <c r="D19" t="s">
        <v>52</v>
      </c>
      <c r="F19" s="11">
        <v>-1.9175</v>
      </c>
      <c r="G19" s="11">
        <v>47.295833000000002</v>
      </c>
      <c r="H19" s="11">
        <v>1</v>
      </c>
      <c r="J19" s="16"/>
      <c r="K19" s="17">
        <v>-7.5</v>
      </c>
      <c r="L19" s="18">
        <v>60.5</v>
      </c>
    </row>
    <row r="20" spans="1:12" x14ac:dyDescent="0.3">
      <c r="A20" t="s">
        <v>88</v>
      </c>
      <c r="B20" t="s">
        <v>70</v>
      </c>
      <c r="C20" t="s">
        <v>89</v>
      </c>
      <c r="D20" t="s">
        <v>52</v>
      </c>
      <c r="F20" s="11">
        <v>-1.9824999999999999</v>
      </c>
      <c r="G20" s="11">
        <v>47.31</v>
      </c>
      <c r="H20" s="11">
        <v>1</v>
      </c>
      <c r="J20" s="16"/>
      <c r="K20" s="17">
        <v>-7.5</v>
      </c>
      <c r="L20" s="18">
        <v>61.25</v>
      </c>
    </row>
    <row r="21" spans="1:12" x14ac:dyDescent="0.3">
      <c r="A21" t="s">
        <v>90</v>
      </c>
      <c r="B21" t="s">
        <v>33</v>
      </c>
      <c r="C21" t="s">
        <v>51</v>
      </c>
      <c r="D21" t="s">
        <v>91</v>
      </c>
      <c r="F21" s="11">
        <v>-2.0577779999999999</v>
      </c>
      <c r="G21" s="11">
        <v>47.313611000000002</v>
      </c>
      <c r="H21" s="11">
        <v>1</v>
      </c>
      <c r="J21" s="16"/>
      <c r="K21" s="17">
        <v>-8</v>
      </c>
      <c r="L21" s="18">
        <v>61.5</v>
      </c>
    </row>
    <row r="22" spans="1:12" x14ac:dyDescent="0.3">
      <c r="A22" t="s">
        <v>92</v>
      </c>
      <c r="B22" t="s">
        <v>33</v>
      </c>
      <c r="C22" t="s">
        <v>54</v>
      </c>
      <c r="D22" t="s">
        <v>91</v>
      </c>
      <c r="F22" s="11">
        <v>-2.1441669999999999</v>
      </c>
      <c r="G22" s="11">
        <v>47.313056000000003</v>
      </c>
      <c r="H22" s="11">
        <v>1</v>
      </c>
      <c r="J22" s="16" t="s">
        <v>14</v>
      </c>
      <c r="K22" s="17">
        <v>-10</v>
      </c>
      <c r="L22" s="18">
        <v>61.5</v>
      </c>
    </row>
    <row r="23" spans="1:12" x14ac:dyDescent="0.3">
      <c r="A23" t="s">
        <v>93</v>
      </c>
      <c r="B23" t="s">
        <v>31</v>
      </c>
      <c r="C23" t="s">
        <v>56</v>
      </c>
      <c r="D23" t="s">
        <v>91</v>
      </c>
      <c r="F23" s="11">
        <v>-2.1902780000000002</v>
      </c>
      <c r="G23" s="11">
        <v>47.275278</v>
      </c>
      <c r="H23" s="11">
        <v>1</v>
      </c>
      <c r="J23" s="16"/>
      <c r="K23" s="17">
        <v>-10</v>
      </c>
      <c r="L23" s="18">
        <v>60</v>
      </c>
    </row>
    <row r="24" spans="1:12" x14ac:dyDescent="0.3">
      <c r="A24" t="s">
        <v>94</v>
      </c>
      <c r="B24" t="s">
        <v>31</v>
      </c>
      <c r="C24" t="s">
        <v>58</v>
      </c>
      <c r="D24" t="s">
        <v>91</v>
      </c>
      <c r="F24" s="11">
        <v>-2.2544439999999999</v>
      </c>
      <c r="G24" s="11">
        <v>47.251389000000003</v>
      </c>
      <c r="H24" s="11">
        <v>1</v>
      </c>
      <c r="J24" s="19"/>
      <c r="K24" s="20">
        <v>-8</v>
      </c>
      <c r="L24" s="21">
        <v>60</v>
      </c>
    </row>
    <row r="25" spans="1:12" x14ac:dyDescent="0.3">
      <c r="A25" t="s">
        <v>95</v>
      </c>
      <c r="B25" t="s">
        <v>31</v>
      </c>
      <c r="C25" t="s">
        <v>60</v>
      </c>
      <c r="D25" t="s">
        <v>91</v>
      </c>
      <c r="F25" s="11">
        <v>-2.3177780000000001</v>
      </c>
      <c r="G25" s="11">
        <v>47.250833</v>
      </c>
      <c r="H25" s="11">
        <v>1</v>
      </c>
      <c r="J25"/>
      <c r="K25"/>
      <c r="L25"/>
    </row>
    <row r="26" spans="1:12" x14ac:dyDescent="0.3">
      <c r="A26" t="s">
        <v>96</v>
      </c>
      <c r="B26" t="s">
        <v>31</v>
      </c>
      <c r="C26" t="s">
        <v>62</v>
      </c>
      <c r="D26" t="s">
        <v>91</v>
      </c>
      <c r="F26" s="11">
        <v>-2.3758330000000001</v>
      </c>
      <c r="G26" s="11">
        <v>47.280833000000001</v>
      </c>
      <c r="H26" s="11">
        <v>1</v>
      </c>
      <c r="J26" s="13" t="s">
        <v>1061</v>
      </c>
      <c r="K26" s="14">
        <v>-12</v>
      </c>
      <c r="L26" s="15">
        <v>60</v>
      </c>
    </row>
    <row r="27" spans="1:12" x14ac:dyDescent="0.3">
      <c r="A27" t="s">
        <v>97</v>
      </c>
      <c r="B27" t="s">
        <v>31</v>
      </c>
      <c r="C27" t="s">
        <v>64</v>
      </c>
      <c r="D27" t="s">
        <v>91</v>
      </c>
      <c r="F27" s="11">
        <v>-2.433611</v>
      </c>
      <c r="G27" s="11">
        <v>47.262500000000003</v>
      </c>
      <c r="H27" s="11">
        <v>1</v>
      </c>
      <c r="J27" s="16"/>
      <c r="K27" s="17">
        <v>-5</v>
      </c>
      <c r="L27" s="18">
        <v>60</v>
      </c>
    </row>
    <row r="28" spans="1:12" x14ac:dyDescent="0.3">
      <c r="A28" t="s">
        <v>98</v>
      </c>
      <c r="B28" t="s">
        <v>32</v>
      </c>
      <c r="C28" t="s">
        <v>66</v>
      </c>
      <c r="D28" t="s">
        <v>91</v>
      </c>
      <c r="F28" s="11">
        <v>-2.4980560000000001</v>
      </c>
      <c r="G28" s="11">
        <v>47.283332999999999</v>
      </c>
      <c r="H28" s="11">
        <v>1</v>
      </c>
      <c r="J28" s="16"/>
      <c r="K28" s="17">
        <v>-5</v>
      </c>
      <c r="L28" s="18">
        <v>60.5</v>
      </c>
    </row>
    <row r="29" spans="1:12" x14ac:dyDescent="0.3">
      <c r="A29" t="s">
        <v>99</v>
      </c>
      <c r="B29" t="s">
        <v>32</v>
      </c>
      <c r="C29" t="s">
        <v>68</v>
      </c>
      <c r="D29" t="s">
        <v>91</v>
      </c>
      <c r="F29" s="11">
        <v>-2.5211109999999999</v>
      </c>
      <c r="G29" s="11">
        <v>47.305</v>
      </c>
      <c r="H29" s="11">
        <v>1</v>
      </c>
      <c r="J29" s="16"/>
      <c r="K29" s="17">
        <v>-4</v>
      </c>
      <c r="L29" s="18">
        <v>60.5</v>
      </c>
    </row>
    <row r="30" spans="1:12" x14ac:dyDescent="0.3">
      <c r="A30" t="s">
        <v>100</v>
      </c>
      <c r="B30" t="s">
        <v>30</v>
      </c>
      <c r="C30" t="s">
        <v>71</v>
      </c>
      <c r="D30" t="s">
        <v>91</v>
      </c>
      <c r="F30" s="11">
        <v>-2.4513889999999998</v>
      </c>
      <c r="G30" s="11">
        <v>47.288333000000002</v>
      </c>
      <c r="H30" s="11">
        <v>1</v>
      </c>
      <c r="J30" s="16"/>
      <c r="K30" s="17">
        <v>-4</v>
      </c>
      <c r="L30" s="18">
        <v>58.5</v>
      </c>
    </row>
    <row r="31" spans="1:12" x14ac:dyDescent="0.3">
      <c r="A31" t="s">
        <v>101</v>
      </c>
      <c r="B31" t="s">
        <v>30</v>
      </c>
      <c r="C31" t="s">
        <v>73</v>
      </c>
      <c r="D31" t="s">
        <v>91</v>
      </c>
      <c r="F31" s="11">
        <v>-2.4591669999999999</v>
      </c>
      <c r="G31" s="11">
        <v>47.328611000000002</v>
      </c>
      <c r="H31" s="11">
        <v>1</v>
      </c>
      <c r="J31" s="16"/>
      <c r="K31" s="17"/>
      <c r="L31" s="18"/>
    </row>
    <row r="32" spans="1:12" x14ac:dyDescent="0.3">
      <c r="A32" t="s">
        <v>102</v>
      </c>
      <c r="B32" t="s">
        <v>30</v>
      </c>
      <c r="C32" t="s">
        <v>75</v>
      </c>
      <c r="D32" t="s">
        <v>91</v>
      </c>
      <c r="F32" s="11">
        <v>-2.4944440000000001</v>
      </c>
      <c r="G32" s="11">
        <v>47.318333000000003</v>
      </c>
      <c r="H32" s="11">
        <v>1</v>
      </c>
      <c r="J32" s="16"/>
      <c r="K32" s="17">
        <v>-5</v>
      </c>
      <c r="L32" s="18">
        <v>55</v>
      </c>
    </row>
    <row r="33" spans="1:12" x14ac:dyDescent="0.3">
      <c r="A33" t="s">
        <v>103</v>
      </c>
      <c r="B33" t="s">
        <v>30</v>
      </c>
      <c r="C33" t="s">
        <v>77</v>
      </c>
      <c r="D33" t="s">
        <v>91</v>
      </c>
      <c r="F33" s="11">
        <v>-2.5169440000000001</v>
      </c>
      <c r="G33" s="11">
        <v>47.364722</v>
      </c>
      <c r="H33" s="11">
        <v>1</v>
      </c>
      <c r="J33" s="16"/>
      <c r="K33" s="17">
        <v>-6</v>
      </c>
      <c r="L33" s="18">
        <v>55</v>
      </c>
    </row>
    <row r="34" spans="1:12" x14ac:dyDescent="0.3">
      <c r="A34" t="s">
        <v>104</v>
      </c>
      <c r="B34" t="s">
        <v>30</v>
      </c>
      <c r="C34" t="s">
        <v>79</v>
      </c>
      <c r="D34" t="s">
        <v>91</v>
      </c>
      <c r="F34" s="11">
        <v>-2.5227780000000002</v>
      </c>
      <c r="G34" s="11">
        <v>47.387500000000003</v>
      </c>
      <c r="H34" s="11">
        <v>1</v>
      </c>
      <c r="J34" s="16"/>
      <c r="K34" s="17"/>
      <c r="L34" s="18"/>
    </row>
    <row r="35" spans="1:12" x14ac:dyDescent="0.3">
      <c r="A35" t="s">
        <v>105</v>
      </c>
      <c r="B35" t="s">
        <v>30</v>
      </c>
      <c r="C35" t="s">
        <v>81</v>
      </c>
      <c r="D35" t="s">
        <v>91</v>
      </c>
      <c r="F35" s="11">
        <v>-2.4666670000000002</v>
      </c>
      <c r="G35" s="11">
        <v>47.417499999999997</v>
      </c>
      <c r="H35" s="11">
        <v>1</v>
      </c>
      <c r="J35" s="16"/>
      <c r="K35" s="22">
        <v>-7</v>
      </c>
      <c r="L35" s="18">
        <v>55</v>
      </c>
    </row>
    <row r="36" spans="1:12" x14ac:dyDescent="0.3">
      <c r="A36" t="s">
        <v>106</v>
      </c>
      <c r="B36" t="s">
        <v>30</v>
      </c>
      <c r="C36" t="s">
        <v>83</v>
      </c>
      <c r="D36" t="s">
        <v>91</v>
      </c>
      <c r="F36" s="11">
        <v>-2.4280560000000002</v>
      </c>
      <c r="G36" s="11">
        <v>47.409166999999997</v>
      </c>
      <c r="H36" s="11">
        <v>1</v>
      </c>
      <c r="J36" s="16"/>
      <c r="K36" s="22">
        <v>-7</v>
      </c>
      <c r="L36" s="18">
        <v>56</v>
      </c>
    </row>
    <row r="37" spans="1:12" x14ac:dyDescent="0.3">
      <c r="A37" t="s">
        <v>107</v>
      </c>
      <c r="B37" t="s">
        <v>30</v>
      </c>
      <c r="C37" t="s">
        <v>85</v>
      </c>
      <c r="D37" t="s">
        <v>91</v>
      </c>
      <c r="F37" s="11">
        <v>-2.4063889999999999</v>
      </c>
      <c r="G37" s="11">
        <v>47.421666999999999</v>
      </c>
      <c r="H37" s="11">
        <v>1</v>
      </c>
      <c r="J37" s="16"/>
      <c r="K37" s="22">
        <v>-12</v>
      </c>
      <c r="L37" s="18">
        <v>56</v>
      </c>
    </row>
    <row r="38" spans="1:12" x14ac:dyDescent="0.3">
      <c r="A38" t="s">
        <v>108</v>
      </c>
      <c r="B38" t="s">
        <v>28</v>
      </c>
      <c r="C38" t="s">
        <v>87</v>
      </c>
      <c r="D38" t="s">
        <v>91</v>
      </c>
      <c r="F38" s="11">
        <v>-2.4455559999999998</v>
      </c>
      <c r="G38" s="11">
        <v>47.448056000000001</v>
      </c>
      <c r="H38" s="11">
        <v>1</v>
      </c>
      <c r="J38" s="19"/>
      <c r="K38" s="23">
        <v>-12</v>
      </c>
      <c r="L38" s="21">
        <v>60</v>
      </c>
    </row>
    <row r="39" spans="1:12" x14ac:dyDescent="0.3">
      <c r="A39" t="s">
        <v>109</v>
      </c>
      <c r="B39" t="s">
        <v>28</v>
      </c>
      <c r="C39" t="s">
        <v>89</v>
      </c>
      <c r="D39" t="s">
        <v>91</v>
      </c>
      <c r="F39" s="11">
        <v>-2.4827780000000002</v>
      </c>
      <c r="G39" s="11">
        <v>47.472222000000002</v>
      </c>
      <c r="H39" s="11">
        <v>1</v>
      </c>
      <c r="J39" s="2"/>
      <c r="K39" s="17"/>
      <c r="L39" s="17"/>
    </row>
    <row r="40" spans="1:12" x14ac:dyDescent="0.3">
      <c r="A40" t="s">
        <v>110</v>
      </c>
      <c r="B40" t="s">
        <v>33</v>
      </c>
      <c r="C40" t="s">
        <v>51</v>
      </c>
      <c r="D40" t="s">
        <v>111</v>
      </c>
      <c r="F40" s="11">
        <v>-2.4494440000000002</v>
      </c>
      <c r="G40" s="11">
        <v>47.495277999999999</v>
      </c>
      <c r="H40" s="11">
        <v>1</v>
      </c>
      <c r="J40" s="13" t="s">
        <v>1062</v>
      </c>
      <c r="K40" s="14">
        <v>-8.5</v>
      </c>
      <c r="L40" s="15">
        <v>54.5</v>
      </c>
    </row>
    <row r="41" spans="1:12" x14ac:dyDescent="0.3">
      <c r="A41" t="s">
        <v>112</v>
      </c>
      <c r="B41" t="s">
        <v>33</v>
      </c>
      <c r="C41" t="s">
        <v>54</v>
      </c>
      <c r="D41" t="s">
        <v>111</v>
      </c>
      <c r="F41" s="11">
        <v>-2.3747220000000002</v>
      </c>
      <c r="G41" s="11">
        <v>47.5</v>
      </c>
      <c r="H41" s="11">
        <v>1</v>
      </c>
      <c r="J41" s="16"/>
      <c r="K41" s="22">
        <v>-12</v>
      </c>
      <c r="L41" s="24">
        <v>54.5</v>
      </c>
    </row>
    <row r="42" spans="1:12" x14ac:dyDescent="0.3">
      <c r="A42" t="s">
        <v>113</v>
      </c>
      <c r="B42" t="s">
        <v>31</v>
      </c>
      <c r="C42" t="s">
        <v>56</v>
      </c>
      <c r="D42" t="s">
        <v>111</v>
      </c>
      <c r="F42" s="11">
        <v>-2.4172220000000002</v>
      </c>
      <c r="G42" s="11">
        <v>47.502777999999999</v>
      </c>
      <c r="H42" s="11">
        <v>1</v>
      </c>
      <c r="J42" s="16"/>
      <c r="K42" s="17">
        <v>-12</v>
      </c>
      <c r="L42" s="18">
        <v>56</v>
      </c>
    </row>
    <row r="43" spans="1:12" x14ac:dyDescent="0.3">
      <c r="A43" t="s">
        <v>114</v>
      </c>
      <c r="B43" t="s">
        <v>31</v>
      </c>
      <c r="C43" t="s">
        <v>58</v>
      </c>
      <c r="D43" t="s">
        <v>111</v>
      </c>
      <c r="F43" s="11">
        <v>-2.4938889999999998</v>
      </c>
      <c r="G43" s="11">
        <v>47.521388999999999</v>
      </c>
      <c r="H43" s="11">
        <v>1</v>
      </c>
      <c r="J43" s="16"/>
      <c r="K43" s="17">
        <v>-7</v>
      </c>
      <c r="L43" s="18">
        <v>56</v>
      </c>
    </row>
    <row r="44" spans="1:12" x14ac:dyDescent="0.3">
      <c r="A44" t="s">
        <v>115</v>
      </c>
      <c r="B44" t="s">
        <v>31</v>
      </c>
      <c r="C44" t="s">
        <v>60</v>
      </c>
      <c r="D44" t="s">
        <v>111</v>
      </c>
      <c r="F44" s="11">
        <v>-2.5655559999999999</v>
      </c>
      <c r="G44" s="11">
        <v>47.519167000000003</v>
      </c>
      <c r="H44" s="11">
        <v>1</v>
      </c>
      <c r="J44" s="19"/>
      <c r="K44" s="20">
        <v>-7</v>
      </c>
      <c r="L44" s="21">
        <v>55</v>
      </c>
    </row>
    <row r="45" spans="1:12" x14ac:dyDescent="0.3">
      <c r="A45" t="s">
        <v>116</v>
      </c>
      <c r="B45" t="s">
        <v>31</v>
      </c>
      <c r="C45" t="s">
        <v>62</v>
      </c>
      <c r="D45" t="s">
        <v>111</v>
      </c>
      <c r="F45" s="11">
        <v>-2.6197219999999999</v>
      </c>
      <c r="G45" s="11">
        <v>47.514721999999999</v>
      </c>
      <c r="H45" s="11">
        <v>1</v>
      </c>
      <c r="J45"/>
      <c r="K45"/>
      <c r="L45"/>
    </row>
    <row r="46" spans="1:12" x14ac:dyDescent="0.3">
      <c r="A46" t="s">
        <v>117</v>
      </c>
      <c r="B46" t="s">
        <v>31</v>
      </c>
      <c r="C46" t="s">
        <v>64</v>
      </c>
      <c r="D46" t="s">
        <v>111</v>
      </c>
      <c r="F46" s="11">
        <v>-2.5775000000000001</v>
      </c>
      <c r="G46" s="11">
        <v>47.547778000000001</v>
      </c>
      <c r="H46" s="11">
        <v>1</v>
      </c>
      <c r="J46" s="13" t="s">
        <v>15</v>
      </c>
      <c r="K46" s="14">
        <v>-18</v>
      </c>
      <c r="L46" s="15">
        <v>60</v>
      </c>
    </row>
    <row r="47" spans="1:12" x14ac:dyDescent="0.3">
      <c r="A47" t="s">
        <v>118</v>
      </c>
      <c r="B47" t="s">
        <v>31</v>
      </c>
      <c r="C47" t="s">
        <v>66</v>
      </c>
      <c r="D47" t="s">
        <v>111</v>
      </c>
      <c r="F47" s="11">
        <v>-2.625</v>
      </c>
      <c r="G47" s="11">
        <v>47.534166999999997</v>
      </c>
      <c r="H47" s="11">
        <v>1</v>
      </c>
      <c r="J47" s="25"/>
      <c r="K47" s="17">
        <v>-12</v>
      </c>
      <c r="L47" s="18">
        <v>60</v>
      </c>
    </row>
    <row r="48" spans="1:12" x14ac:dyDescent="0.3">
      <c r="A48" t="s">
        <v>119</v>
      </c>
      <c r="B48" t="s">
        <v>32</v>
      </c>
      <c r="C48" t="s">
        <v>68</v>
      </c>
      <c r="D48" t="s">
        <v>111</v>
      </c>
      <c r="F48" s="11">
        <v>-2.6633330000000002</v>
      </c>
      <c r="G48" s="11">
        <v>47.517499999999998</v>
      </c>
      <c r="H48" s="11">
        <v>1</v>
      </c>
      <c r="J48" s="25"/>
      <c r="K48" s="17">
        <v>-12</v>
      </c>
      <c r="L48" s="18">
        <v>54.5</v>
      </c>
    </row>
    <row r="49" spans="1:12" x14ac:dyDescent="0.3">
      <c r="A49" t="s">
        <v>120</v>
      </c>
      <c r="B49" t="s">
        <v>30</v>
      </c>
      <c r="C49" t="s">
        <v>71</v>
      </c>
      <c r="D49" t="s">
        <v>111</v>
      </c>
      <c r="F49" s="11">
        <v>-2.7208329999999998</v>
      </c>
      <c r="G49" s="11">
        <v>47.507221999999999</v>
      </c>
      <c r="H49" s="11">
        <v>1</v>
      </c>
      <c r="J49" s="25"/>
      <c r="K49" s="17">
        <v>-18</v>
      </c>
      <c r="L49" s="18">
        <v>54.5</v>
      </c>
    </row>
    <row r="50" spans="1:12" x14ac:dyDescent="0.3">
      <c r="A50" t="s">
        <v>121</v>
      </c>
      <c r="B50" t="s">
        <v>30</v>
      </c>
      <c r="C50" t="s">
        <v>73</v>
      </c>
      <c r="D50" t="s">
        <v>111</v>
      </c>
      <c r="F50" s="11">
        <v>-2.793056</v>
      </c>
      <c r="G50" s="11">
        <v>47.488889</v>
      </c>
      <c r="H50" s="11">
        <v>1</v>
      </c>
      <c r="J50" s="26"/>
      <c r="K50" s="20">
        <v>-18</v>
      </c>
      <c r="L50" s="21">
        <v>60</v>
      </c>
    </row>
    <row r="51" spans="1:12" x14ac:dyDescent="0.3">
      <c r="A51" t="s">
        <v>122</v>
      </c>
      <c r="B51" t="s">
        <v>30</v>
      </c>
      <c r="C51" t="s">
        <v>75</v>
      </c>
      <c r="D51" t="s">
        <v>111</v>
      </c>
      <c r="F51" s="11">
        <v>-2.8472219999999999</v>
      </c>
      <c r="G51" s="11">
        <v>47.519722000000002</v>
      </c>
      <c r="H51" s="11">
        <v>1</v>
      </c>
      <c r="J51"/>
      <c r="K51"/>
      <c r="L51"/>
    </row>
    <row r="52" spans="1:12" x14ac:dyDescent="0.3">
      <c r="A52" t="s">
        <v>123</v>
      </c>
      <c r="B52" t="s">
        <v>30</v>
      </c>
      <c r="C52" t="s">
        <v>77</v>
      </c>
      <c r="D52" t="s">
        <v>111</v>
      </c>
      <c r="F52" s="11">
        <v>-2.8977780000000002</v>
      </c>
      <c r="G52" s="11">
        <v>47.547499999999999</v>
      </c>
      <c r="H52" s="11">
        <v>1</v>
      </c>
      <c r="J52" s="13" t="s">
        <v>1063</v>
      </c>
      <c r="K52" s="14">
        <v>-18</v>
      </c>
      <c r="L52" s="15">
        <v>54.5</v>
      </c>
    </row>
    <row r="53" spans="1:12" x14ac:dyDescent="0.3">
      <c r="A53" t="s">
        <v>124</v>
      </c>
      <c r="B53" t="s">
        <v>30</v>
      </c>
      <c r="C53" t="s">
        <v>79</v>
      </c>
      <c r="D53" t="s">
        <v>111</v>
      </c>
      <c r="F53" s="11">
        <v>-2.8688889999999998</v>
      </c>
      <c r="G53" s="11">
        <v>47.562778000000002</v>
      </c>
      <c r="H53" s="11">
        <v>1</v>
      </c>
      <c r="J53" s="25"/>
      <c r="K53" s="17">
        <v>-12</v>
      </c>
      <c r="L53" s="18">
        <v>54.5</v>
      </c>
    </row>
    <row r="54" spans="1:12" x14ac:dyDescent="0.3">
      <c r="A54" t="s">
        <v>125</v>
      </c>
      <c r="B54" t="s">
        <v>30</v>
      </c>
      <c r="C54" t="s">
        <v>81</v>
      </c>
      <c r="D54" t="s">
        <v>111</v>
      </c>
      <c r="F54" s="11">
        <v>-2.816389</v>
      </c>
      <c r="G54" s="11">
        <v>47.546111000000003</v>
      </c>
      <c r="H54" s="11">
        <v>1</v>
      </c>
      <c r="J54" s="25"/>
      <c r="K54" s="17">
        <v>-12</v>
      </c>
      <c r="L54" s="18">
        <v>52.5</v>
      </c>
    </row>
    <row r="55" spans="1:12" x14ac:dyDescent="0.3">
      <c r="A55" t="s">
        <v>126</v>
      </c>
      <c r="B55" t="s">
        <v>30</v>
      </c>
      <c r="C55" t="s">
        <v>83</v>
      </c>
      <c r="D55" t="s">
        <v>111</v>
      </c>
      <c r="F55" s="11">
        <v>-2.7788889999999999</v>
      </c>
      <c r="G55" s="11">
        <v>47.553888999999998</v>
      </c>
      <c r="H55" s="11">
        <v>1</v>
      </c>
      <c r="J55" s="25"/>
      <c r="K55" s="17">
        <v>-18</v>
      </c>
      <c r="L55" s="18">
        <v>52.5</v>
      </c>
    </row>
    <row r="56" spans="1:12" x14ac:dyDescent="0.3">
      <c r="A56" t="s">
        <v>127</v>
      </c>
      <c r="B56" t="s">
        <v>30</v>
      </c>
      <c r="C56" t="s">
        <v>85</v>
      </c>
      <c r="D56" t="s">
        <v>111</v>
      </c>
      <c r="F56" s="11">
        <v>-2.7225000000000001</v>
      </c>
      <c r="G56" s="11">
        <v>47.556111000000001</v>
      </c>
      <c r="H56" s="11">
        <v>1</v>
      </c>
      <c r="J56" s="26"/>
      <c r="K56" s="20">
        <v>-18</v>
      </c>
      <c r="L56" s="21">
        <v>54.5</v>
      </c>
    </row>
    <row r="57" spans="1:12" x14ac:dyDescent="0.3">
      <c r="A57" t="s">
        <v>128</v>
      </c>
      <c r="B57" t="s">
        <v>28</v>
      </c>
      <c r="C57" t="s">
        <v>87</v>
      </c>
      <c r="D57" t="s">
        <v>111</v>
      </c>
      <c r="F57" s="11">
        <v>-2.6916669999999998</v>
      </c>
      <c r="G57" s="11">
        <v>47.592500000000001</v>
      </c>
      <c r="H57" s="11">
        <v>1</v>
      </c>
      <c r="J57"/>
      <c r="K57"/>
      <c r="L57"/>
    </row>
    <row r="58" spans="1:12" x14ac:dyDescent="0.3">
      <c r="A58" t="s">
        <v>129</v>
      </c>
      <c r="B58" t="s">
        <v>28</v>
      </c>
      <c r="C58" t="s">
        <v>89</v>
      </c>
      <c r="D58" t="s">
        <v>111</v>
      </c>
      <c r="F58" s="11">
        <v>-2.704167</v>
      </c>
      <c r="G58" s="11">
        <v>47.638055999999999</v>
      </c>
      <c r="H58" s="11">
        <v>1</v>
      </c>
      <c r="J58" s="27"/>
      <c r="K58" s="14">
        <v>-8.5</v>
      </c>
      <c r="L58" s="15">
        <v>54.5</v>
      </c>
    </row>
    <row r="59" spans="1:12" x14ac:dyDescent="0.3">
      <c r="A59" t="s">
        <v>130</v>
      </c>
      <c r="B59" t="s">
        <v>33</v>
      </c>
      <c r="C59" t="s">
        <v>51</v>
      </c>
      <c r="D59" t="s">
        <v>131</v>
      </c>
      <c r="F59" s="11">
        <v>-2.7061109999999999</v>
      </c>
      <c r="G59" s="11">
        <v>47.607778000000003</v>
      </c>
      <c r="H59" s="11">
        <v>1</v>
      </c>
      <c r="J59" s="16" t="s">
        <v>17</v>
      </c>
      <c r="K59" s="17">
        <v>-12</v>
      </c>
      <c r="L59" s="18">
        <v>54.5</v>
      </c>
    </row>
    <row r="60" spans="1:12" x14ac:dyDescent="0.3">
      <c r="A60" t="s">
        <v>132</v>
      </c>
      <c r="B60" t="s">
        <v>33</v>
      </c>
      <c r="C60" t="s">
        <v>54</v>
      </c>
      <c r="D60" t="s">
        <v>131</v>
      </c>
      <c r="F60" s="11">
        <v>-2.7438889999999998</v>
      </c>
      <c r="G60" s="11">
        <v>47.609444000000003</v>
      </c>
      <c r="H60" s="11">
        <v>1</v>
      </c>
      <c r="J60" s="25"/>
      <c r="K60" s="22">
        <v>-12</v>
      </c>
      <c r="L60" s="24">
        <v>52.5</v>
      </c>
    </row>
    <row r="61" spans="1:12" x14ac:dyDescent="0.3">
      <c r="A61" t="s">
        <v>133</v>
      </c>
      <c r="B61" t="s">
        <v>31</v>
      </c>
      <c r="C61" t="s">
        <v>56</v>
      </c>
      <c r="D61" t="s">
        <v>131</v>
      </c>
      <c r="F61" s="11">
        <v>-2.737222</v>
      </c>
      <c r="G61" s="11">
        <v>47.618889000000003</v>
      </c>
      <c r="H61" s="11">
        <v>1</v>
      </c>
      <c r="J61" s="26"/>
      <c r="K61" s="23">
        <v>-10</v>
      </c>
      <c r="L61" s="28">
        <v>52.5</v>
      </c>
    </row>
    <row r="62" spans="1:12" x14ac:dyDescent="0.3">
      <c r="A62" t="s">
        <v>134</v>
      </c>
      <c r="B62" t="s">
        <v>31</v>
      </c>
      <c r="C62" t="s">
        <v>58</v>
      </c>
      <c r="D62" t="s">
        <v>131</v>
      </c>
      <c r="F62" s="11">
        <v>-2.78</v>
      </c>
      <c r="G62" s="11">
        <v>47.639721999999999</v>
      </c>
      <c r="H62" s="11">
        <v>1</v>
      </c>
      <c r="J62"/>
      <c r="K62"/>
      <c r="L62"/>
    </row>
    <row r="63" spans="1:12" x14ac:dyDescent="0.3">
      <c r="A63" t="s">
        <v>135</v>
      </c>
      <c r="B63" t="s">
        <v>31</v>
      </c>
      <c r="C63" t="s">
        <v>60</v>
      </c>
      <c r="D63" t="s">
        <v>131</v>
      </c>
      <c r="F63" s="11">
        <v>-2.8197220000000001</v>
      </c>
      <c r="G63" s="11">
        <v>47.622222000000001</v>
      </c>
      <c r="H63" s="11">
        <v>1</v>
      </c>
      <c r="J63" s="27"/>
      <c r="K63" s="14">
        <v>-5</v>
      </c>
      <c r="L63" s="15">
        <v>55</v>
      </c>
    </row>
    <row r="64" spans="1:12" x14ac:dyDescent="0.3">
      <c r="A64" t="s">
        <v>136</v>
      </c>
      <c r="B64" t="s">
        <v>31</v>
      </c>
      <c r="C64" t="s">
        <v>62</v>
      </c>
      <c r="D64" t="s">
        <v>131</v>
      </c>
      <c r="F64" s="11">
        <v>-2.869167</v>
      </c>
      <c r="G64" s="11">
        <v>47.603889000000002</v>
      </c>
      <c r="H64" s="11">
        <v>1</v>
      </c>
      <c r="J64" s="16" t="s">
        <v>16</v>
      </c>
      <c r="K64" s="17">
        <v>-6</v>
      </c>
      <c r="L64" s="18">
        <v>55</v>
      </c>
    </row>
    <row r="65" spans="1:12" x14ac:dyDescent="0.3">
      <c r="A65" t="s">
        <v>137</v>
      </c>
      <c r="B65" t="s">
        <v>31</v>
      </c>
      <c r="C65" t="s">
        <v>64</v>
      </c>
      <c r="D65" t="s">
        <v>131</v>
      </c>
      <c r="F65" s="11">
        <v>-2.9186109999999998</v>
      </c>
      <c r="G65" s="11">
        <v>47.591667000000001</v>
      </c>
      <c r="H65" s="11">
        <v>1</v>
      </c>
      <c r="J65" s="25"/>
      <c r="K65" s="17"/>
      <c r="L65" s="18"/>
    </row>
    <row r="66" spans="1:12" x14ac:dyDescent="0.3">
      <c r="A66" t="s">
        <v>138</v>
      </c>
      <c r="B66" t="s">
        <v>31</v>
      </c>
      <c r="C66" t="s">
        <v>66</v>
      </c>
      <c r="D66" t="s">
        <v>131</v>
      </c>
      <c r="F66" s="11">
        <v>-2.9430559999999999</v>
      </c>
      <c r="G66" s="11">
        <v>47.613889</v>
      </c>
      <c r="H66" s="11">
        <v>1</v>
      </c>
      <c r="J66" s="25"/>
      <c r="K66" s="17">
        <v>-5</v>
      </c>
      <c r="L66" s="18">
        <v>52</v>
      </c>
    </row>
    <row r="67" spans="1:12" x14ac:dyDescent="0.3">
      <c r="A67" t="s">
        <v>139</v>
      </c>
      <c r="B67" t="s">
        <v>31</v>
      </c>
      <c r="C67" t="s">
        <v>68</v>
      </c>
      <c r="D67" t="s">
        <v>131</v>
      </c>
      <c r="F67" s="11">
        <v>-2.9652780000000001</v>
      </c>
      <c r="G67" s="11">
        <v>47.650832999999999</v>
      </c>
      <c r="H67" s="11">
        <v>1</v>
      </c>
      <c r="J67" s="26"/>
      <c r="K67" s="20">
        <v>-7.5</v>
      </c>
      <c r="L67" s="21">
        <v>52</v>
      </c>
    </row>
    <row r="68" spans="1:12" x14ac:dyDescent="0.3">
      <c r="A68" t="s">
        <v>140</v>
      </c>
      <c r="B68" t="s">
        <v>30</v>
      </c>
      <c r="C68" t="s">
        <v>71</v>
      </c>
      <c r="D68" t="s">
        <v>131</v>
      </c>
      <c r="F68" s="11">
        <v>-2.9586109999999999</v>
      </c>
      <c r="G68" s="11">
        <v>47.618333</v>
      </c>
      <c r="H68" s="11">
        <v>1</v>
      </c>
      <c r="J68"/>
      <c r="K68"/>
      <c r="L68"/>
    </row>
    <row r="69" spans="1:12" x14ac:dyDescent="0.3">
      <c r="A69" t="s">
        <v>141</v>
      </c>
      <c r="B69" t="s">
        <v>30</v>
      </c>
      <c r="C69" t="s">
        <v>73</v>
      </c>
      <c r="D69" t="s">
        <v>131</v>
      </c>
      <c r="F69" s="11">
        <v>-2.9405559999999999</v>
      </c>
      <c r="G69" s="11">
        <v>47.573889000000001</v>
      </c>
      <c r="H69" s="11">
        <v>1</v>
      </c>
      <c r="J69" s="13" t="s">
        <v>1064</v>
      </c>
      <c r="K69" s="14">
        <v>-18</v>
      </c>
      <c r="L69" s="15">
        <v>52.5</v>
      </c>
    </row>
    <row r="70" spans="1:12" x14ac:dyDescent="0.3">
      <c r="A70" t="s">
        <v>142</v>
      </c>
      <c r="B70" t="s">
        <v>30</v>
      </c>
      <c r="C70" t="s">
        <v>75</v>
      </c>
      <c r="D70" t="s">
        <v>131</v>
      </c>
      <c r="F70" s="11">
        <v>-2.9683329999999999</v>
      </c>
      <c r="G70" s="11">
        <v>47.569167</v>
      </c>
      <c r="H70" s="11">
        <v>1</v>
      </c>
      <c r="J70" s="25"/>
      <c r="K70" s="17">
        <v>-12</v>
      </c>
      <c r="L70" s="18">
        <v>52.5</v>
      </c>
    </row>
    <row r="71" spans="1:12" x14ac:dyDescent="0.3">
      <c r="A71" t="s">
        <v>143</v>
      </c>
      <c r="B71" t="s">
        <v>30</v>
      </c>
      <c r="C71" t="s">
        <v>77</v>
      </c>
      <c r="D71" t="s">
        <v>131</v>
      </c>
      <c r="F71" s="11">
        <v>-2.9908329999999999</v>
      </c>
      <c r="G71" s="11">
        <v>47.573332999999998</v>
      </c>
      <c r="H71" s="11">
        <v>1</v>
      </c>
      <c r="J71" s="25"/>
      <c r="K71" s="17">
        <v>-12</v>
      </c>
      <c r="L71" s="18">
        <v>48</v>
      </c>
    </row>
    <row r="72" spans="1:12" x14ac:dyDescent="0.3">
      <c r="A72" t="s">
        <v>144</v>
      </c>
      <c r="B72" t="s">
        <v>30</v>
      </c>
      <c r="C72" t="s">
        <v>79</v>
      </c>
      <c r="D72" t="s">
        <v>131</v>
      </c>
      <c r="F72" s="11">
        <v>-3.023889</v>
      </c>
      <c r="G72" s="11">
        <v>47.600555999999997</v>
      </c>
      <c r="H72" s="11">
        <v>1</v>
      </c>
      <c r="J72" s="25"/>
      <c r="K72" s="17">
        <v>-18</v>
      </c>
      <c r="L72" s="18">
        <v>48</v>
      </c>
    </row>
    <row r="73" spans="1:12" x14ac:dyDescent="0.3">
      <c r="A73" t="s">
        <v>145</v>
      </c>
      <c r="B73" t="s">
        <v>30</v>
      </c>
      <c r="C73" t="s">
        <v>81</v>
      </c>
      <c r="D73" t="s">
        <v>131</v>
      </c>
      <c r="F73" s="11">
        <v>-3.056667</v>
      </c>
      <c r="G73" s="11">
        <v>47.575277999999997</v>
      </c>
      <c r="H73" s="11">
        <v>1</v>
      </c>
      <c r="J73" s="26"/>
      <c r="K73" s="20">
        <v>-18</v>
      </c>
      <c r="L73" s="21">
        <v>52.5</v>
      </c>
    </row>
    <row r="74" spans="1:12" x14ac:dyDescent="0.3">
      <c r="A74" t="s">
        <v>146</v>
      </c>
      <c r="B74" t="s">
        <v>30</v>
      </c>
      <c r="C74" t="s">
        <v>83</v>
      </c>
      <c r="D74" t="s">
        <v>131</v>
      </c>
      <c r="F74" s="11">
        <v>-3.1005560000000001</v>
      </c>
      <c r="G74" s="11">
        <v>47.588332999999999</v>
      </c>
      <c r="H74" s="11">
        <v>1</v>
      </c>
      <c r="J74"/>
      <c r="K74"/>
      <c r="L74"/>
    </row>
    <row r="75" spans="1:12" x14ac:dyDescent="0.3">
      <c r="A75" t="s">
        <v>147</v>
      </c>
      <c r="B75" t="s">
        <v>28</v>
      </c>
      <c r="C75" t="s">
        <v>85</v>
      </c>
      <c r="D75" t="s">
        <v>131</v>
      </c>
      <c r="F75" s="11">
        <v>-3.1233330000000001</v>
      </c>
      <c r="G75" s="11">
        <v>47.567777999999997</v>
      </c>
      <c r="H75" s="11">
        <v>1</v>
      </c>
      <c r="J75" s="13" t="s">
        <v>1065</v>
      </c>
      <c r="K75" s="14">
        <v>-10</v>
      </c>
      <c r="L75" s="15">
        <v>52.5</v>
      </c>
    </row>
    <row r="76" spans="1:12" x14ac:dyDescent="0.3">
      <c r="A76" t="s">
        <v>148</v>
      </c>
      <c r="B76" t="s">
        <v>28</v>
      </c>
      <c r="C76" t="s">
        <v>87</v>
      </c>
      <c r="D76" t="s">
        <v>131</v>
      </c>
      <c r="F76" s="11">
        <v>-3.119167</v>
      </c>
      <c r="G76" s="11">
        <v>47.508889000000003</v>
      </c>
      <c r="H76" s="11">
        <v>1</v>
      </c>
      <c r="J76" s="25"/>
      <c r="K76" s="17">
        <v>-12</v>
      </c>
      <c r="L76" s="18">
        <v>52.5</v>
      </c>
    </row>
    <row r="77" spans="1:12" x14ac:dyDescent="0.3">
      <c r="A77" t="s">
        <v>149</v>
      </c>
      <c r="B77" t="s">
        <v>28</v>
      </c>
      <c r="C77" t="s">
        <v>89</v>
      </c>
      <c r="D77" t="s">
        <v>131</v>
      </c>
      <c r="F77" s="11">
        <v>-3.088889</v>
      </c>
      <c r="G77" s="11">
        <v>47.473610999999998</v>
      </c>
      <c r="H77" s="11">
        <v>1</v>
      </c>
      <c r="J77" s="25"/>
      <c r="K77" s="17">
        <v>-12</v>
      </c>
      <c r="L77" s="18">
        <v>48</v>
      </c>
    </row>
    <row r="78" spans="1:12" x14ac:dyDescent="0.3">
      <c r="A78" t="s">
        <v>150</v>
      </c>
      <c r="B78" t="s">
        <v>33</v>
      </c>
      <c r="C78" t="s">
        <v>51</v>
      </c>
      <c r="D78" t="s">
        <v>151</v>
      </c>
      <c r="F78" s="11">
        <v>-3.1388889999999998</v>
      </c>
      <c r="G78" s="11">
        <v>47.496943999999999</v>
      </c>
      <c r="H78" s="11">
        <v>1</v>
      </c>
      <c r="J78" s="25"/>
      <c r="K78" s="17">
        <v>-9</v>
      </c>
      <c r="L78" s="18">
        <v>48</v>
      </c>
    </row>
    <row r="79" spans="1:12" x14ac:dyDescent="0.3">
      <c r="A79" t="s">
        <v>152</v>
      </c>
      <c r="B79" t="s">
        <v>33</v>
      </c>
      <c r="C79" t="s">
        <v>54</v>
      </c>
      <c r="D79" t="s">
        <v>151</v>
      </c>
      <c r="F79" s="11">
        <v>-3.1341670000000001</v>
      </c>
      <c r="G79" s="11">
        <v>47.546666999999999</v>
      </c>
      <c r="H79" s="11">
        <v>1</v>
      </c>
      <c r="J79" s="26"/>
      <c r="K79" s="20">
        <v>-9</v>
      </c>
      <c r="L79" s="21">
        <v>51.5</v>
      </c>
    </row>
    <row r="80" spans="1:12" x14ac:dyDescent="0.3">
      <c r="A80" t="s">
        <v>153</v>
      </c>
      <c r="B80" t="s">
        <v>31</v>
      </c>
      <c r="C80" t="s">
        <v>56</v>
      </c>
      <c r="D80" t="s">
        <v>151</v>
      </c>
      <c r="F80" s="11">
        <v>-3.1463890000000001</v>
      </c>
      <c r="G80" s="11">
        <v>47.603056000000002</v>
      </c>
      <c r="H80" s="11">
        <v>1</v>
      </c>
      <c r="J80"/>
      <c r="K80"/>
      <c r="L80"/>
    </row>
    <row r="81" spans="1:12" x14ac:dyDescent="0.3">
      <c r="A81" t="s">
        <v>154</v>
      </c>
      <c r="B81" t="s">
        <v>31</v>
      </c>
      <c r="C81" t="s">
        <v>58</v>
      </c>
      <c r="D81" t="s">
        <v>151</v>
      </c>
      <c r="F81" s="11">
        <v>-3.200278</v>
      </c>
      <c r="G81" s="11">
        <v>47.635556000000001</v>
      </c>
      <c r="H81" s="11">
        <v>1</v>
      </c>
      <c r="J81" s="13"/>
      <c r="K81" s="14">
        <v>-5</v>
      </c>
      <c r="L81" s="15">
        <v>52</v>
      </c>
    </row>
    <row r="82" spans="1:12" x14ac:dyDescent="0.3">
      <c r="A82" t="s">
        <v>155</v>
      </c>
      <c r="B82" t="s">
        <v>31</v>
      </c>
      <c r="C82" t="s">
        <v>60</v>
      </c>
      <c r="D82" t="s">
        <v>151</v>
      </c>
      <c r="F82" s="11">
        <v>-3.1827779999999999</v>
      </c>
      <c r="G82" s="11">
        <v>47.680833</v>
      </c>
      <c r="H82" s="11">
        <v>1</v>
      </c>
      <c r="J82" s="16" t="s">
        <v>23</v>
      </c>
      <c r="K82" s="17">
        <v>-7.5</v>
      </c>
      <c r="L82" s="18">
        <v>52</v>
      </c>
    </row>
    <row r="83" spans="1:12" x14ac:dyDescent="0.3">
      <c r="A83" t="s">
        <v>156</v>
      </c>
      <c r="B83" t="s">
        <v>31</v>
      </c>
      <c r="C83" t="s">
        <v>62</v>
      </c>
      <c r="D83" t="s">
        <v>151</v>
      </c>
      <c r="F83" s="11">
        <v>-3.1124999999999998</v>
      </c>
      <c r="G83" s="11">
        <v>47.698332999999998</v>
      </c>
      <c r="H83" s="11">
        <v>1</v>
      </c>
      <c r="J83" s="25"/>
      <c r="K83" s="17"/>
      <c r="L83" s="18"/>
    </row>
    <row r="84" spans="1:12" x14ac:dyDescent="0.3">
      <c r="A84" t="s">
        <v>157</v>
      </c>
      <c r="B84" t="s">
        <v>31</v>
      </c>
      <c r="C84" t="s">
        <v>64</v>
      </c>
      <c r="D84" t="s">
        <v>151</v>
      </c>
      <c r="F84" s="11">
        <v>-3.1394440000000001</v>
      </c>
      <c r="G84" s="11">
        <v>47.728332999999999</v>
      </c>
      <c r="H84" s="11">
        <v>1</v>
      </c>
      <c r="J84" s="25"/>
      <c r="K84" s="17">
        <v>-9</v>
      </c>
      <c r="L84" s="18">
        <v>51.5</v>
      </c>
    </row>
    <row r="85" spans="1:12" x14ac:dyDescent="0.3">
      <c r="A85" t="s">
        <v>158</v>
      </c>
      <c r="B85" t="s">
        <v>31</v>
      </c>
      <c r="C85" t="s">
        <v>66</v>
      </c>
      <c r="D85" t="s">
        <v>151</v>
      </c>
      <c r="F85" s="11">
        <v>-3.1697220000000002</v>
      </c>
      <c r="G85" s="11">
        <v>47.743611000000001</v>
      </c>
      <c r="H85" s="11">
        <v>1</v>
      </c>
      <c r="J85" s="25"/>
      <c r="K85" s="17">
        <v>-9</v>
      </c>
      <c r="L85" s="18">
        <v>50</v>
      </c>
    </row>
    <row r="86" spans="1:12" x14ac:dyDescent="0.3">
      <c r="A86" t="s">
        <v>159</v>
      </c>
      <c r="B86" t="s">
        <v>31</v>
      </c>
      <c r="C86" t="s">
        <v>68</v>
      </c>
      <c r="D86" t="s">
        <v>151</v>
      </c>
      <c r="F86" s="11">
        <v>-3.165</v>
      </c>
      <c r="G86" s="11">
        <v>47.715555999999999</v>
      </c>
      <c r="H86" s="11">
        <v>1</v>
      </c>
      <c r="J86" s="25"/>
      <c r="K86" s="22">
        <v>-7</v>
      </c>
      <c r="L86" s="18">
        <v>50</v>
      </c>
    </row>
    <row r="87" spans="1:12" x14ac:dyDescent="0.3">
      <c r="A87" t="s">
        <v>160</v>
      </c>
      <c r="B87" t="s">
        <v>30</v>
      </c>
      <c r="C87" t="s">
        <v>71</v>
      </c>
      <c r="D87" t="s">
        <v>151</v>
      </c>
      <c r="F87" s="11">
        <v>-3.2063890000000002</v>
      </c>
      <c r="G87" s="11">
        <v>47.695278000000002</v>
      </c>
      <c r="H87" s="11">
        <v>1</v>
      </c>
      <c r="J87" s="25"/>
      <c r="K87" s="22">
        <v>-7</v>
      </c>
      <c r="L87" s="18">
        <v>50.5</v>
      </c>
    </row>
    <row r="88" spans="1:12" x14ac:dyDescent="0.3">
      <c r="A88" t="s">
        <v>161</v>
      </c>
      <c r="B88" t="s">
        <v>30</v>
      </c>
      <c r="C88" t="s">
        <v>73</v>
      </c>
      <c r="D88" t="s">
        <v>151</v>
      </c>
      <c r="F88" s="11">
        <v>-3.2169439999999998</v>
      </c>
      <c r="G88" s="11">
        <v>47.650556000000002</v>
      </c>
      <c r="H88" s="11">
        <v>1</v>
      </c>
      <c r="J88" s="25"/>
      <c r="K88" s="22">
        <v>-6</v>
      </c>
      <c r="L88" s="18">
        <v>50.5</v>
      </c>
    </row>
    <row r="89" spans="1:12" x14ac:dyDescent="0.3">
      <c r="A89" t="s">
        <v>162</v>
      </c>
      <c r="B89" t="s">
        <v>30</v>
      </c>
      <c r="C89" t="s">
        <v>75</v>
      </c>
      <c r="D89" t="s">
        <v>151</v>
      </c>
      <c r="F89" s="11">
        <v>-3.2744439999999999</v>
      </c>
      <c r="G89" s="11">
        <v>47.680833</v>
      </c>
      <c r="H89" s="11">
        <v>1</v>
      </c>
      <c r="J89" s="25"/>
      <c r="K89" s="22">
        <v>-6</v>
      </c>
      <c r="L89" s="18">
        <v>51</v>
      </c>
    </row>
    <row r="90" spans="1:12" x14ac:dyDescent="0.3">
      <c r="A90" t="s">
        <v>163</v>
      </c>
      <c r="B90" t="s">
        <v>30</v>
      </c>
      <c r="C90" t="s">
        <v>77</v>
      </c>
      <c r="D90" t="s">
        <v>151</v>
      </c>
      <c r="F90" s="11">
        <v>-3.3397220000000001</v>
      </c>
      <c r="G90" s="11">
        <v>47.694721999999999</v>
      </c>
      <c r="H90" s="11">
        <v>1</v>
      </c>
      <c r="J90" s="25"/>
      <c r="K90" s="22">
        <v>-5</v>
      </c>
      <c r="L90" s="18">
        <v>51</v>
      </c>
    </row>
    <row r="91" spans="1:12" x14ac:dyDescent="0.3">
      <c r="A91" t="s">
        <v>164</v>
      </c>
      <c r="B91" t="s">
        <v>30</v>
      </c>
      <c r="C91" t="s">
        <v>79</v>
      </c>
      <c r="D91" t="s">
        <v>151</v>
      </c>
      <c r="F91" s="11">
        <v>-3.3033329999999999</v>
      </c>
      <c r="G91" s="11">
        <v>47.694443999999997</v>
      </c>
      <c r="H91" s="11">
        <v>1</v>
      </c>
      <c r="J91" s="26"/>
      <c r="K91" s="20">
        <v>-5</v>
      </c>
      <c r="L91" s="21">
        <v>51.6</v>
      </c>
    </row>
    <row r="92" spans="1:12" x14ac:dyDescent="0.3">
      <c r="A92" t="s">
        <v>165</v>
      </c>
      <c r="B92" t="s">
        <v>30</v>
      </c>
      <c r="C92" t="s">
        <v>81</v>
      </c>
      <c r="D92" t="s">
        <v>151</v>
      </c>
      <c r="F92" s="11">
        <v>-3.3244440000000002</v>
      </c>
      <c r="G92" s="11">
        <v>47.708610999999998</v>
      </c>
      <c r="H92" s="11">
        <v>1</v>
      </c>
      <c r="J92"/>
      <c r="K92"/>
      <c r="L92"/>
    </row>
    <row r="93" spans="1:12" x14ac:dyDescent="0.3">
      <c r="A93" t="s">
        <v>166</v>
      </c>
      <c r="B93" t="s">
        <v>8</v>
      </c>
      <c r="C93" t="s">
        <v>83</v>
      </c>
      <c r="D93" t="s">
        <v>151</v>
      </c>
      <c r="F93" s="11">
        <v>-3.342222</v>
      </c>
      <c r="G93" s="11">
        <v>47.731943999999999</v>
      </c>
      <c r="H93" s="11">
        <v>1</v>
      </c>
      <c r="J93" s="27"/>
      <c r="K93" s="14">
        <v>-7</v>
      </c>
      <c r="L93" s="15">
        <v>50</v>
      </c>
    </row>
    <row r="94" spans="1:12" x14ac:dyDescent="0.3">
      <c r="A94" t="s">
        <v>167</v>
      </c>
      <c r="B94" t="s">
        <v>8</v>
      </c>
      <c r="C94" t="s">
        <v>85</v>
      </c>
      <c r="D94" t="s">
        <v>151</v>
      </c>
      <c r="F94" s="11">
        <v>-3.2961109999999998</v>
      </c>
      <c r="G94" s="11">
        <v>47.769722000000002</v>
      </c>
      <c r="H94" s="11">
        <v>1</v>
      </c>
      <c r="J94" s="16" t="s">
        <v>24</v>
      </c>
      <c r="K94" s="17">
        <v>-9</v>
      </c>
      <c r="L94" s="18">
        <v>50</v>
      </c>
    </row>
    <row r="95" spans="1:12" x14ac:dyDescent="0.3">
      <c r="A95" t="s">
        <v>168</v>
      </c>
      <c r="B95" t="s">
        <v>8</v>
      </c>
      <c r="C95" t="s">
        <v>87</v>
      </c>
      <c r="D95" t="s">
        <v>151</v>
      </c>
      <c r="F95" s="11">
        <v>-3.3194439999999998</v>
      </c>
      <c r="G95" s="11">
        <v>47.766111000000002</v>
      </c>
      <c r="H95" s="11">
        <v>1</v>
      </c>
      <c r="J95" s="25"/>
      <c r="K95" s="17">
        <v>-9</v>
      </c>
      <c r="L95" s="18">
        <v>48</v>
      </c>
    </row>
    <row r="96" spans="1:12" x14ac:dyDescent="0.3">
      <c r="A96" t="s">
        <v>169</v>
      </c>
      <c r="B96" t="s">
        <v>8</v>
      </c>
      <c r="C96" t="s">
        <v>89</v>
      </c>
      <c r="D96" t="s">
        <v>151</v>
      </c>
      <c r="F96" s="11">
        <v>-3.3725000000000001</v>
      </c>
      <c r="G96" s="11">
        <v>47.736389000000003</v>
      </c>
      <c r="H96" s="11">
        <v>1</v>
      </c>
      <c r="J96" s="25"/>
      <c r="K96" s="17">
        <v>-5</v>
      </c>
      <c r="L96" s="18">
        <v>48</v>
      </c>
    </row>
    <row r="97" spans="1:12" x14ac:dyDescent="0.3">
      <c r="A97" t="s">
        <v>170</v>
      </c>
      <c r="B97" t="s">
        <v>33</v>
      </c>
      <c r="C97" t="s">
        <v>51</v>
      </c>
      <c r="D97" t="s">
        <v>171</v>
      </c>
      <c r="F97" s="11">
        <v>-3.3725000000000001</v>
      </c>
      <c r="G97" s="11">
        <v>47.711666999999998</v>
      </c>
      <c r="H97" s="11">
        <v>1</v>
      </c>
      <c r="J97" s="25"/>
      <c r="K97" s="17">
        <v>-5</v>
      </c>
      <c r="L97" s="18">
        <v>49.5</v>
      </c>
    </row>
    <row r="98" spans="1:12" x14ac:dyDescent="0.3">
      <c r="A98" t="s">
        <v>172</v>
      </c>
      <c r="B98" t="s">
        <v>33</v>
      </c>
      <c r="C98" t="s">
        <v>54</v>
      </c>
      <c r="D98" t="s">
        <v>171</v>
      </c>
      <c r="F98" s="11">
        <v>-3.4525000000000001</v>
      </c>
      <c r="G98" s="11">
        <v>47.701110999999997</v>
      </c>
      <c r="H98" s="11">
        <v>1</v>
      </c>
      <c r="J98" s="25"/>
      <c r="K98" s="17">
        <v>-7</v>
      </c>
      <c r="L98" s="18">
        <v>49.5</v>
      </c>
    </row>
    <row r="99" spans="1:12" x14ac:dyDescent="0.3">
      <c r="A99" t="s">
        <v>173</v>
      </c>
      <c r="B99" t="s">
        <v>31</v>
      </c>
      <c r="C99" t="s">
        <v>56</v>
      </c>
      <c r="D99" t="s">
        <v>171</v>
      </c>
      <c r="F99" s="11">
        <v>-3.4952779999999999</v>
      </c>
      <c r="G99" s="11">
        <v>47.740555999999998</v>
      </c>
      <c r="H99" s="11">
        <v>1</v>
      </c>
      <c r="J99" s="26"/>
      <c r="K99" s="20">
        <v>-7</v>
      </c>
      <c r="L99" s="21">
        <v>50</v>
      </c>
    </row>
    <row r="100" spans="1:12" x14ac:dyDescent="0.3">
      <c r="A100" t="s">
        <v>174</v>
      </c>
      <c r="B100" t="s">
        <v>31</v>
      </c>
      <c r="C100" t="s">
        <v>58</v>
      </c>
      <c r="D100" t="s">
        <v>171</v>
      </c>
      <c r="F100" s="11">
        <v>-3.5388890000000002</v>
      </c>
      <c r="G100" s="11">
        <v>47.768889000000001</v>
      </c>
      <c r="H100" s="11">
        <v>1</v>
      </c>
      <c r="J100"/>
      <c r="K100"/>
      <c r="L100"/>
    </row>
    <row r="101" spans="1:12" x14ac:dyDescent="0.3">
      <c r="A101" t="s">
        <v>175</v>
      </c>
      <c r="B101" t="s">
        <v>31</v>
      </c>
      <c r="C101" t="s">
        <v>60</v>
      </c>
      <c r="D101" t="s">
        <v>171</v>
      </c>
      <c r="F101" s="11">
        <v>-3.6277780000000002</v>
      </c>
      <c r="G101" s="11">
        <v>47.777777999999998</v>
      </c>
      <c r="H101" s="11">
        <v>1</v>
      </c>
      <c r="J101" s="27"/>
      <c r="K101" s="14">
        <v>-5</v>
      </c>
      <c r="L101" s="15">
        <v>51.6</v>
      </c>
    </row>
    <row r="102" spans="1:12" x14ac:dyDescent="0.3">
      <c r="A102" t="s">
        <v>176</v>
      </c>
      <c r="B102" t="s">
        <v>31</v>
      </c>
      <c r="C102" t="s">
        <v>62</v>
      </c>
      <c r="D102" t="s">
        <v>171</v>
      </c>
      <c r="F102" s="11">
        <v>-3.6974999999999998</v>
      </c>
      <c r="G102" s="11">
        <v>47.793610999999999</v>
      </c>
      <c r="H102" s="11">
        <v>1</v>
      </c>
      <c r="J102" s="25"/>
      <c r="K102" s="17">
        <v>-5</v>
      </c>
      <c r="L102" s="18">
        <v>51</v>
      </c>
    </row>
    <row r="103" spans="1:12" x14ac:dyDescent="0.3">
      <c r="A103" t="s">
        <v>177</v>
      </c>
      <c r="B103" t="s">
        <v>31</v>
      </c>
      <c r="C103" t="s">
        <v>64</v>
      </c>
      <c r="D103" t="s">
        <v>171</v>
      </c>
      <c r="F103" s="11">
        <v>-3.7488890000000001</v>
      </c>
      <c r="G103" s="11">
        <v>47.800277999999999</v>
      </c>
      <c r="H103" s="11">
        <v>1</v>
      </c>
      <c r="J103" s="25"/>
      <c r="K103" s="17">
        <v>-6</v>
      </c>
      <c r="L103" s="18">
        <v>51</v>
      </c>
    </row>
    <row r="104" spans="1:12" x14ac:dyDescent="0.3">
      <c r="A104" t="s">
        <v>178</v>
      </c>
      <c r="B104" t="s">
        <v>31</v>
      </c>
      <c r="C104" t="s">
        <v>66</v>
      </c>
      <c r="D104" t="s">
        <v>171</v>
      </c>
      <c r="F104" s="11">
        <v>-3.828611</v>
      </c>
      <c r="G104" s="11">
        <v>47.801389</v>
      </c>
      <c r="H104" s="11">
        <v>1</v>
      </c>
      <c r="J104" s="25"/>
      <c r="K104" s="17">
        <v>-6</v>
      </c>
      <c r="L104" s="18">
        <v>50.5</v>
      </c>
    </row>
    <row r="105" spans="1:12" x14ac:dyDescent="0.3">
      <c r="A105" t="s">
        <v>179</v>
      </c>
      <c r="B105" t="s">
        <v>31</v>
      </c>
      <c r="C105" t="s">
        <v>68</v>
      </c>
      <c r="D105" t="s">
        <v>171</v>
      </c>
      <c r="F105" s="11">
        <v>-3.8719440000000001</v>
      </c>
      <c r="G105" s="11">
        <v>47.821944000000002</v>
      </c>
      <c r="H105" s="11">
        <v>1</v>
      </c>
      <c r="J105" s="25"/>
      <c r="K105" s="22">
        <v>-7</v>
      </c>
      <c r="L105" s="18">
        <v>50.5</v>
      </c>
    </row>
    <row r="106" spans="1:12" x14ac:dyDescent="0.3">
      <c r="A106" t="s">
        <v>180</v>
      </c>
      <c r="B106" t="s">
        <v>29</v>
      </c>
      <c r="C106" t="s">
        <v>71</v>
      </c>
      <c r="D106" t="s">
        <v>171</v>
      </c>
      <c r="F106" s="11">
        <v>-3.9119440000000001</v>
      </c>
      <c r="G106" s="11">
        <v>47.856943999999999</v>
      </c>
      <c r="H106" s="11">
        <v>1</v>
      </c>
      <c r="J106" s="25"/>
      <c r="K106" s="22">
        <v>-7</v>
      </c>
      <c r="L106" s="24">
        <v>49.5</v>
      </c>
    </row>
    <row r="107" spans="1:12" x14ac:dyDescent="0.3">
      <c r="A107" t="s">
        <v>181</v>
      </c>
      <c r="B107" t="s">
        <v>30</v>
      </c>
      <c r="C107" t="s">
        <v>73</v>
      </c>
      <c r="D107" t="s">
        <v>171</v>
      </c>
      <c r="F107" s="11">
        <v>-3.9444439999999998</v>
      </c>
      <c r="G107" s="11">
        <v>47.889443999999997</v>
      </c>
      <c r="H107" s="11">
        <v>1</v>
      </c>
      <c r="J107" s="16" t="s">
        <v>21</v>
      </c>
      <c r="K107" s="17">
        <v>-5</v>
      </c>
      <c r="L107" s="18">
        <v>49.5</v>
      </c>
    </row>
    <row r="108" spans="1:12" x14ac:dyDescent="0.3">
      <c r="A108" t="s">
        <v>182</v>
      </c>
      <c r="B108" t="s">
        <v>30</v>
      </c>
      <c r="C108" t="s">
        <v>75</v>
      </c>
      <c r="D108" t="s">
        <v>171</v>
      </c>
      <c r="F108" s="11">
        <v>-3.9822220000000002</v>
      </c>
      <c r="G108" s="11">
        <v>47.889721999999999</v>
      </c>
      <c r="H108" s="11">
        <v>1</v>
      </c>
      <c r="J108" s="25"/>
      <c r="K108" s="17">
        <v>-5</v>
      </c>
      <c r="L108" s="18">
        <v>48</v>
      </c>
    </row>
    <row r="109" spans="1:12" x14ac:dyDescent="0.3">
      <c r="A109" t="s">
        <v>183</v>
      </c>
      <c r="B109" t="s">
        <v>30</v>
      </c>
      <c r="C109" t="s">
        <v>77</v>
      </c>
      <c r="D109" t="s">
        <v>171</v>
      </c>
      <c r="F109" s="11">
        <v>-4.0172220000000003</v>
      </c>
      <c r="G109" s="11">
        <v>47.851944000000003</v>
      </c>
      <c r="H109" s="11">
        <v>1</v>
      </c>
      <c r="J109" s="25"/>
      <c r="K109" s="17">
        <v>-4.5</v>
      </c>
      <c r="L109" s="18">
        <v>48</v>
      </c>
    </row>
    <row r="110" spans="1:12" x14ac:dyDescent="0.3">
      <c r="A110" t="s">
        <v>184</v>
      </c>
      <c r="B110" t="s">
        <v>30</v>
      </c>
      <c r="C110" t="s">
        <v>79</v>
      </c>
      <c r="D110" t="s">
        <v>171</v>
      </c>
      <c r="F110" s="11">
        <v>-4.0313889999999999</v>
      </c>
      <c r="G110" s="11">
        <v>47.863332999999997</v>
      </c>
      <c r="H110" s="11">
        <v>1</v>
      </c>
      <c r="J110" s="25"/>
      <c r="K110" s="17"/>
      <c r="L110" s="18"/>
    </row>
    <row r="111" spans="1:12" x14ac:dyDescent="0.3">
      <c r="A111" t="s">
        <v>185</v>
      </c>
      <c r="B111" t="s">
        <v>30</v>
      </c>
      <c r="C111" t="s">
        <v>81</v>
      </c>
      <c r="D111" t="s">
        <v>171</v>
      </c>
      <c r="F111" s="11">
        <v>-4.0802779999999998</v>
      </c>
      <c r="G111" s="11">
        <v>47.869444000000001</v>
      </c>
      <c r="H111" s="11">
        <v>1</v>
      </c>
      <c r="J111" s="25"/>
      <c r="K111" s="17">
        <v>-2</v>
      </c>
      <c r="L111" s="18">
        <v>50.6</v>
      </c>
    </row>
    <row r="112" spans="1:12" x14ac:dyDescent="0.3">
      <c r="A112" t="s">
        <v>186</v>
      </c>
      <c r="B112" t="s">
        <v>8</v>
      </c>
      <c r="C112" t="s">
        <v>83</v>
      </c>
      <c r="D112" t="s">
        <v>171</v>
      </c>
      <c r="F112" s="11">
        <v>-4.1261109999999999</v>
      </c>
      <c r="G112" s="11">
        <v>47.898333000000001</v>
      </c>
      <c r="H112" s="11">
        <v>1</v>
      </c>
      <c r="J112" s="26"/>
      <c r="K112" s="20">
        <v>-2</v>
      </c>
      <c r="L112" s="21">
        <v>49.7</v>
      </c>
    </row>
    <row r="113" spans="1:12" x14ac:dyDescent="0.3">
      <c r="A113" t="s">
        <v>187</v>
      </c>
      <c r="B113" t="s">
        <v>8</v>
      </c>
      <c r="C113" t="s">
        <v>85</v>
      </c>
      <c r="D113" t="s">
        <v>171</v>
      </c>
      <c r="F113" s="11">
        <v>-4.1380559999999997</v>
      </c>
      <c r="G113" s="11">
        <v>47.896943999999998</v>
      </c>
      <c r="H113" s="11">
        <v>1</v>
      </c>
      <c r="J113"/>
      <c r="K113"/>
      <c r="L113"/>
    </row>
    <row r="114" spans="1:12" x14ac:dyDescent="0.3">
      <c r="A114" t="s">
        <v>188</v>
      </c>
      <c r="B114" t="s">
        <v>8</v>
      </c>
      <c r="C114" t="s">
        <v>87</v>
      </c>
      <c r="D114" t="s">
        <v>171</v>
      </c>
      <c r="F114" s="11">
        <v>-4.1349999999999998</v>
      </c>
      <c r="G114" s="11">
        <v>47.861666999999997</v>
      </c>
      <c r="H114" s="11">
        <v>1</v>
      </c>
      <c r="J114" s="27"/>
      <c r="K114" s="14">
        <v>-2</v>
      </c>
      <c r="L114" s="15">
        <v>50.6</v>
      </c>
    </row>
    <row r="115" spans="1:12" x14ac:dyDescent="0.3">
      <c r="A115" t="s">
        <v>189</v>
      </c>
      <c r="B115" t="s">
        <v>33</v>
      </c>
      <c r="C115" t="s">
        <v>51</v>
      </c>
      <c r="D115" t="s">
        <v>190</v>
      </c>
      <c r="F115" s="11">
        <v>-4.1827779999999999</v>
      </c>
      <c r="G115" s="11">
        <v>47.881388999999999</v>
      </c>
      <c r="H115" s="11">
        <v>1</v>
      </c>
      <c r="J115" s="16" t="s">
        <v>20</v>
      </c>
      <c r="K115" s="17">
        <v>-2</v>
      </c>
      <c r="L115" s="18">
        <v>49.7</v>
      </c>
    </row>
    <row r="116" spans="1:12" x14ac:dyDescent="0.3">
      <c r="A116" t="s">
        <v>191</v>
      </c>
      <c r="B116" t="s">
        <v>33</v>
      </c>
      <c r="C116" t="s">
        <v>54</v>
      </c>
      <c r="D116" t="s">
        <v>190</v>
      </c>
      <c r="F116" s="11">
        <v>-4.1783330000000003</v>
      </c>
      <c r="G116" s="11">
        <v>47.838889000000002</v>
      </c>
      <c r="H116" s="11">
        <v>1</v>
      </c>
      <c r="J116" s="25"/>
      <c r="K116" s="17"/>
      <c r="L116" s="18"/>
    </row>
    <row r="117" spans="1:12" x14ac:dyDescent="0.3">
      <c r="A117" t="s">
        <v>192</v>
      </c>
      <c r="B117" t="s">
        <v>31</v>
      </c>
      <c r="C117" t="s">
        <v>56</v>
      </c>
      <c r="D117" t="s">
        <v>190</v>
      </c>
      <c r="F117" s="11">
        <v>-4.1827779999999999</v>
      </c>
      <c r="G117" s="11">
        <v>47.804167</v>
      </c>
      <c r="H117" s="11">
        <v>1</v>
      </c>
      <c r="J117" s="25"/>
      <c r="K117" s="17">
        <v>2</v>
      </c>
      <c r="L117" s="18">
        <v>51</v>
      </c>
    </row>
    <row r="118" spans="1:12" x14ac:dyDescent="0.3">
      <c r="A118" t="s">
        <v>193</v>
      </c>
      <c r="B118" t="s">
        <v>31</v>
      </c>
      <c r="C118" t="s">
        <v>58</v>
      </c>
      <c r="D118" t="s">
        <v>190</v>
      </c>
      <c r="F118" s="11">
        <v>-4.269444</v>
      </c>
      <c r="G118" s="11">
        <v>47.795000000000002</v>
      </c>
      <c r="H118" s="11">
        <v>1</v>
      </c>
      <c r="J118" s="26"/>
      <c r="K118" s="20">
        <v>1.2</v>
      </c>
      <c r="L118" s="21">
        <v>51</v>
      </c>
    </row>
    <row r="119" spans="1:12" x14ac:dyDescent="0.3">
      <c r="A119" t="s">
        <v>194</v>
      </c>
      <c r="B119" t="s">
        <v>31</v>
      </c>
      <c r="C119" t="s">
        <v>60</v>
      </c>
      <c r="D119" t="s">
        <v>190</v>
      </c>
      <c r="F119" s="11">
        <v>-4.344722</v>
      </c>
      <c r="G119" s="11">
        <v>47.803888999999998</v>
      </c>
      <c r="H119" s="11">
        <v>1</v>
      </c>
      <c r="J119"/>
      <c r="K119"/>
      <c r="L119"/>
    </row>
    <row r="120" spans="1:12" x14ac:dyDescent="0.3">
      <c r="A120" t="s">
        <v>195</v>
      </c>
      <c r="B120" t="s">
        <v>31</v>
      </c>
      <c r="C120" t="s">
        <v>62</v>
      </c>
      <c r="D120" t="s">
        <v>190</v>
      </c>
      <c r="F120" s="11">
        <v>-4.3533330000000001</v>
      </c>
      <c r="G120" s="11">
        <v>47.834167000000001</v>
      </c>
      <c r="H120" s="11">
        <v>1</v>
      </c>
      <c r="J120" s="13" t="s">
        <v>11</v>
      </c>
      <c r="K120" s="14">
        <v>5</v>
      </c>
      <c r="L120" s="15">
        <v>62</v>
      </c>
    </row>
    <row r="121" spans="1:12" x14ac:dyDescent="0.3">
      <c r="A121" t="s">
        <v>196</v>
      </c>
      <c r="B121" t="s">
        <v>31</v>
      </c>
      <c r="C121" t="s">
        <v>64</v>
      </c>
      <c r="D121" t="s">
        <v>190</v>
      </c>
      <c r="F121" s="11">
        <v>-4.3577779999999997</v>
      </c>
      <c r="G121" s="11">
        <v>47.884999999999998</v>
      </c>
      <c r="H121" s="11">
        <v>1</v>
      </c>
      <c r="J121" s="25"/>
      <c r="K121" s="17">
        <v>-4</v>
      </c>
      <c r="L121" s="18">
        <v>62</v>
      </c>
    </row>
    <row r="122" spans="1:12" x14ac:dyDescent="0.3">
      <c r="A122" t="s">
        <v>197</v>
      </c>
      <c r="B122" t="s">
        <v>31</v>
      </c>
      <c r="C122" t="s">
        <v>66</v>
      </c>
      <c r="D122" t="s">
        <v>190</v>
      </c>
      <c r="F122" s="11">
        <v>-4.3902780000000003</v>
      </c>
      <c r="G122" s="11">
        <v>47.931111000000001</v>
      </c>
      <c r="H122" s="11">
        <v>1</v>
      </c>
      <c r="J122" s="25"/>
      <c r="K122" s="17">
        <v>-4</v>
      </c>
      <c r="L122" s="18">
        <v>58.5</v>
      </c>
    </row>
    <row r="123" spans="1:12" x14ac:dyDescent="0.3">
      <c r="A123" t="s">
        <v>198</v>
      </c>
      <c r="B123" t="s">
        <v>31</v>
      </c>
      <c r="C123" t="s">
        <v>68</v>
      </c>
      <c r="D123" t="s">
        <v>190</v>
      </c>
      <c r="F123" s="11">
        <v>-4.4325000000000001</v>
      </c>
      <c r="G123" s="11">
        <v>47.97</v>
      </c>
      <c r="H123" s="11">
        <v>1</v>
      </c>
      <c r="J123" s="25"/>
      <c r="K123" s="17"/>
      <c r="L123" s="18"/>
    </row>
    <row r="124" spans="1:12" x14ac:dyDescent="0.3">
      <c r="A124" t="s">
        <v>199</v>
      </c>
      <c r="B124" t="s">
        <v>29</v>
      </c>
      <c r="C124" t="s">
        <v>71</v>
      </c>
      <c r="D124" t="s">
        <v>190</v>
      </c>
      <c r="F124" s="11">
        <v>-4.4877779999999996</v>
      </c>
      <c r="G124" s="11">
        <v>48.001944000000002</v>
      </c>
      <c r="H124" s="11">
        <v>1</v>
      </c>
      <c r="J124" s="25"/>
      <c r="K124" s="17">
        <v>-1.8</v>
      </c>
      <c r="L124" s="18">
        <v>57.5</v>
      </c>
    </row>
    <row r="125" spans="1:12" x14ac:dyDescent="0.3">
      <c r="A125" t="s">
        <v>200</v>
      </c>
      <c r="B125" t="s">
        <v>30</v>
      </c>
      <c r="C125" t="s">
        <v>73</v>
      </c>
      <c r="D125" t="s">
        <v>190</v>
      </c>
      <c r="F125" s="11">
        <v>-4.5452779999999997</v>
      </c>
      <c r="G125" s="11">
        <v>48.015000000000001</v>
      </c>
      <c r="H125" s="11">
        <v>1</v>
      </c>
      <c r="J125" s="25"/>
      <c r="K125" s="17">
        <v>7</v>
      </c>
      <c r="L125" s="18">
        <v>57.5</v>
      </c>
    </row>
    <row r="126" spans="1:12" x14ac:dyDescent="0.3">
      <c r="A126" t="s">
        <v>201</v>
      </c>
      <c r="B126" t="s">
        <v>30</v>
      </c>
      <c r="C126" t="s">
        <v>75</v>
      </c>
      <c r="D126" t="s">
        <v>190</v>
      </c>
      <c r="F126" s="11">
        <v>-4.6058329999999996</v>
      </c>
      <c r="G126" s="11">
        <v>48.020833000000003</v>
      </c>
      <c r="H126" s="11">
        <v>1</v>
      </c>
      <c r="J126" s="26"/>
      <c r="K126" s="20">
        <v>7</v>
      </c>
      <c r="L126" s="21">
        <v>58</v>
      </c>
    </row>
    <row r="127" spans="1:12" x14ac:dyDescent="0.3">
      <c r="A127" t="s">
        <v>202</v>
      </c>
      <c r="B127" t="s">
        <v>30</v>
      </c>
      <c r="C127" t="s">
        <v>77</v>
      </c>
      <c r="D127" t="s">
        <v>190</v>
      </c>
      <c r="F127" s="11">
        <v>-4.6825000000000001</v>
      </c>
      <c r="G127" s="11">
        <v>48.03</v>
      </c>
      <c r="H127" s="11">
        <v>1</v>
      </c>
      <c r="J127"/>
      <c r="K127"/>
      <c r="L127"/>
    </row>
    <row r="128" spans="1:12" x14ac:dyDescent="0.3">
      <c r="A128" t="s">
        <v>203</v>
      </c>
      <c r="B128" t="s">
        <v>30</v>
      </c>
      <c r="C128" t="s">
        <v>79</v>
      </c>
      <c r="D128" t="s">
        <v>190</v>
      </c>
      <c r="H128" s="11">
        <v>1</v>
      </c>
      <c r="J128" s="13" t="s">
        <v>12</v>
      </c>
      <c r="K128" s="14">
        <v>9</v>
      </c>
      <c r="L128" s="15">
        <v>57</v>
      </c>
    </row>
    <row r="129" spans="1:12" x14ac:dyDescent="0.3">
      <c r="A129" t="s">
        <v>204</v>
      </c>
      <c r="B129" t="s">
        <v>8</v>
      </c>
      <c r="C129" t="s">
        <v>81</v>
      </c>
      <c r="D129" t="s">
        <v>190</v>
      </c>
      <c r="F129" s="11">
        <v>-4.6847219999999998</v>
      </c>
      <c r="G129" s="11">
        <v>48.066943999999999</v>
      </c>
      <c r="H129" s="11">
        <v>1</v>
      </c>
      <c r="J129" s="25"/>
      <c r="K129" s="17">
        <v>8</v>
      </c>
      <c r="L129" s="18">
        <v>57</v>
      </c>
    </row>
    <row r="130" spans="1:12" x14ac:dyDescent="0.3">
      <c r="A130" t="s">
        <v>205</v>
      </c>
      <c r="B130" t="s">
        <v>8</v>
      </c>
      <c r="C130" t="s">
        <v>83</v>
      </c>
      <c r="D130" t="s">
        <v>190</v>
      </c>
      <c r="F130" s="11">
        <v>-4.6038889999999997</v>
      </c>
      <c r="G130" s="11">
        <v>48.076110999999997</v>
      </c>
      <c r="H130" s="11">
        <v>1</v>
      </c>
      <c r="J130" s="25"/>
      <c r="K130" s="17">
        <v>7</v>
      </c>
      <c r="L130" s="18">
        <v>57.5</v>
      </c>
    </row>
    <row r="131" spans="1:12" x14ac:dyDescent="0.3">
      <c r="A131" t="s">
        <v>206</v>
      </c>
      <c r="B131" t="s">
        <v>8</v>
      </c>
      <c r="C131" t="s">
        <v>85</v>
      </c>
      <c r="D131" t="s">
        <v>190</v>
      </c>
      <c r="F131" s="11">
        <v>-4.5288890000000004</v>
      </c>
      <c r="G131" s="11">
        <v>48.088332999999999</v>
      </c>
      <c r="H131" s="11">
        <v>1</v>
      </c>
      <c r="J131" s="25"/>
      <c r="K131" s="17">
        <v>-1.8</v>
      </c>
      <c r="L131" s="18">
        <v>57.5</v>
      </c>
    </row>
    <row r="132" spans="1:12" x14ac:dyDescent="0.3">
      <c r="A132" t="s">
        <v>207</v>
      </c>
      <c r="B132" t="s">
        <v>8</v>
      </c>
      <c r="C132" t="s">
        <v>87</v>
      </c>
      <c r="D132" t="s">
        <v>190</v>
      </c>
      <c r="F132" s="11">
        <v>-4.4486109999999996</v>
      </c>
      <c r="G132" s="11">
        <v>48.100555999999997</v>
      </c>
      <c r="H132" s="11">
        <v>1</v>
      </c>
      <c r="J132" s="25"/>
      <c r="K132" s="17"/>
      <c r="L132" s="18"/>
    </row>
    <row r="133" spans="1:12" x14ac:dyDescent="0.3">
      <c r="A133" t="s">
        <v>208</v>
      </c>
      <c r="B133" t="s">
        <v>33</v>
      </c>
      <c r="C133" t="s">
        <v>51</v>
      </c>
      <c r="D133" t="s">
        <v>209</v>
      </c>
      <c r="F133" s="11">
        <v>-4.365278</v>
      </c>
      <c r="G133" s="11">
        <v>48.112499999999997</v>
      </c>
      <c r="H133" s="11">
        <v>1</v>
      </c>
      <c r="J133" s="25"/>
      <c r="K133" s="17">
        <v>0.2</v>
      </c>
      <c r="L133" s="18">
        <v>53.5</v>
      </c>
    </row>
    <row r="134" spans="1:12" x14ac:dyDescent="0.3">
      <c r="A134" t="s">
        <v>210</v>
      </c>
      <c r="B134" t="s">
        <v>33</v>
      </c>
      <c r="C134" t="s">
        <v>54</v>
      </c>
      <c r="D134" t="s">
        <v>209</v>
      </c>
      <c r="F134" s="11">
        <v>-4.2916670000000003</v>
      </c>
      <c r="G134" s="11">
        <v>48.101388999999998</v>
      </c>
      <c r="H134" s="11">
        <v>1</v>
      </c>
      <c r="J134" s="26"/>
      <c r="K134" s="20">
        <v>7</v>
      </c>
      <c r="L134" s="21">
        <v>53.5</v>
      </c>
    </row>
    <row r="135" spans="1:12" x14ac:dyDescent="0.3">
      <c r="A135" t="s">
        <v>211</v>
      </c>
      <c r="B135" t="s">
        <v>31</v>
      </c>
      <c r="C135" t="s">
        <v>56</v>
      </c>
      <c r="D135" t="s">
        <v>209</v>
      </c>
      <c r="F135" s="11">
        <v>-4.2769440000000003</v>
      </c>
      <c r="G135" s="11">
        <v>48.155555999999997</v>
      </c>
      <c r="H135" s="11">
        <v>1</v>
      </c>
      <c r="J135"/>
      <c r="K135"/>
      <c r="L135"/>
    </row>
    <row r="136" spans="1:12" x14ac:dyDescent="0.3">
      <c r="A136" t="s">
        <v>212</v>
      </c>
      <c r="B136" t="s">
        <v>31</v>
      </c>
      <c r="C136" t="s">
        <v>58</v>
      </c>
      <c r="D136" t="s">
        <v>209</v>
      </c>
      <c r="F136" s="11">
        <v>-4.3102780000000003</v>
      </c>
      <c r="G136" s="11">
        <v>48.201388999999999</v>
      </c>
      <c r="H136" s="11">
        <v>1</v>
      </c>
      <c r="J136" s="13" t="s">
        <v>13</v>
      </c>
      <c r="K136" s="14">
        <v>0.2</v>
      </c>
      <c r="L136" s="15">
        <v>53.5</v>
      </c>
    </row>
    <row r="137" spans="1:12" x14ac:dyDescent="0.3">
      <c r="A137" t="s">
        <v>213</v>
      </c>
      <c r="B137" t="s">
        <v>31</v>
      </c>
      <c r="C137" t="s">
        <v>60</v>
      </c>
      <c r="D137" t="s">
        <v>209</v>
      </c>
      <c r="F137" s="11">
        <v>-4.3747220000000002</v>
      </c>
      <c r="G137" s="11">
        <v>48.220278</v>
      </c>
      <c r="H137" s="11">
        <v>1</v>
      </c>
      <c r="J137" s="25"/>
      <c r="K137" s="17">
        <v>7</v>
      </c>
      <c r="L137" s="18">
        <v>53.5</v>
      </c>
    </row>
    <row r="138" spans="1:12" x14ac:dyDescent="0.3">
      <c r="A138" t="s">
        <v>214</v>
      </c>
      <c r="B138" t="s">
        <v>31</v>
      </c>
      <c r="C138" t="s">
        <v>62</v>
      </c>
      <c r="D138" t="s">
        <v>209</v>
      </c>
      <c r="F138" s="11">
        <v>-4.4311109999999996</v>
      </c>
      <c r="G138" s="11">
        <v>48.240555999999998</v>
      </c>
      <c r="H138" s="11">
        <v>1</v>
      </c>
      <c r="J138" s="25"/>
      <c r="K138" s="17"/>
      <c r="L138" s="18"/>
    </row>
    <row r="139" spans="1:12" x14ac:dyDescent="0.3">
      <c r="A139" t="s">
        <v>215</v>
      </c>
      <c r="B139" t="s">
        <v>31</v>
      </c>
      <c r="C139" t="s">
        <v>64</v>
      </c>
      <c r="D139" t="s">
        <v>209</v>
      </c>
      <c r="F139" s="11">
        <v>-4.4938890000000002</v>
      </c>
      <c r="G139" s="11">
        <v>48.225555999999997</v>
      </c>
      <c r="H139" s="11">
        <v>1</v>
      </c>
      <c r="J139" s="25"/>
      <c r="K139" s="17">
        <v>2</v>
      </c>
      <c r="L139" s="18">
        <v>51</v>
      </c>
    </row>
    <row r="140" spans="1:12" x14ac:dyDescent="0.3">
      <c r="A140" t="s">
        <v>216</v>
      </c>
      <c r="B140" t="s">
        <v>31</v>
      </c>
      <c r="C140" t="s">
        <v>66</v>
      </c>
      <c r="D140" t="s">
        <v>209</v>
      </c>
      <c r="F140" s="11">
        <v>-4.5330560000000002</v>
      </c>
      <c r="G140" s="11">
        <v>48.182499999999997</v>
      </c>
      <c r="H140" s="11">
        <v>1</v>
      </c>
      <c r="J140" s="26"/>
      <c r="K140" s="20">
        <v>1.2</v>
      </c>
      <c r="L140" s="21">
        <v>51</v>
      </c>
    </row>
    <row r="141" spans="1:12" x14ac:dyDescent="0.3">
      <c r="A141" t="s">
        <v>217</v>
      </c>
      <c r="B141" t="s">
        <v>31</v>
      </c>
      <c r="C141" t="s">
        <v>68</v>
      </c>
      <c r="D141" t="s">
        <v>209</v>
      </c>
      <c r="F141" s="11">
        <v>-4.5480559999999999</v>
      </c>
      <c r="G141" s="11">
        <v>48.207777999999998</v>
      </c>
      <c r="H141" s="11">
        <v>1</v>
      </c>
      <c r="J141"/>
      <c r="K141"/>
      <c r="L141"/>
    </row>
    <row r="142" spans="1:12" x14ac:dyDescent="0.3">
      <c r="A142" t="s">
        <v>218</v>
      </c>
      <c r="B142" t="s">
        <v>29</v>
      </c>
      <c r="C142" t="s">
        <v>71</v>
      </c>
      <c r="D142" t="s">
        <v>209</v>
      </c>
      <c r="F142" s="11">
        <v>-4.5427780000000002</v>
      </c>
      <c r="G142" s="11">
        <v>48.250833</v>
      </c>
      <c r="H142" s="11">
        <v>1</v>
      </c>
    </row>
    <row r="143" spans="1:12" x14ac:dyDescent="0.3">
      <c r="A143" t="s">
        <v>219</v>
      </c>
      <c r="B143" t="s">
        <v>30</v>
      </c>
      <c r="C143" t="s">
        <v>73</v>
      </c>
      <c r="D143" t="s">
        <v>209</v>
      </c>
      <c r="F143" s="11">
        <v>-4.6080560000000004</v>
      </c>
      <c r="G143" s="11">
        <v>48.266388999999997</v>
      </c>
      <c r="H143" s="11">
        <v>1</v>
      </c>
    </row>
    <row r="144" spans="1:12" x14ac:dyDescent="0.3">
      <c r="A144" t="s">
        <v>220</v>
      </c>
      <c r="B144" t="s">
        <v>30</v>
      </c>
      <c r="C144" t="s">
        <v>75</v>
      </c>
      <c r="D144" t="s">
        <v>209</v>
      </c>
      <c r="F144" s="11">
        <v>-4.598611</v>
      </c>
      <c r="G144" s="11">
        <v>48.284999999999997</v>
      </c>
      <c r="H144" s="11">
        <v>1</v>
      </c>
    </row>
    <row r="145" spans="1:8" x14ac:dyDescent="0.3">
      <c r="A145" t="s">
        <v>221</v>
      </c>
      <c r="B145" t="s">
        <v>8</v>
      </c>
      <c r="C145" t="s">
        <v>77</v>
      </c>
      <c r="D145" t="s">
        <v>209</v>
      </c>
      <c r="F145" s="11">
        <v>-4.5797220000000003</v>
      </c>
      <c r="G145" s="11">
        <v>48.323056000000001</v>
      </c>
      <c r="H145" s="11">
        <v>1</v>
      </c>
    </row>
    <row r="146" spans="1:8" x14ac:dyDescent="0.3">
      <c r="A146" t="s">
        <v>222</v>
      </c>
      <c r="B146" t="s">
        <v>8</v>
      </c>
      <c r="C146" t="s">
        <v>79</v>
      </c>
      <c r="D146" t="s">
        <v>209</v>
      </c>
      <c r="F146" s="11">
        <v>-4.536111</v>
      </c>
      <c r="G146" s="11">
        <v>48.331944</v>
      </c>
      <c r="H146" s="11">
        <v>1</v>
      </c>
    </row>
    <row r="147" spans="1:8" x14ac:dyDescent="0.3">
      <c r="A147" t="s">
        <v>223</v>
      </c>
      <c r="B147" t="s">
        <v>8</v>
      </c>
      <c r="C147" t="s">
        <v>81</v>
      </c>
      <c r="D147" t="s">
        <v>209</v>
      </c>
      <c r="F147" s="11">
        <v>-4.5305559999999998</v>
      </c>
      <c r="G147" s="11">
        <v>48.29</v>
      </c>
      <c r="H147" s="11">
        <v>1</v>
      </c>
    </row>
    <row r="148" spans="1:8" x14ac:dyDescent="0.3">
      <c r="A148" t="s">
        <v>224</v>
      </c>
      <c r="B148" t="s">
        <v>8</v>
      </c>
      <c r="C148" t="s">
        <v>83</v>
      </c>
      <c r="D148" t="s">
        <v>209</v>
      </c>
      <c r="F148" s="11">
        <v>-4.4747219999999999</v>
      </c>
      <c r="G148" s="11">
        <v>48.291389000000002</v>
      </c>
      <c r="H148" s="11">
        <v>1</v>
      </c>
    </row>
    <row r="149" spans="1:8" x14ac:dyDescent="0.3">
      <c r="A149" t="s">
        <v>225</v>
      </c>
      <c r="B149" t="s">
        <v>38</v>
      </c>
      <c r="C149" t="s">
        <v>51</v>
      </c>
      <c r="D149" t="s">
        <v>226</v>
      </c>
      <c r="F149" s="11">
        <v>-4.4083329999999998</v>
      </c>
      <c r="G149" s="11">
        <v>48.283611000000001</v>
      </c>
      <c r="H149" s="11">
        <v>1</v>
      </c>
    </row>
    <row r="150" spans="1:8" x14ac:dyDescent="0.3">
      <c r="A150" t="s">
        <v>227</v>
      </c>
      <c r="B150" t="s">
        <v>38</v>
      </c>
      <c r="C150" t="s">
        <v>54</v>
      </c>
      <c r="D150" t="s">
        <v>226</v>
      </c>
      <c r="F150" s="11">
        <v>-4.3313889999999997</v>
      </c>
      <c r="G150" s="11">
        <v>48.293610999999999</v>
      </c>
      <c r="H150" s="11">
        <v>1</v>
      </c>
    </row>
    <row r="151" spans="1:8" x14ac:dyDescent="0.3">
      <c r="A151" t="s">
        <v>228</v>
      </c>
      <c r="B151" t="s">
        <v>26</v>
      </c>
      <c r="C151" t="s">
        <v>56</v>
      </c>
      <c r="D151" t="s">
        <v>226</v>
      </c>
      <c r="F151" s="11">
        <v>-4.2824999999999998</v>
      </c>
      <c r="G151" s="11">
        <v>48.292222000000002</v>
      </c>
      <c r="H151" s="11">
        <v>1</v>
      </c>
    </row>
    <row r="152" spans="1:8" x14ac:dyDescent="0.3">
      <c r="A152" t="s">
        <v>229</v>
      </c>
      <c r="B152" t="s">
        <v>26</v>
      </c>
      <c r="C152" t="s">
        <v>58</v>
      </c>
      <c r="D152" t="s">
        <v>226</v>
      </c>
      <c r="F152" s="11">
        <v>-4.2238889999999998</v>
      </c>
      <c r="G152" s="11">
        <v>48.295555999999998</v>
      </c>
      <c r="H152" s="11">
        <v>1</v>
      </c>
    </row>
    <row r="153" spans="1:8" x14ac:dyDescent="0.3">
      <c r="A153" t="s">
        <v>230</v>
      </c>
      <c r="B153" t="s">
        <v>26</v>
      </c>
      <c r="C153" t="s">
        <v>60</v>
      </c>
      <c r="D153" t="s">
        <v>226</v>
      </c>
      <c r="F153" s="11">
        <v>-4.2319440000000004</v>
      </c>
      <c r="G153" s="11">
        <v>48.303333000000002</v>
      </c>
      <c r="H153" s="11">
        <v>1</v>
      </c>
    </row>
    <row r="154" spans="1:8" x14ac:dyDescent="0.3">
      <c r="A154" t="s">
        <v>231</v>
      </c>
      <c r="B154" t="s">
        <v>26</v>
      </c>
      <c r="C154" t="s">
        <v>62</v>
      </c>
      <c r="D154" t="s">
        <v>226</v>
      </c>
      <c r="F154" s="11">
        <v>-4.2699999999999996</v>
      </c>
      <c r="G154" s="11">
        <v>48.314444000000002</v>
      </c>
      <c r="H154" s="11">
        <v>1</v>
      </c>
    </row>
    <row r="155" spans="1:8" x14ac:dyDescent="0.3">
      <c r="A155" t="s">
        <v>232</v>
      </c>
      <c r="B155" t="s">
        <v>26</v>
      </c>
      <c r="C155" t="s">
        <v>64</v>
      </c>
      <c r="D155" t="s">
        <v>226</v>
      </c>
      <c r="F155" s="11">
        <v>-4.3216669999999997</v>
      </c>
      <c r="G155" s="11">
        <v>48.325277999999997</v>
      </c>
      <c r="H155" s="11">
        <v>1</v>
      </c>
    </row>
    <row r="156" spans="1:8" x14ac:dyDescent="0.3">
      <c r="A156" t="s">
        <v>233</v>
      </c>
      <c r="B156" t="s">
        <v>26</v>
      </c>
      <c r="C156" t="s">
        <v>66</v>
      </c>
      <c r="D156" t="s">
        <v>226</v>
      </c>
      <c r="F156" s="11">
        <v>-4.2788890000000004</v>
      </c>
      <c r="G156" s="11">
        <v>48.356389</v>
      </c>
      <c r="H156" s="11">
        <v>1</v>
      </c>
    </row>
    <row r="157" spans="1:8" x14ac:dyDescent="0.3">
      <c r="A157" t="s">
        <v>234</v>
      </c>
      <c r="B157" t="s">
        <v>25</v>
      </c>
      <c r="C157" t="s">
        <v>68</v>
      </c>
      <c r="D157" t="s">
        <v>226</v>
      </c>
      <c r="F157" s="11">
        <v>-4.3230560000000002</v>
      </c>
      <c r="G157" s="11">
        <v>48.351944000000003</v>
      </c>
      <c r="H157" s="11">
        <v>1</v>
      </c>
    </row>
    <row r="158" spans="1:8" x14ac:dyDescent="0.3">
      <c r="A158" t="s">
        <v>235</v>
      </c>
      <c r="B158" t="s">
        <v>236</v>
      </c>
      <c r="C158" t="s">
        <v>71</v>
      </c>
      <c r="D158" t="s">
        <v>226</v>
      </c>
      <c r="F158" s="11">
        <v>-4.3669440000000002</v>
      </c>
      <c r="G158" s="11">
        <v>48.336666999999998</v>
      </c>
      <c r="H158" s="11">
        <v>1</v>
      </c>
    </row>
    <row r="159" spans="1:8" x14ac:dyDescent="0.3">
      <c r="A159" t="s">
        <v>237</v>
      </c>
      <c r="B159" t="s">
        <v>236</v>
      </c>
      <c r="C159" t="s">
        <v>73</v>
      </c>
      <c r="D159" t="s">
        <v>226</v>
      </c>
      <c r="F159" s="11">
        <v>-4.4094439999999997</v>
      </c>
      <c r="G159" s="11">
        <v>48.340833000000003</v>
      </c>
      <c r="H159" s="11">
        <v>1</v>
      </c>
    </row>
    <row r="160" spans="1:8" x14ac:dyDescent="0.3">
      <c r="A160" t="s">
        <v>238</v>
      </c>
      <c r="B160" t="s">
        <v>24</v>
      </c>
      <c r="C160" t="s">
        <v>75</v>
      </c>
      <c r="D160" t="s">
        <v>226</v>
      </c>
      <c r="F160" s="11">
        <v>-4.4405559999999999</v>
      </c>
      <c r="G160" s="11">
        <v>48.350555999999997</v>
      </c>
      <c r="H160" s="11">
        <v>1</v>
      </c>
    </row>
    <row r="161" spans="1:8" x14ac:dyDescent="0.3">
      <c r="A161" t="s">
        <v>239</v>
      </c>
      <c r="B161" t="s">
        <v>24</v>
      </c>
      <c r="C161" t="s">
        <v>77</v>
      </c>
      <c r="D161" t="s">
        <v>226</v>
      </c>
      <c r="F161" s="11">
        <v>-4.3927779999999998</v>
      </c>
      <c r="G161" s="11">
        <v>48.387222000000001</v>
      </c>
      <c r="H161" s="11">
        <v>1</v>
      </c>
    </row>
    <row r="162" spans="1:8" x14ac:dyDescent="0.3">
      <c r="A162" t="s">
        <v>240</v>
      </c>
      <c r="B162" t="s">
        <v>24</v>
      </c>
      <c r="C162" t="s">
        <v>79</v>
      </c>
      <c r="D162" t="s">
        <v>226</v>
      </c>
      <c r="F162" s="11">
        <v>-4.3216669999999997</v>
      </c>
      <c r="G162" s="11">
        <v>48.408056000000002</v>
      </c>
      <c r="H162" s="11">
        <v>1</v>
      </c>
    </row>
    <row r="163" spans="1:8" x14ac:dyDescent="0.3">
      <c r="A163" t="s">
        <v>241</v>
      </c>
      <c r="B163" t="s">
        <v>24</v>
      </c>
      <c r="C163" t="s">
        <v>81</v>
      </c>
      <c r="D163" t="s">
        <v>226</v>
      </c>
      <c r="F163" s="11">
        <v>-4.32</v>
      </c>
      <c r="G163" s="11">
        <v>48.418056</v>
      </c>
      <c r="H163" s="11">
        <v>1</v>
      </c>
    </row>
    <row r="164" spans="1:8" x14ac:dyDescent="0.3">
      <c r="A164" t="s">
        <v>242</v>
      </c>
      <c r="B164" t="s">
        <v>38</v>
      </c>
      <c r="C164" t="s">
        <v>51</v>
      </c>
      <c r="D164" t="s">
        <v>243</v>
      </c>
      <c r="F164" s="11">
        <v>-4.3938889999999997</v>
      </c>
      <c r="G164" s="11">
        <v>48.399166999999998</v>
      </c>
      <c r="H164" s="11">
        <v>1</v>
      </c>
    </row>
    <row r="165" spans="1:8" x14ac:dyDescent="0.3">
      <c r="A165" t="s">
        <v>244</v>
      </c>
      <c r="B165" t="s">
        <v>38</v>
      </c>
      <c r="C165" t="s">
        <v>54</v>
      </c>
      <c r="D165" t="s">
        <v>243</v>
      </c>
      <c r="F165" s="11">
        <v>-4.4733330000000002</v>
      </c>
      <c r="G165" s="11">
        <v>48.384166999999998</v>
      </c>
      <c r="H165" s="11">
        <v>1</v>
      </c>
    </row>
    <row r="166" spans="1:8" x14ac:dyDescent="0.3">
      <c r="A166" t="s">
        <v>245</v>
      </c>
      <c r="B166" t="s">
        <v>26</v>
      </c>
      <c r="C166" t="s">
        <v>56</v>
      </c>
      <c r="D166" t="s">
        <v>243</v>
      </c>
      <c r="F166" s="11">
        <v>-4.5422219999999998</v>
      </c>
      <c r="G166" s="11">
        <v>48.361944000000001</v>
      </c>
      <c r="H166" s="11">
        <v>1</v>
      </c>
    </row>
    <row r="167" spans="1:8" x14ac:dyDescent="0.3">
      <c r="A167" t="s">
        <v>246</v>
      </c>
      <c r="B167" t="s">
        <v>26</v>
      </c>
      <c r="C167" t="s">
        <v>58</v>
      </c>
      <c r="D167" t="s">
        <v>243</v>
      </c>
      <c r="F167" s="11">
        <v>-4.6169440000000002</v>
      </c>
      <c r="G167" s="11">
        <v>48.343611000000003</v>
      </c>
      <c r="H167" s="11">
        <v>1</v>
      </c>
    </row>
    <row r="168" spans="1:8" x14ac:dyDescent="0.3">
      <c r="A168" t="s">
        <v>247</v>
      </c>
      <c r="B168" t="s">
        <v>26</v>
      </c>
      <c r="C168" t="s">
        <v>60</v>
      </c>
      <c r="D168" t="s">
        <v>243</v>
      </c>
      <c r="F168" s="11">
        <v>-4.6908329999999996</v>
      </c>
      <c r="G168" s="11">
        <v>48.355832999999997</v>
      </c>
      <c r="H168" s="11">
        <v>1</v>
      </c>
    </row>
    <row r="169" spans="1:8" x14ac:dyDescent="0.3">
      <c r="A169" t="s">
        <v>248</v>
      </c>
      <c r="B169" t="s">
        <v>26</v>
      </c>
      <c r="C169" t="s">
        <v>62</v>
      </c>
      <c r="D169" t="s">
        <v>243</v>
      </c>
      <c r="F169" s="11">
        <v>-4.7527780000000002</v>
      </c>
      <c r="G169" s="11">
        <v>48.333333000000003</v>
      </c>
      <c r="H169" s="11">
        <v>1</v>
      </c>
    </row>
    <row r="170" spans="1:8" x14ac:dyDescent="0.3">
      <c r="A170" t="s">
        <v>249</v>
      </c>
      <c r="B170" t="s">
        <v>26</v>
      </c>
      <c r="C170" t="s">
        <v>64</v>
      </c>
      <c r="D170" t="s">
        <v>243</v>
      </c>
      <c r="F170" s="11">
        <v>-4.7736109999999998</v>
      </c>
      <c r="G170" s="11">
        <v>48.371943999999999</v>
      </c>
      <c r="H170" s="11">
        <v>1</v>
      </c>
    </row>
    <row r="171" spans="1:8" x14ac:dyDescent="0.3">
      <c r="A171" t="s">
        <v>250</v>
      </c>
      <c r="B171" t="s">
        <v>251</v>
      </c>
      <c r="C171" t="s">
        <v>66</v>
      </c>
      <c r="D171" t="s">
        <v>243</v>
      </c>
      <c r="F171" s="11">
        <v>-4.7836109999999996</v>
      </c>
      <c r="G171" s="11">
        <v>48.412222</v>
      </c>
      <c r="H171" s="11">
        <v>1</v>
      </c>
    </row>
    <row r="172" spans="1:8" x14ac:dyDescent="0.3">
      <c r="A172" t="s">
        <v>252</v>
      </c>
      <c r="B172" t="s">
        <v>236</v>
      </c>
      <c r="C172" t="s">
        <v>68</v>
      </c>
      <c r="D172" t="s">
        <v>243</v>
      </c>
      <c r="F172" s="11">
        <v>-4.7750000000000004</v>
      </c>
      <c r="G172" s="11">
        <v>48.459167000000001</v>
      </c>
      <c r="H172" s="11">
        <v>1</v>
      </c>
    </row>
    <row r="173" spans="1:8" x14ac:dyDescent="0.3">
      <c r="A173" t="s">
        <v>253</v>
      </c>
      <c r="B173" t="s">
        <v>236</v>
      </c>
      <c r="C173" t="s">
        <v>71</v>
      </c>
      <c r="D173" t="s">
        <v>243</v>
      </c>
      <c r="F173" s="11">
        <v>-4.7675000000000001</v>
      </c>
      <c r="G173" s="11">
        <v>48.484721999999998</v>
      </c>
      <c r="H173" s="11">
        <v>1</v>
      </c>
    </row>
    <row r="174" spans="1:8" x14ac:dyDescent="0.3">
      <c r="A174" t="s">
        <v>254</v>
      </c>
      <c r="B174" t="s">
        <v>236</v>
      </c>
      <c r="C174" t="s">
        <v>73</v>
      </c>
      <c r="D174" t="s">
        <v>243</v>
      </c>
      <c r="F174" s="11">
        <v>-4.7580559999999998</v>
      </c>
      <c r="G174" s="11">
        <v>48.533056000000002</v>
      </c>
      <c r="H174" s="11">
        <v>1</v>
      </c>
    </row>
    <row r="175" spans="1:8" x14ac:dyDescent="0.3">
      <c r="A175" t="s">
        <v>255</v>
      </c>
      <c r="B175" t="s">
        <v>24</v>
      </c>
      <c r="C175" t="s">
        <v>75</v>
      </c>
      <c r="D175" t="s">
        <v>243</v>
      </c>
      <c r="F175" s="11">
        <v>-4.7077780000000002</v>
      </c>
      <c r="G175" s="11">
        <v>48.555278000000001</v>
      </c>
      <c r="H175" s="11">
        <v>1</v>
      </c>
    </row>
    <row r="176" spans="1:8" x14ac:dyDescent="0.3">
      <c r="A176" t="s">
        <v>256</v>
      </c>
      <c r="B176" t="s">
        <v>24</v>
      </c>
      <c r="C176" t="s">
        <v>77</v>
      </c>
      <c r="D176" t="s">
        <v>243</v>
      </c>
      <c r="F176" s="11">
        <v>-4.6574999999999998</v>
      </c>
      <c r="G176" s="11">
        <v>48.575833000000003</v>
      </c>
      <c r="H176" s="11">
        <v>1</v>
      </c>
    </row>
    <row r="177" spans="1:8" x14ac:dyDescent="0.3">
      <c r="A177" t="s">
        <v>257</v>
      </c>
      <c r="B177" t="s">
        <v>24</v>
      </c>
      <c r="C177" t="s">
        <v>79</v>
      </c>
      <c r="D177" t="s">
        <v>243</v>
      </c>
      <c r="F177" s="11">
        <v>-4.5941669999999997</v>
      </c>
      <c r="G177" s="11">
        <v>48.560277999999997</v>
      </c>
      <c r="H177" s="11">
        <v>1</v>
      </c>
    </row>
    <row r="178" spans="1:8" x14ac:dyDescent="0.3">
      <c r="A178" t="s">
        <v>258</v>
      </c>
      <c r="B178" t="s">
        <v>24</v>
      </c>
      <c r="C178" t="s">
        <v>81</v>
      </c>
      <c r="D178" t="s">
        <v>243</v>
      </c>
      <c r="F178" s="11">
        <v>-4.6058329999999996</v>
      </c>
      <c r="G178" s="11">
        <v>48.592500000000001</v>
      </c>
      <c r="H178" s="11">
        <v>1</v>
      </c>
    </row>
    <row r="179" spans="1:8" x14ac:dyDescent="0.3">
      <c r="A179" t="s">
        <v>259</v>
      </c>
      <c r="B179" t="s">
        <v>21</v>
      </c>
      <c r="C179" t="s">
        <v>83</v>
      </c>
      <c r="D179" t="s">
        <v>243</v>
      </c>
      <c r="F179" s="11">
        <v>-4.5516670000000001</v>
      </c>
      <c r="G179" s="11">
        <v>48.595556000000002</v>
      </c>
      <c r="H179" s="11">
        <v>1</v>
      </c>
    </row>
    <row r="180" spans="1:8" x14ac:dyDescent="0.3">
      <c r="A180" t="s">
        <v>260</v>
      </c>
      <c r="B180" t="s">
        <v>21</v>
      </c>
      <c r="C180" t="s">
        <v>85</v>
      </c>
      <c r="D180" t="s">
        <v>243</v>
      </c>
      <c r="F180" s="11">
        <v>-4.5636109999999999</v>
      </c>
      <c r="G180" s="11">
        <v>48.6175</v>
      </c>
      <c r="H180" s="11">
        <v>1</v>
      </c>
    </row>
    <row r="181" spans="1:8" x14ac:dyDescent="0.3">
      <c r="A181" t="s">
        <v>261</v>
      </c>
      <c r="B181" t="s">
        <v>21</v>
      </c>
      <c r="C181" t="s">
        <v>87</v>
      </c>
      <c r="D181" t="s">
        <v>243</v>
      </c>
      <c r="F181" s="11">
        <v>-4.5086110000000001</v>
      </c>
      <c r="G181" s="11">
        <v>48.631943999999997</v>
      </c>
      <c r="H181" s="11">
        <v>1</v>
      </c>
    </row>
    <row r="182" spans="1:8" x14ac:dyDescent="0.3">
      <c r="A182" t="s">
        <v>262</v>
      </c>
      <c r="B182" t="s">
        <v>38</v>
      </c>
      <c r="C182" t="s">
        <v>51</v>
      </c>
      <c r="D182" t="s">
        <v>263</v>
      </c>
      <c r="F182" s="11">
        <v>-4.441389</v>
      </c>
      <c r="G182" s="11">
        <v>48.635278</v>
      </c>
      <c r="H182" s="11">
        <v>1</v>
      </c>
    </row>
    <row r="183" spans="1:8" x14ac:dyDescent="0.3">
      <c r="A183" t="s">
        <v>264</v>
      </c>
      <c r="B183" t="s">
        <v>38</v>
      </c>
      <c r="C183" t="s">
        <v>54</v>
      </c>
      <c r="D183" t="s">
        <v>263</v>
      </c>
      <c r="F183" s="11">
        <v>-4.4194440000000004</v>
      </c>
      <c r="G183" s="11">
        <v>48.653610999999998</v>
      </c>
      <c r="H183" s="11">
        <v>1</v>
      </c>
    </row>
    <row r="184" spans="1:8" x14ac:dyDescent="0.3">
      <c r="A184" t="s">
        <v>265</v>
      </c>
      <c r="B184" t="s">
        <v>26</v>
      </c>
      <c r="C184" t="s">
        <v>56</v>
      </c>
      <c r="D184" t="s">
        <v>263</v>
      </c>
      <c r="F184" s="11">
        <v>-4.3494440000000001</v>
      </c>
      <c r="G184" s="11">
        <v>48.675556</v>
      </c>
      <c r="H184" s="11">
        <v>1</v>
      </c>
    </row>
    <row r="185" spans="1:8" x14ac:dyDescent="0.3">
      <c r="A185" t="s">
        <v>266</v>
      </c>
      <c r="B185" t="s">
        <v>26</v>
      </c>
      <c r="C185" t="s">
        <v>58</v>
      </c>
      <c r="D185" t="s">
        <v>263</v>
      </c>
      <c r="F185" s="11">
        <v>-4.299722</v>
      </c>
      <c r="G185" s="11">
        <v>48.648611000000002</v>
      </c>
      <c r="H185" s="11">
        <v>1</v>
      </c>
    </row>
    <row r="186" spans="1:8" x14ac:dyDescent="0.3">
      <c r="A186" t="s">
        <v>267</v>
      </c>
      <c r="B186" t="s">
        <v>26</v>
      </c>
      <c r="C186" t="s">
        <v>60</v>
      </c>
      <c r="D186" t="s">
        <v>263</v>
      </c>
      <c r="F186" s="11">
        <v>-4.2658329999999998</v>
      </c>
      <c r="G186" s="11">
        <v>48.648611000000002</v>
      </c>
      <c r="H186" s="11">
        <v>1</v>
      </c>
    </row>
    <row r="187" spans="1:8" x14ac:dyDescent="0.3">
      <c r="A187" t="s">
        <v>268</v>
      </c>
      <c r="B187" t="s">
        <v>26</v>
      </c>
      <c r="C187" t="s">
        <v>62</v>
      </c>
      <c r="D187" t="s">
        <v>263</v>
      </c>
      <c r="F187" s="11">
        <v>-4.1980560000000002</v>
      </c>
      <c r="G187" s="11">
        <v>48.653888999999999</v>
      </c>
      <c r="H187" s="11">
        <v>1</v>
      </c>
    </row>
    <row r="188" spans="1:8" x14ac:dyDescent="0.3">
      <c r="A188" t="s">
        <v>269</v>
      </c>
      <c r="B188" t="s">
        <v>251</v>
      </c>
      <c r="C188" t="s">
        <v>64</v>
      </c>
      <c r="D188" t="s">
        <v>263</v>
      </c>
      <c r="F188" s="11">
        <v>-4.1808329999999998</v>
      </c>
      <c r="G188" s="11">
        <v>48.684443999999999</v>
      </c>
      <c r="H188" s="11">
        <v>1</v>
      </c>
    </row>
    <row r="189" spans="1:8" x14ac:dyDescent="0.3">
      <c r="A189" t="s">
        <v>270</v>
      </c>
      <c r="B189" t="s">
        <v>251</v>
      </c>
      <c r="C189" t="s">
        <v>66</v>
      </c>
      <c r="D189" t="s">
        <v>263</v>
      </c>
      <c r="F189" s="11">
        <v>-4.101667</v>
      </c>
      <c r="G189" s="11">
        <v>48.695278000000002</v>
      </c>
      <c r="H189" s="11">
        <v>1</v>
      </c>
    </row>
    <row r="190" spans="1:8" x14ac:dyDescent="0.3">
      <c r="A190" t="s">
        <v>271</v>
      </c>
      <c r="B190" t="s">
        <v>236</v>
      </c>
      <c r="C190" t="s">
        <v>68</v>
      </c>
      <c r="D190" t="s">
        <v>263</v>
      </c>
      <c r="F190" s="11">
        <v>-4.0580559999999997</v>
      </c>
      <c r="G190" s="11">
        <v>48.687778000000002</v>
      </c>
      <c r="H190" s="11">
        <v>1</v>
      </c>
    </row>
    <row r="191" spans="1:8" x14ac:dyDescent="0.3">
      <c r="A191" t="s">
        <v>272</v>
      </c>
      <c r="B191" t="s">
        <v>236</v>
      </c>
      <c r="C191" t="s">
        <v>71</v>
      </c>
      <c r="D191" t="s">
        <v>263</v>
      </c>
      <c r="F191" s="11">
        <v>-4.0055560000000003</v>
      </c>
      <c r="G191" s="11">
        <v>48.719721999999997</v>
      </c>
      <c r="H191" s="11">
        <v>1</v>
      </c>
    </row>
    <row r="192" spans="1:8" x14ac:dyDescent="0.3">
      <c r="A192" t="s">
        <v>273</v>
      </c>
      <c r="B192" t="s">
        <v>236</v>
      </c>
      <c r="C192" t="s">
        <v>73</v>
      </c>
      <c r="D192" t="s">
        <v>263</v>
      </c>
      <c r="F192" s="11">
        <v>-3.9727779999999999</v>
      </c>
      <c r="G192" s="11">
        <v>48.71</v>
      </c>
      <c r="H192" s="11">
        <v>1</v>
      </c>
    </row>
    <row r="193" spans="1:8" x14ac:dyDescent="0.3">
      <c r="A193" t="s">
        <v>274</v>
      </c>
      <c r="B193" t="s">
        <v>24</v>
      </c>
      <c r="C193" t="s">
        <v>75</v>
      </c>
      <c r="D193" t="s">
        <v>263</v>
      </c>
      <c r="F193" s="11">
        <v>-3.949722</v>
      </c>
      <c r="G193" s="11">
        <v>48.663888999999998</v>
      </c>
      <c r="H193" s="11">
        <v>1</v>
      </c>
    </row>
    <row r="194" spans="1:8" x14ac:dyDescent="0.3">
      <c r="A194" t="s">
        <v>275</v>
      </c>
      <c r="B194" t="s">
        <v>24</v>
      </c>
      <c r="C194" t="s">
        <v>77</v>
      </c>
      <c r="D194" t="s">
        <v>263</v>
      </c>
      <c r="F194" s="11">
        <v>-3.9161109999999999</v>
      </c>
      <c r="G194" s="11">
        <v>48.678888999999998</v>
      </c>
      <c r="H194" s="11">
        <v>1</v>
      </c>
    </row>
    <row r="195" spans="1:8" x14ac:dyDescent="0.3">
      <c r="A195" t="s">
        <v>276</v>
      </c>
      <c r="B195" t="s">
        <v>24</v>
      </c>
      <c r="C195" t="s">
        <v>79</v>
      </c>
      <c r="D195" t="s">
        <v>263</v>
      </c>
      <c r="F195" s="11">
        <v>-3.8833329999999999</v>
      </c>
      <c r="G195" s="11">
        <v>48.646667000000001</v>
      </c>
      <c r="H195" s="11">
        <v>1</v>
      </c>
    </row>
    <row r="196" spans="1:8" x14ac:dyDescent="0.3">
      <c r="A196" t="s">
        <v>277</v>
      </c>
      <c r="B196" t="s">
        <v>24</v>
      </c>
      <c r="C196" t="s">
        <v>81</v>
      </c>
      <c r="D196" t="s">
        <v>263</v>
      </c>
      <c r="F196" s="11">
        <v>-3.8477779999999999</v>
      </c>
      <c r="G196" s="11">
        <v>48.651944</v>
      </c>
      <c r="H196" s="11">
        <v>1</v>
      </c>
    </row>
    <row r="197" spans="1:8" x14ac:dyDescent="0.3">
      <c r="A197" t="s">
        <v>278</v>
      </c>
      <c r="B197" t="s">
        <v>21</v>
      </c>
      <c r="C197" t="s">
        <v>83</v>
      </c>
      <c r="D197" t="s">
        <v>263</v>
      </c>
      <c r="F197" s="11">
        <v>-3.8483329999999998</v>
      </c>
      <c r="G197" s="11">
        <v>48.673333</v>
      </c>
      <c r="H197" s="11">
        <v>1</v>
      </c>
    </row>
    <row r="198" spans="1:8" x14ac:dyDescent="0.3">
      <c r="A198" t="s">
        <v>279</v>
      </c>
      <c r="B198" t="s">
        <v>21</v>
      </c>
      <c r="C198" t="s">
        <v>85</v>
      </c>
      <c r="D198" t="s">
        <v>263</v>
      </c>
      <c r="F198" s="11">
        <v>-3.835</v>
      </c>
      <c r="G198" s="11">
        <v>48.710278000000002</v>
      </c>
      <c r="H198" s="11">
        <v>1</v>
      </c>
    </row>
    <row r="199" spans="1:8" x14ac:dyDescent="0.3">
      <c r="A199" t="s">
        <v>280</v>
      </c>
      <c r="B199" t="s">
        <v>21</v>
      </c>
      <c r="C199" t="s">
        <v>87</v>
      </c>
      <c r="D199" t="s">
        <v>263</v>
      </c>
      <c r="F199" s="11">
        <v>-3.7902779999999998</v>
      </c>
      <c r="G199" s="11">
        <v>48.716667000000001</v>
      </c>
      <c r="H199" s="11">
        <v>1</v>
      </c>
    </row>
    <row r="200" spans="1:8" x14ac:dyDescent="0.3">
      <c r="A200" t="s">
        <v>281</v>
      </c>
      <c r="B200" t="s">
        <v>38</v>
      </c>
      <c r="C200" t="s">
        <v>51</v>
      </c>
      <c r="D200" t="s">
        <v>282</v>
      </c>
      <c r="F200" s="11">
        <v>-3.7144439999999999</v>
      </c>
      <c r="G200" s="11">
        <v>48.707777999999998</v>
      </c>
      <c r="H200" s="11">
        <v>1</v>
      </c>
    </row>
    <row r="201" spans="1:8" x14ac:dyDescent="0.3">
      <c r="A201" t="s">
        <v>283</v>
      </c>
      <c r="B201" t="s">
        <v>38</v>
      </c>
      <c r="C201" t="s">
        <v>54</v>
      </c>
      <c r="D201" t="s">
        <v>282</v>
      </c>
      <c r="F201" s="11">
        <v>-3.6436109999999999</v>
      </c>
      <c r="G201" s="11">
        <v>48.701388999999999</v>
      </c>
      <c r="H201" s="11">
        <v>1</v>
      </c>
    </row>
    <row r="202" spans="1:8" x14ac:dyDescent="0.3">
      <c r="A202" t="s">
        <v>284</v>
      </c>
      <c r="B202" t="s">
        <v>26</v>
      </c>
      <c r="C202" t="s">
        <v>56</v>
      </c>
      <c r="D202" t="s">
        <v>282</v>
      </c>
      <c r="F202" s="11">
        <v>-3.6077780000000002</v>
      </c>
      <c r="G202" s="11">
        <v>48.681944000000001</v>
      </c>
      <c r="H202" s="11">
        <v>1</v>
      </c>
    </row>
    <row r="203" spans="1:8" x14ac:dyDescent="0.3">
      <c r="A203" t="s">
        <v>285</v>
      </c>
      <c r="B203" t="s">
        <v>26</v>
      </c>
      <c r="C203" t="s">
        <v>58</v>
      </c>
      <c r="D203" t="s">
        <v>282</v>
      </c>
      <c r="F203" s="11">
        <v>-3.5802779999999998</v>
      </c>
      <c r="G203" s="11">
        <v>48.701388999999999</v>
      </c>
      <c r="H203" s="11">
        <v>1</v>
      </c>
    </row>
    <row r="204" spans="1:8" x14ac:dyDescent="0.3">
      <c r="A204" t="s">
        <v>286</v>
      </c>
      <c r="B204" t="s">
        <v>26</v>
      </c>
      <c r="C204" t="s">
        <v>60</v>
      </c>
      <c r="D204" t="s">
        <v>282</v>
      </c>
      <c r="F204" s="11">
        <v>-3.540556</v>
      </c>
      <c r="G204" s="11">
        <v>48.735833</v>
      </c>
      <c r="H204" s="11">
        <v>1</v>
      </c>
    </row>
    <row r="205" spans="1:8" x14ac:dyDescent="0.3">
      <c r="A205" t="s">
        <v>287</v>
      </c>
      <c r="B205" t="s">
        <v>251</v>
      </c>
      <c r="C205" t="s">
        <v>62</v>
      </c>
      <c r="D205" t="s">
        <v>282</v>
      </c>
      <c r="F205" s="11">
        <v>-3.5777779999999999</v>
      </c>
      <c r="G205" s="11">
        <v>48.765000000000001</v>
      </c>
      <c r="H205" s="11">
        <v>1</v>
      </c>
    </row>
    <row r="206" spans="1:8" x14ac:dyDescent="0.3">
      <c r="A206" t="s">
        <v>288</v>
      </c>
      <c r="B206" t="s">
        <v>251</v>
      </c>
      <c r="C206" t="s">
        <v>64</v>
      </c>
      <c r="D206" t="s">
        <v>282</v>
      </c>
      <c r="F206" s="11">
        <v>-3.5413890000000001</v>
      </c>
      <c r="G206" s="11">
        <v>48.801667000000002</v>
      </c>
      <c r="H206" s="11">
        <v>1</v>
      </c>
    </row>
    <row r="207" spans="1:8" x14ac:dyDescent="0.3">
      <c r="A207" t="s">
        <v>289</v>
      </c>
      <c r="B207" t="s">
        <v>251</v>
      </c>
      <c r="C207" t="s">
        <v>66</v>
      </c>
      <c r="D207" t="s">
        <v>282</v>
      </c>
      <c r="F207" s="11">
        <v>-3.5125000000000002</v>
      </c>
      <c r="G207" s="11">
        <v>48.837221999999997</v>
      </c>
      <c r="H207" s="11">
        <v>1</v>
      </c>
    </row>
    <row r="208" spans="1:8" x14ac:dyDescent="0.3">
      <c r="A208" t="s">
        <v>290</v>
      </c>
      <c r="B208" t="s">
        <v>236</v>
      </c>
      <c r="C208" t="s">
        <v>68</v>
      </c>
      <c r="D208" t="s">
        <v>282</v>
      </c>
      <c r="F208" s="11">
        <v>-3.4663889999999999</v>
      </c>
      <c r="G208" s="11">
        <v>48.832777999999998</v>
      </c>
      <c r="H208" s="11">
        <v>1</v>
      </c>
    </row>
    <row r="209" spans="1:8" x14ac:dyDescent="0.3">
      <c r="A209" t="s">
        <v>291</v>
      </c>
      <c r="B209" t="s">
        <v>236</v>
      </c>
      <c r="C209" t="s">
        <v>71</v>
      </c>
      <c r="D209" t="s">
        <v>282</v>
      </c>
      <c r="F209" s="11">
        <v>-3.433611</v>
      </c>
      <c r="G209" s="11">
        <v>48.806944000000001</v>
      </c>
      <c r="H209" s="11">
        <v>1</v>
      </c>
    </row>
    <row r="210" spans="1:8" x14ac:dyDescent="0.3">
      <c r="A210" t="s">
        <v>292</v>
      </c>
      <c r="B210" t="s">
        <v>236</v>
      </c>
      <c r="C210" t="s">
        <v>73</v>
      </c>
      <c r="D210" t="s">
        <v>282</v>
      </c>
      <c r="F210" s="11">
        <v>-3.3713890000000002</v>
      </c>
      <c r="G210" s="11">
        <v>48.825277999999997</v>
      </c>
      <c r="H210" s="11">
        <v>1</v>
      </c>
    </row>
    <row r="211" spans="1:8" x14ac:dyDescent="0.3">
      <c r="A211" t="s">
        <v>293</v>
      </c>
      <c r="B211" t="s">
        <v>24</v>
      </c>
      <c r="C211" t="s">
        <v>75</v>
      </c>
      <c r="D211" t="s">
        <v>282</v>
      </c>
      <c r="F211" s="11">
        <v>-3.2944439999999999</v>
      </c>
      <c r="G211" s="11">
        <v>48.837221999999997</v>
      </c>
      <c r="H211" s="11">
        <v>1</v>
      </c>
    </row>
    <row r="212" spans="1:8" x14ac:dyDescent="0.3">
      <c r="A212" t="s">
        <v>294</v>
      </c>
      <c r="B212" t="s">
        <v>24</v>
      </c>
      <c r="C212" t="s">
        <v>77</v>
      </c>
      <c r="D212" t="s">
        <v>282</v>
      </c>
      <c r="F212" s="11">
        <v>-3.2430560000000002</v>
      </c>
      <c r="G212" s="11">
        <v>48.857778000000003</v>
      </c>
      <c r="H212" s="11">
        <v>1</v>
      </c>
    </row>
    <row r="213" spans="1:8" x14ac:dyDescent="0.3">
      <c r="A213" t="s">
        <v>295</v>
      </c>
      <c r="B213" t="s">
        <v>21</v>
      </c>
      <c r="C213" t="s">
        <v>79</v>
      </c>
      <c r="D213" t="s">
        <v>282</v>
      </c>
      <c r="F213" s="11">
        <v>-3.2086109999999999</v>
      </c>
      <c r="G213" s="11">
        <v>48.842778000000003</v>
      </c>
      <c r="H213" s="11">
        <v>1</v>
      </c>
    </row>
    <row r="214" spans="1:8" x14ac:dyDescent="0.3">
      <c r="A214" t="s">
        <v>296</v>
      </c>
      <c r="B214" t="s">
        <v>21</v>
      </c>
      <c r="C214" t="s">
        <v>81</v>
      </c>
      <c r="D214" t="s">
        <v>282</v>
      </c>
      <c r="F214" s="11">
        <v>-3.2225000000000001</v>
      </c>
      <c r="G214" s="11">
        <v>48.795555999999998</v>
      </c>
      <c r="H214" s="11">
        <v>1</v>
      </c>
    </row>
    <row r="215" spans="1:8" x14ac:dyDescent="0.3">
      <c r="A215" t="s">
        <v>297</v>
      </c>
      <c r="B215" t="s">
        <v>21</v>
      </c>
      <c r="C215" t="s">
        <v>83</v>
      </c>
      <c r="D215" t="s">
        <v>282</v>
      </c>
      <c r="F215" s="11">
        <v>-3.1858330000000001</v>
      </c>
      <c r="G215" s="11">
        <v>48.84</v>
      </c>
      <c r="H215" s="11">
        <v>1</v>
      </c>
    </row>
    <row r="216" spans="1:8" x14ac:dyDescent="0.3">
      <c r="A216" t="s">
        <v>298</v>
      </c>
      <c r="B216" t="s">
        <v>21</v>
      </c>
      <c r="C216" t="s">
        <v>85</v>
      </c>
      <c r="D216" t="s">
        <v>282</v>
      </c>
      <c r="F216" s="11">
        <v>-3.1305559999999999</v>
      </c>
      <c r="G216" s="11">
        <v>48.859721999999998</v>
      </c>
      <c r="H216" s="11">
        <v>1</v>
      </c>
    </row>
    <row r="217" spans="1:8" x14ac:dyDescent="0.3">
      <c r="A217" t="s">
        <v>299</v>
      </c>
      <c r="B217" t="s">
        <v>21</v>
      </c>
      <c r="C217" t="s">
        <v>87</v>
      </c>
      <c r="D217" t="s">
        <v>282</v>
      </c>
      <c r="F217" s="11">
        <v>-3.085833</v>
      </c>
      <c r="G217" s="11">
        <v>48.860278000000001</v>
      </c>
      <c r="H217" s="11">
        <v>1</v>
      </c>
    </row>
    <row r="218" spans="1:8" x14ac:dyDescent="0.3">
      <c r="A218" t="s">
        <v>300</v>
      </c>
      <c r="B218" t="s">
        <v>20</v>
      </c>
      <c r="C218" t="s">
        <v>89</v>
      </c>
      <c r="D218" t="s">
        <v>282</v>
      </c>
      <c r="F218" s="11">
        <v>-3.0866669999999998</v>
      </c>
      <c r="G218" s="11">
        <v>48.813333</v>
      </c>
      <c r="H218" s="11">
        <v>1</v>
      </c>
    </row>
    <row r="219" spans="1:8" x14ac:dyDescent="0.3">
      <c r="A219" t="s">
        <v>301</v>
      </c>
      <c r="B219" t="s">
        <v>20</v>
      </c>
      <c r="C219" t="s">
        <v>302</v>
      </c>
      <c r="D219" t="s">
        <v>282</v>
      </c>
      <c r="F219" s="11">
        <v>-3.12</v>
      </c>
      <c r="G219" s="11">
        <v>48.765555999999997</v>
      </c>
      <c r="H219" s="11">
        <v>1</v>
      </c>
    </row>
    <row r="220" spans="1:8" x14ac:dyDescent="0.3">
      <c r="A220" t="s">
        <v>303</v>
      </c>
      <c r="B220" t="s">
        <v>20</v>
      </c>
      <c r="C220" t="s">
        <v>304</v>
      </c>
      <c r="D220" t="s">
        <v>282</v>
      </c>
      <c r="F220" s="11">
        <v>-3.0897220000000001</v>
      </c>
      <c r="G220" s="11">
        <v>48.784999999999997</v>
      </c>
      <c r="H220" s="11">
        <v>1</v>
      </c>
    </row>
    <row r="221" spans="1:8" x14ac:dyDescent="0.3">
      <c r="A221" t="s">
        <v>305</v>
      </c>
      <c r="B221" t="s">
        <v>38</v>
      </c>
      <c r="C221" t="s">
        <v>51</v>
      </c>
      <c r="D221" t="s">
        <v>306</v>
      </c>
      <c r="F221" s="11">
        <v>-3.0519440000000002</v>
      </c>
      <c r="G221" s="11">
        <v>48.823056000000001</v>
      </c>
      <c r="H221" s="11">
        <v>1</v>
      </c>
    </row>
    <row r="222" spans="1:8" x14ac:dyDescent="0.3">
      <c r="A222" t="s">
        <v>307</v>
      </c>
      <c r="B222" t="s">
        <v>38</v>
      </c>
      <c r="C222" t="s">
        <v>54</v>
      </c>
      <c r="D222" t="s">
        <v>306</v>
      </c>
      <c r="F222" s="11">
        <v>-3.0150000000000001</v>
      </c>
      <c r="G222" s="11">
        <v>48.803055999999998</v>
      </c>
      <c r="H222" s="11">
        <v>1</v>
      </c>
    </row>
    <row r="223" spans="1:8" x14ac:dyDescent="0.3">
      <c r="A223" t="s">
        <v>308</v>
      </c>
      <c r="B223" t="s">
        <v>26</v>
      </c>
      <c r="C223" t="s">
        <v>56</v>
      </c>
      <c r="D223" t="s">
        <v>306</v>
      </c>
      <c r="F223" s="11">
        <v>-3.0280559999999999</v>
      </c>
      <c r="G223" s="11">
        <v>48.783889000000002</v>
      </c>
      <c r="H223" s="11">
        <v>1</v>
      </c>
    </row>
    <row r="224" spans="1:8" x14ac:dyDescent="0.3">
      <c r="A224" t="s">
        <v>309</v>
      </c>
      <c r="B224" t="s">
        <v>26</v>
      </c>
      <c r="C224" t="s">
        <v>58</v>
      </c>
      <c r="D224" t="s">
        <v>306</v>
      </c>
      <c r="F224" s="11">
        <v>-2.9583330000000001</v>
      </c>
      <c r="G224" s="11">
        <v>48.765555999999997</v>
      </c>
      <c r="H224" s="11">
        <v>1</v>
      </c>
    </row>
    <row r="225" spans="1:8" x14ac:dyDescent="0.3">
      <c r="A225" t="s">
        <v>310</v>
      </c>
      <c r="B225" t="s">
        <v>26</v>
      </c>
      <c r="C225" t="s">
        <v>60</v>
      </c>
      <c r="D225" t="s">
        <v>306</v>
      </c>
      <c r="F225" s="11">
        <v>-2.9372220000000002</v>
      </c>
      <c r="G225" s="11">
        <v>48.738056</v>
      </c>
      <c r="H225" s="11">
        <v>1</v>
      </c>
    </row>
    <row r="226" spans="1:8" x14ac:dyDescent="0.3">
      <c r="A226" t="s">
        <v>311</v>
      </c>
      <c r="B226" t="s">
        <v>251</v>
      </c>
      <c r="C226" t="s">
        <v>62</v>
      </c>
      <c r="D226" t="s">
        <v>306</v>
      </c>
      <c r="F226" s="11">
        <v>-2.9024999999999999</v>
      </c>
      <c r="G226" s="11">
        <v>48.703333000000001</v>
      </c>
      <c r="H226" s="11">
        <v>1</v>
      </c>
    </row>
    <row r="227" spans="1:8" x14ac:dyDescent="0.3">
      <c r="A227" t="s">
        <v>312</v>
      </c>
      <c r="B227" t="s">
        <v>251</v>
      </c>
      <c r="C227" t="s">
        <v>64</v>
      </c>
      <c r="D227" t="s">
        <v>306</v>
      </c>
      <c r="F227" s="11">
        <v>-2.8477779999999999</v>
      </c>
      <c r="G227" s="11">
        <v>48.671388999999998</v>
      </c>
      <c r="H227" s="11">
        <v>1</v>
      </c>
    </row>
    <row r="228" spans="1:8" x14ac:dyDescent="0.3">
      <c r="A228" t="s">
        <v>313</v>
      </c>
      <c r="B228" t="s">
        <v>251</v>
      </c>
      <c r="C228" t="s">
        <v>66</v>
      </c>
      <c r="D228" t="s">
        <v>306</v>
      </c>
      <c r="F228" s="11">
        <v>-2.8174999999999999</v>
      </c>
      <c r="G228" s="11">
        <v>48.623888999999998</v>
      </c>
      <c r="H228" s="11">
        <v>1</v>
      </c>
    </row>
    <row r="229" spans="1:8" x14ac:dyDescent="0.3">
      <c r="A229" t="s">
        <v>314</v>
      </c>
      <c r="B229" t="s">
        <v>236</v>
      </c>
      <c r="C229" t="s">
        <v>68</v>
      </c>
      <c r="D229" t="s">
        <v>306</v>
      </c>
      <c r="F229" s="11">
        <v>-2.786111</v>
      </c>
      <c r="G229" s="11">
        <v>48.586111000000002</v>
      </c>
      <c r="H229" s="11">
        <v>1</v>
      </c>
    </row>
    <row r="230" spans="1:8" x14ac:dyDescent="0.3">
      <c r="A230" t="s">
        <v>315</v>
      </c>
      <c r="B230" t="s">
        <v>236</v>
      </c>
      <c r="C230" t="s">
        <v>71</v>
      </c>
      <c r="D230" t="s">
        <v>306</v>
      </c>
      <c r="F230" s="11">
        <v>-2.7227779999999999</v>
      </c>
      <c r="G230" s="11">
        <v>48.559443999999999</v>
      </c>
      <c r="H230" s="11">
        <v>1</v>
      </c>
    </row>
    <row r="231" spans="1:8" x14ac:dyDescent="0.3">
      <c r="A231" t="s">
        <v>316</v>
      </c>
      <c r="B231" t="s">
        <v>236</v>
      </c>
      <c r="C231" t="s">
        <v>73</v>
      </c>
      <c r="D231" t="s">
        <v>306</v>
      </c>
      <c r="F231" s="11">
        <v>-2.713333</v>
      </c>
      <c r="G231" s="11">
        <v>48.524166999999998</v>
      </c>
      <c r="H231" s="11">
        <v>1</v>
      </c>
    </row>
    <row r="232" spans="1:8" x14ac:dyDescent="0.3">
      <c r="A232" t="s">
        <v>317</v>
      </c>
      <c r="B232" t="s">
        <v>23</v>
      </c>
      <c r="C232" t="s">
        <v>75</v>
      </c>
      <c r="D232" t="s">
        <v>306</v>
      </c>
      <c r="F232" s="11">
        <v>-2.6805560000000002</v>
      </c>
      <c r="G232" s="11">
        <v>48.523611000000002</v>
      </c>
      <c r="H232" s="11">
        <v>1</v>
      </c>
    </row>
    <row r="233" spans="1:8" x14ac:dyDescent="0.3">
      <c r="A233" t="s">
        <v>318</v>
      </c>
      <c r="B233" t="s">
        <v>23</v>
      </c>
      <c r="C233" t="s">
        <v>77</v>
      </c>
      <c r="D233" t="s">
        <v>306</v>
      </c>
      <c r="F233" s="11">
        <v>-2.6269439999999999</v>
      </c>
      <c r="G233" s="11">
        <v>48.539444000000003</v>
      </c>
      <c r="H233" s="11">
        <v>1</v>
      </c>
    </row>
    <row r="234" spans="1:8" x14ac:dyDescent="0.3">
      <c r="A234" t="s">
        <v>319</v>
      </c>
      <c r="B234" t="s">
        <v>22</v>
      </c>
      <c r="C234" t="s">
        <v>79</v>
      </c>
      <c r="D234" t="s">
        <v>306</v>
      </c>
      <c r="F234" s="11">
        <v>-2.5775000000000001</v>
      </c>
      <c r="G234" s="11">
        <v>48.575277999999997</v>
      </c>
      <c r="H234" s="11">
        <v>1</v>
      </c>
    </row>
    <row r="235" spans="1:8" x14ac:dyDescent="0.3">
      <c r="A235" t="s">
        <v>320</v>
      </c>
      <c r="B235" t="s">
        <v>22</v>
      </c>
      <c r="C235" t="s">
        <v>81</v>
      </c>
      <c r="D235" t="s">
        <v>306</v>
      </c>
      <c r="F235" s="11">
        <v>-2.5180560000000001</v>
      </c>
      <c r="G235" s="11">
        <v>48.601388999999998</v>
      </c>
      <c r="H235" s="11">
        <v>1</v>
      </c>
    </row>
    <row r="236" spans="1:8" x14ac:dyDescent="0.3">
      <c r="A236" t="s">
        <v>321</v>
      </c>
      <c r="B236" t="s">
        <v>21</v>
      </c>
      <c r="C236" t="s">
        <v>85</v>
      </c>
      <c r="D236" t="s">
        <v>306</v>
      </c>
      <c r="F236" s="11">
        <v>-2.4627780000000001</v>
      </c>
      <c r="G236" s="11">
        <v>48.633056000000003</v>
      </c>
      <c r="H236" s="11">
        <v>1</v>
      </c>
    </row>
    <row r="237" spans="1:8" x14ac:dyDescent="0.3">
      <c r="A237" t="s">
        <v>322</v>
      </c>
      <c r="B237" t="s">
        <v>21</v>
      </c>
      <c r="C237" t="s">
        <v>87</v>
      </c>
      <c r="D237" t="s">
        <v>306</v>
      </c>
      <c r="F237" s="11">
        <v>-2.4375</v>
      </c>
      <c r="G237" s="11">
        <v>48.653333000000003</v>
      </c>
      <c r="H237" s="11">
        <v>1</v>
      </c>
    </row>
    <row r="238" spans="1:8" x14ac:dyDescent="0.3">
      <c r="A238" t="s">
        <v>323</v>
      </c>
      <c r="B238" t="s">
        <v>20</v>
      </c>
      <c r="C238" t="s">
        <v>89</v>
      </c>
      <c r="D238" t="s">
        <v>306</v>
      </c>
      <c r="F238" s="11">
        <v>-2.3830559999999998</v>
      </c>
      <c r="G238" s="11">
        <v>48.651111</v>
      </c>
      <c r="H238" s="11">
        <v>1</v>
      </c>
    </row>
    <row r="239" spans="1:8" x14ac:dyDescent="0.3">
      <c r="A239" t="s">
        <v>324</v>
      </c>
      <c r="B239" t="s">
        <v>20</v>
      </c>
      <c r="C239" t="s">
        <v>302</v>
      </c>
      <c r="D239" t="s">
        <v>306</v>
      </c>
      <c r="F239" s="11">
        <v>-2.3241670000000001</v>
      </c>
      <c r="G239" s="11">
        <v>48.680556000000003</v>
      </c>
      <c r="H239" s="11">
        <v>1</v>
      </c>
    </row>
    <row r="240" spans="1:8" x14ac:dyDescent="0.3">
      <c r="A240" t="s">
        <v>325</v>
      </c>
      <c r="B240" t="s">
        <v>20</v>
      </c>
      <c r="C240" t="s">
        <v>304</v>
      </c>
      <c r="D240" t="s">
        <v>306</v>
      </c>
      <c r="H240" s="11">
        <v>1</v>
      </c>
    </row>
    <row r="241" spans="1:8" x14ac:dyDescent="0.3">
      <c r="A241" t="s">
        <v>326</v>
      </c>
      <c r="B241" t="s">
        <v>20</v>
      </c>
      <c r="C241" t="s">
        <v>327</v>
      </c>
      <c r="D241" t="s">
        <v>306</v>
      </c>
      <c r="F241" s="11">
        <v>-2.295833</v>
      </c>
      <c r="G241" s="11">
        <v>48.658332999999999</v>
      </c>
      <c r="H241" s="11">
        <v>1</v>
      </c>
    </row>
    <row r="242" spans="1:8" x14ac:dyDescent="0.3">
      <c r="A242" t="s">
        <v>328</v>
      </c>
      <c r="B242" t="s">
        <v>38</v>
      </c>
      <c r="C242" t="s">
        <v>51</v>
      </c>
      <c r="D242" t="s">
        <v>329</v>
      </c>
      <c r="F242" s="11">
        <v>-2.3197220000000001</v>
      </c>
      <c r="G242" s="11">
        <v>48.617221999999998</v>
      </c>
      <c r="H242" s="11">
        <v>1</v>
      </c>
    </row>
    <row r="243" spans="1:8" x14ac:dyDescent="0.3">
      <c r="A243" t="s">
        <v>330</v>
      </c>
      <c r="B243" t="s">
        <v>38</v>
      </c>
      <c r="C243" t="s">
        <v>54</v>
      </c>
      <c r="D243" t="s">
        <v>329</v>
      </c>
      <c r="F243" s="11">
        <v>-2.266111</v>
      </c>
      <c r="G243" s="11">
        <v>48.641388999999997</v>
      </c>
      <c r="H243" s="11">
        <v>1</v>
      </c>
    </row>
    <row r="244" spans="1:8" x14ac:dyDescent="0.3">
      <c r="A244" t="s">
        <v>331</v>
      </c>
      <c r="B244" t="s">
        <v>26</v>
      </c>
      <c r="C244" t="s">
        <v>56</v>
      </c>
      <c r="D244" t="s">
        <v>329</v>
      </c>
      <c r="F244" s="11">
        <v>-2.240278</v>
      </c>
      <c r="G244" s="11">
        <v>48.615833000000002</v>
      </c>
      <c r="H244" s="11">
        <v>1</v>
      </c>
    </row>
    <row r="245" spans="1:8" x14ac:dyDescent="0.3">
      <c r="A245" t="s">
        <v>332</v>
      </c>
      <c r="B245" t="s">
        <v>26</v>
      </c>
      <c r="C245" t="s">
        <v>58</v>
      </c>
      <c r="D245" t="s">
        <v>329</v>
      </c>
      <c r="F245" s="11">
        <v>-2.2044440000000001</v>
      </c>
      <c r="G245" s="11">
        <v>48.580832999999998</v>
      </c>
      <c r="H245" s="11">
        <v>1</v>
      </c>
    </row>
    <row r="246" spans="1:8" x14ac:dyDescent="0.3">
      <c r="A246" t="s">
        <v>333</v>
      </c>
      <c r="B246" t="s">
        <v>251</v>
      </c>
      <c r="C246" t="s">
        <v>60</v>
      </c>
      <c r="D246" t="s">
        <v>329</v>
      </c>
      <c r="F246" s="11">
        <v>-2.1863890000000001</v>
      </c>
      <c r="G246" s="11">
        <v>48.586111000000002</v>
      </c>
      <c r="H246" s="11">
        <v>1</v>
      </c>
    </row>
    <row r="247" spans="1:8" x14ac:dyDescent="0.3">
      <c r="A247" t="s">
        <v>334</v>
      </c>
      <c r="B247" t="s">
        <v>251</v>
      </c>
      <c r="C247" t="s">
        <v>62</v>
      </c>
      <c r="D247" t="s">
        <v>329</v>
      </c>
      <c r="F247" s="11">
        <v>-2.1597219999999999</v>
      </c>
      <c r="G247" s="11">
        <v>48.610556000000003</v>
      </c>
      <c r="H247" s="11">
        <v>1</v>
      </c>
    </row>
    <row r="248" spans="1:8" x14ac:dyDescent="0.3">
      <c r="A248" t="s">
        <v>335</v>
      </c>
      <c r="B248" t="s">
        <v>251</v>
      </c>
      <c r="C248" t="s">
        <v>64</v>
      </c>
      <c r="D248" t="s">
        <v>329</v>
      </c>
      <c r="F248" s="11">
        <v>-2.1408330000000002</v>
      </c>
      <c r="G248" s="11">
        <v>48.621667000000002</v>
      </c>
      <c r="H248" s="11">
        <v>1</v>
      </c>
    </row>
    <row r="249" spans="1:8" x14ac:dyDescent="0.3">
      <c r="A249" t="s">
        <v>336</v>
      </c>
      <c r="B249" t="s">
        <v>251</v>
      </c>
      <c r="C249" t="s">
        <v>66</v>
      </c>
      <c r="D249" t="s">
        <v>329</v>
      </c>
      <c r="F249" s="11">
        <v>-2.0977779999999999</v>
      </c>
      <c r="G249" s="11">
        <v>48.642221999999997</v>
      </c>
      <c r="H249" s="11">
        <v>1</v>
      </c>
    </row>
    <row r="250" spans="1:8" x14ac:dyDescent="0.3">
      <c r="A250" t="s">
        <v>337</v>
      </c>
      <c r="B250" t="s">
        <v>236</v>
      </c>
      <c r="C250" t="s">
        <v>68</v>
      </c>
      <c r="D250" t="s">
        <v>329</v>
      </c>
      <c r="F250" s="11">
        <v>-2.0311110000000001</v>
      </c>
      <c r="G250" s="11">
        <v>48.628332999999998</v>
      </c>
      <c r="H250" s="11">
        <v>1</v>
      </c>
    </row>
    <row r="251" spans="1:8" x14ac:dyDescent="0.3">
      <c r="A251" t="s">
        <v>338</v>
      </c>
      <c r="B251" t="s">
        <v>236</v>
      </c>
      <c r="C251" t="s">
        <v>71</v>
      </c>
      <c r="D251" t="s">
        <v>329</v>
      </c>
      <c r="F251" s="11">
        <v>-2.0022220000000002</v>
      </c>
      <c r="G251" s="11">
        <v>48.583055999999999</v>
      </c>
      <c r="H251" s="11">
        <v>1</v>
      </c>
    </row>
    <row r="252" spans="1:8" x14ac:dyDescent="0.3">
      <c r="A252" t="s">
        <v>339</v>
      </c>
      <c r="B252" t="s">
        <v>236</v>
      </c>
      <c r="C252" t="s">
        <v>73</v>
      </c>
      <c r="D252" t="s">
        <v>329</v>
      </c>
      <c r="F252" s="11">
        <v>-1.976944</v>
      </c>
      <c r="G252" s="11">
        <v>48.541389000000002</v>
      </c>
      <c r="H252" s="11">
        <v>1</v>
      </c>
    </row>
    <row r="253" spans="1:8" x14ac:dyDescent="0.3">
      <c r="A253" t="s">
        <v>340</v>
      </c>
      <c r="B253" t="s">
        <v>23</v>
      </c>
      <c r="C253" t="s">
        <v>75</v>
      </c>
      <c r="D253" t="s">
        <v>329</v>
      </c>
      <c r="F253" s="11">
        <v>-1.9555560000000001</v>
      </c>
      <c r="G253" s="11">
        <v>48.524721999999997</v>
      </c>
      <c r="H253" s="11">
        <v>1</v>
      </c>
    </row>
    <row r="254" spans="1:8" x14ac:dyDescent="0.3">
      <c r="A254" t="s">
        <v>341</v>
      </c>
      <c r="B254" t="s">
        <v>23</v>
      </c>
      <c r="C254" t="s">
        <v>77</v>
      </c>
      <c r="D254" t="s">
        <v>329</v>
      </c>
      <c r="F254" s="11">
        <v>-1.9686110000000001</v>
      </c>
      <c r="G254" s="11">
        <v>48.554443999999997</v>
      </c>
      <c r="H254" s="11">
        <v>1</v>
      </c>
    </row>
    <row r="255" spans="1:8" x14ac:dyDescent="0.3">
      <c r="A255" t="s">
        <v>342</v>
      </c>
      <c r="B255" t="s">
        <v>23</v>
      </c>
      <c r="C255" t="s">
        <v>79</v>
      </c>
      <c r="D255" t="s">
        <v>329</v>
      </c>
      <c r="F255" s="11">
        <v>-1.9550000000000001</v>
      </c>
      <c r="G255" s="11">
        <v>48.573611</v>
      </c>
      <c r="H255" s="11">
        <v>1</v>
      </c>
    </row>
    <row r="256" spans="1:8" x14ac:dyDescent="0.3">
      <c r="A256" t="s">
        <v>343</v>
      </c>
      <c r="B256" t="s">
        <v>22</v>
      </c>
      <c r="C256" t="s">
        <v>81</v>
      </c>
      <c r="D256" t="s">
        <v>329</v>
      </c>
      <c r="F256" s="11">
        <v>-2.0027780000000002</v>
      </c>
      <c r="G256" s="11">
        <v>48.600833000000002</v>
      </c>
      <c r="H256" s="11">
        <v>1</v>
      </c>
    </row>
    <row r="257" spans="1:8" x14ac:dyDescent="0.3">
      <c r="A257" t="s">
        <v>344</v>
      </c>
      <c r="B257" t="s">
        <v>21</v>
      </c>
      <c r="C257" t="s">
        <v>85</v>
      </c>
      <c r="D257" t="s">
        <v>329</v>
      </c>
      <c r="F257" s="11">
        <v>-2.0247220000000001</v>
      </c>
      <c r="G257" s="11">
        <v>48.645000000000003</v>
      </c>
      <c r="H257" s="11">
        <v>1</v>
      </c>
    </row>
    <row r="258" spans="1:8" x14ac:dyDescent="0.3">
      <c r="A258" t="s">
        <v>345</v>
      </c>
      <c r="B258" t="s">
        <v>20</v>
      </c>
      <c r="C258" t="s">
        <v>89</v>
      </c>
      <c r="D258" t="s">
        <v>329</v>
      </c>
      <c r="F258" s="11">
        <v>-1.9852780000000001</v>
      </c>
      <c r="G258" s="11">
        <v>48.678055999999998</v>
      </c>
      <c r="H258" s="11">
        <v>1</v>
      </c>
    </row>
    <row r="259" spans="1:8" x14ac:dyDescent="0.3">
      <c r="A259" t="s">
        <v>346</v>
      </c>
      <c r="B259" t="s">
        <v>20</v>
      </c>
      <c r="C259" t="s">
        <v>302</v>
      </c>
      <c r="D259" t="s">
        <v>329</v>
      </c>
      <c r="F259" s="11">
        <v>-1.947222</v>
      </c>
      <c r="G259" s="11">
        <v>48.694443999999997</v>
      </c>
      <c r="H259" s="11">
        <v>1</v>
      </c>
    </row>
    <row r="260" spans="1:8" x14ac:dyDescent="0.3">
      <c r="A260" t="s">
        <v>347</v>
      </c>
      <c r="B260" t="s">
        <v>20</v>
      </c>
      <c r="C260" t="s">
        <v>304</v>
      </c>
      <c r="D260" t="s">
        <v>329</v>
      </c>
      <c r="F260" s="11">
        <v>-1.875556</v>
      </c>
      <c r="G260" s="11">
        <v>48.699722000000001</v>
      </c>
      <c r="H260" s="11">
        <v>1</v>
      </c>
    </row>
    <row r="261" spans="1:8" x14ac:dyDescent="0.3">
      <c r="A261" t="s">
        <v>348</v>
      </c>
      <c r="B261" t="s">
        <v>20</v>
      </c>
      <c r="C261" t="s">
        <v>327</v>
      </c>
      <c r="D261" t="s">
        <v>329</v>
      </c>
      <c r="F261" s="11">
        <v>-1.8408329999999999</v>
      </c>
      <c r="G261" s="11">
        <v>48.681944000000001</v>
      </c>
      <c r="H261" s="11">
        <v>1</v>
      </c>
    </row>
    <row r="262" spans="1:8" x14ac:dyDescent="0.3">
      <c r="A262" t="s">
        <v>349</v>
      </c>
      <c r="B262" t="s">
        <v>38</v>
      </c>
      <c r="C262" t="s">
        <v>51</v>
      </c>
      <c r="D262" t="s">
        <v>350</v>
      </c>
      <c r="F262" s="11">
        <v>-1.8605560000000001</v>
      </c>
      <c r="G262" s="11">
        <v>48.638333000000003</v>
      </c>
      <c r="H262" s="11">
        <v>1</v>
      </c>
    </row>
    <row r="263" spans="1:8" x14ac:dyDescent="0.3">
      <c r="A263" t="s">
        <v>351</v>
      </c>
      <c r="B263" t="s">
        <v>38</v>
      </c>
      <c r="C263" t="s">
        <v>54</v>
      </c>
      <c r="D263" t="s">
        <v>350</v>
      </c>
      <c r="F263" s="11">
        <v>-1.799722</v>
      </c>
      <c r="G263" s="11">
        <v>48.610833</v>
      </c>
      <c r="H263" s="11">
        <v>1</v>
      </c>
    </row>
    <row r="264" spans="1:8" x14ac:dyDescent="0.3">
      <c r="A264" t="s">
        <v>352</v>
      </c>
      <c r="B264" t="s">
        <v>26</v>
      </c>
      <c r="C264" t="s">
        <v>56</v>
      </c>
      <c r="D264" t="s">
        <v>350</v>
      </c>
      <c r="F264" s="11">
        <v>-1.7227779999999999</v>
      </c>
      <c r="G264" s="11">
        <v>48.611111000000001</v>
      </c>
      <c r="H264" s="11">
        <v>1</v>
      </c>
    </row>
    <row r="265" spans="1:8" x14ac:dyDescent="0.3">
      <c r="A265" t="s">
        <v>353</v>
      </c>
      <c r="B265" t="s">
        <v>26</v>
      </c>
      <c r="C265" t="s">
        <v>58</v>
      </c>
      <c r="D265" t="s">
        <v>350</v>
      </c>
      <c r="F265" s="11">
        <v>-1.6330560000000001</v>
      </c>
      <c r="G265" s="11">
        <v>48.617778000000001</v>
      </c>
      <c r="H265" s="11">
        <v>1</v>
      </c>
    </row>
    <row r="266" spans="1:8" x14ac:dyDescent="0.3">
      <c r="A266" t="s">
        <v>354</v>
      </c>
      <c r="B266" t="s">
        <v>251</v>
      </c>
      <c r="C266" t="s">
        <v>60</v>
      </c>
      <c r="D266" t="s">
        <v>350</v>
      </c>
      <c r="F266" s="11">
        <v>-1.565833</v>
      </c>
      <c r="G266" s="11">
        <v>48.640278000000002</v>
      </c>
      <c r="H266" s="11">
        <v>1</v>
      </c>
    </row>
    <row r="267" spans="1:8" x14ac:dyDescent="0.3">
      <c r="A267" t="s">
        <v>355</v>
      </c>
      <c r="B267" t="s">
        <v>251</v>
      </c>
      <c r="C267" t="s">
        <v>62</v>
      </c>
      <c r="D267" t="s">
        <v>350</v>
      </c>
      <c r="F267" s="11">
        <v>-1.4827779999999999</v>
      </c>
      <c r="G267" s="11">
        <v>48.632221999999999</v>
      </c>
      <c r="H267" s="11">
        <v>1</v>
      </c>
    </row>
    <row r="268" spans="1:8" x14ac:dyDescent="0.3">
      <c r="A268" t="s">
        <v>356</v>
      </c>
      <c r="B268" t="s">
        <v>251</v>
      </c>
      <c r="C268" t="s">
        <v>64</v>
      </c>
      <c r="D268" t="s">
        <v>350</v>
      </c>
      <c r="F268" s="11">
        <v>-1.4075</v>
      </c>
      <c r="G268" s="11">
        <v>48.646110999999998</v>
      </c>
      <c r="H268" s="11">
        <v>1</v>
      </c>
    </row>
    <row r="269" spans="1:8" x14ac:dyDescent="0.3">
      <c r="A269" t="s">
        <v>357</v>
      </c>
      <c r="B269" t="s">
        <v>251</v>
      </c>
      <c r="C269" t="s">
        <v>66</v>
      </c>
      <c r="D269" t="s">
        <v>350</v>
      </c>
      <c r="F269" s="11">
        <v>-1.371389</v>
      </c>
      <c r="G269" s="11">
        <v>48.655000000000001</v>
      </c>
      <c r="H269" s="11">
        <v>1</v>
      </c>
    </row>
    <row r="270" spans="1:8" x14ac:dyDescent="0.3">
      <c r="A270" t="s">
        <v>358</v>
      </c>
      <c r="B270" t="s">
        <v>236</v>
      </c>
      <c r="C270" t="s">
        <v>68</v>
      </c>
      <c r="D270" t="s">
        <v>350</v>
      </c>
      <c r="F270" s="11">
        <v>-1.433611</v>
      </c>
      <c r="G270" s="11">
        <v>48.663611000000003</v>
      </c>
      <c r="H270" s="11">
        <v>1</v>
      </c>
    </row>
    <row r="271" spans="1:8" x14ac:dyDescent="0.3">
      <c r="A271" t="s">
        <v>359</v>
      </c>
      <c r="B271" t="s">
        <v>236</v>
      </c>
      <c r="C271" t="s">
        <v>71</v>
      </c>
      <c r="D271" t="s">
        <v>350</v>
      </c>
      <c r="F271" s="11">
        <v>-1.4944440000000001</v>
      </c>
      <c r="G271" s="11">
        <v>48.6875</v>
      </c>
      <c r="H271" s="11">
        <v>1</v>
      </c>
    </row>
    <row r="272" spans="1:8" x14ac:dyDescent="0.3">
      <c r="A272" t="s">
        <v>360</v>
      </c>
      <c r="B272" t="s">
        <v>236</v>
      </c>
      <c r="C272" t="s">
        <v>73</v>
      </c>
      <c r="D272" t="s">
        <v>350</v>
      </c>
      <c r="F272" s="11">
        <v>-1.523333</v>
      </c>
      <c r="G272" s="11">
        <v>48.727499999999999</v>
      </c>
      <c r="H272" s="11">
        <v>1</v>
      </c>
    </row>
    <row r="273" spans="1:8" x14ac:dyDescent="0.3">
      <c r="A273" t="s">
        <v>361</v>
      </c>
      <c r="B273" t="s">
        <v>23</v>
      </c>
      <c r="C273" t="s">
        <v>75</v>
      </c>
      <c r="D273" t="s">
        <v>350</v>
      </c>
      <c r="F273" s="11">
        <v>-1.5616669999999999</v>
      </c>
      <c r="G273" s="11">
        <v>48.769722000000002</v>
      </c>
      <c r="H273" s="11">
        <v>1</v>
      </c>
    </row>
    <row r="274" spans="1:8" x14ac:dyDescent="0.3">
      <c r="A274" t="s">
        <v>362</v>
      </c>
      <c r="B274" t="s">
        <v>23</v>
      </c>
      <c r="C274" t="s">
        <v>77</v>
      </c>
      <c r="D274" t="s">
        <v>350</v>
      </c>
      <c r="F274" s="11">
        <v>-1.5725</v>
      </c>
      <c r="G274" s="11">
        <v>48.828333000000001</v>
      </c>
      <c r="H274" s="11">
        <v>1</v>
      </c>
    </row>
    <row r="275" spans="1:8" x14ac:dyDescent="0.3">
      <c r="A275" t="s">
        <v>363</v>
      </c>
      <c r="B275" t="s">
        <v>23</v>
      </c>
      <c r="C275" t="s">
        <v>79</v>
      </c>
      <c r="D275" t="s">
        <v>350</v>
      </c>
      <c r="F275" s="11">
        <v>-1.582778</v>
      </c>
      <c r="G275" s="11">
        <v>48.853611000000001</v>
      </c>
      <c r="H275" s="11">
        <v>1</v>
      </c>
    </row>
    <row r="276" spans="1:8" x14ac:dyDescent="0.3">
      <c r="A276" t="s">
        <v>364</v>
      </c>
      <c r="B276" t="s">
        <v>23</v>
      </c>
      <c r="C276" t="s">
        <v>81</v>
      </c>
      <c r="D276" t="s">
        <v>350</v>
      </c>
      <c r="F276" s="11">
        <v>-1.5644439999999999</v>
      </c>
      <c r="G276" s="11">
        <v>48.91</v>
      </c>
      <c r="H276" s="11">
        <v>1</v>
      </c>
    </row>
    <row r="277" spans="1:8" x14ac:dyDescent="0.3">
      <c r="A277" t="s">
        <v>365</v>
      </c>
      <c r="B277" t="s">
        <v>22</v>
      </c>
      <c r="C277" t="s">
        <v>83</v>
      </c>
      <c r="D277" t="s">
        <v>350</v>
      </c>
      <c r="F277" s="11">
        <v>-1.541944</v>
      </c>
      <c r="G277" s="11">
        <v>48.942222000000001</v>
      </c>
      <c r="H277" s="11">
        <v>1</v>
      </c>
    </row>
    <row r="278" spans="1:8" x14ac:dyDescent="0.3">
      <c r="A278" t="s">
        <v>366</v>
      </c>
      <c r="B278" t="s">
        <v>22</v>
      </c>
      <c r="C278" t="s">
        <v>85</v>
      </c>
      <c r="D278" t="s">
        <v>350</v>
      </c>
      <c r="F278" s="11">
        <v>-1.5569440000000001</v>
      </c>
      <c r="G278" s="11">
        <v>48.993056000000003</v>
      </c>
      <c r="H278" s="11">
        <v>1</v>
      </c>
    </row>
    <row r="279" spans="1:8" x14ac:dyDescent="0.3">
      <c r="A279" t="s">
        <v>367</v>
      </c>
      <c r="B279" t="s">
        <v>13</v>
      </c>
      <c r="C279" t="s">
        <v>327</v>
      </c>
      <c r="D279" t="s">
        <v>350</v>
      </c>
      <c r="F279" s="11">
        <v>-1.520278</v>
      </c>
      <c r="G279" s="11">
        <v>49.028333000000003</v>
      </c>
      <c r="H279" s="11">
        <v>1</v>
      </c>
    </row>
    <row r="280" spans="1:8" x14ac:dyDescent="0.3">
      <c r="A280" t="s">
        <v>368</v>
      </c>
      <c r="B280" t="s">
        <v>13</v>
      </c>
      <c r="C280" t="s">
        <v>369</v>
      </c>
      <c r="D280" t="s">
        <v>350</v>
      </c>
      <c r="F280" s="11">
        <v>-1.5575000000000001</v>
      </c>
      <c r="G280" s="11">
        <v>49.033332999999999</v>
      </c>
      <c r="H280" s="11">
        <v>1</v>
      </c>
    </row>
    <row r="281" spans="1:8" x14ac:dyDescent="0.3">
      <c r="A281" t="s">
        <v>370</v>
      </c>
      <c r="B281" t="s">
        <v>38</v>
      </c>
      <c r="C281" t="s">
        <v>51</v>
      </c>
      <c r="D281" t="s">
        <v>371</v>
      </c>
      <c r="F281" s="11">
        <v>-1.5925</v>
      </c>
      <c r="G281" s="11">
        <v>49.026111</v>
      </c>
      <c r="H281" s="11">
        <v>1</v>
      </c>
    </row>
    <row r="282" spans="1:8" x14ac:dyDescent="0.3">
      <c r="A282" t="s">
        <v>372</v>
      </c>
      <c r="B282" t="s">
        <v>38</v>
      </c>
      <c r="C282" t="s">
        <v>54</v>
      </c>
      <c r="D282" t="s">
        <v>371</v>
      </c>
      <c r="F282" s="11">
        <v>-1.591944</v>
      </c>
      <c r="G282" s="11">
        <v>49.078333000000001</v>
      </c>
      <c r="H282" s="11">
        <v>1</v>
      </c>
    </row>
    <row r="283" spans="1:8" x14ac:dyDescent="0.3">
      <c r="A283" t="s">
        <v>373</v>
      </c>
      <c r="B283" t="s">
        <v>26</v>
      </c>
      <c r="C283" t="s">
        <v>56</v>
      </c>
      <c r="D283" t="s">
        <v>371</v>
      </c>
      <c r="F283" s="11">
        <v>-1.601667</v>
      </c>
      <c r="G283" s="11">
        <v>49.127499999999998</v>
      </c>
      <c r="H283" s="11">
        <v>1</v>
      </c>
    </row>
    <row r="284" spans="1:8" x14ac:dyDescent="0.3">
      <c r="A284" t="s">
        <v>374</v>
      </c>
      <c r="B284" t="s">
        <v>26</v>
      </c>
      <c r="C284" t="s">
        <v>58</v>
      </c>
      <c r="D284" t="s">
        <v>371</v>
      </c>
      <c r="F284" s="11">
        <v>-1.5936110000000001</v>
      </c>
      <c r="G284" s="11">
        <v>49.146388999999999</v>
      </c>
      <c r="H284" s="11">
        <v>1</v>
      </c>
    </row>
    <row r="285" spans="1:8" x14ac:dyDescent="0.3">
      <c r="A285" t="s">
        <v>375</v>
      </c>
      <c r="B285" t="s">
        <v>251</v>
      </c>
      <c r="C285" t="s">
        <v>60</v>
      </c>
      <c r="D285" t="s">
        <v>371</v>
      </c>
      <c r="F285" s="11">
        <v>-1.6094440000000001</v>
      </c>
      <c r="G285" s="11">
        <v>49.201943999999997</v>
      </c>
      <c r="H285" s="11">
        <v>1</v>
      </c>
    </row>
    <row r="286" spans="1:8" x14ac:dyDescent="0.3">
      <c r="A286" t="s">
        <v>376</v>
      </c>
      <c r="B286" t="s">
        <v>251</v>
      </c>
      <c r="C286" t="s">
        <v>62</v>
      </c>
      <c r="D286" t="s">
        <v>371</v>
      </c>
      <c r="F286" s="11">
        <v>-1.5513889999999999</v>
      </c>
      <c r="G286" s="11">
        <v>49.216667000000001</v>
      </c>
      <c r="H286" s="11">
        <v>1</v>
      </c>
    </row>
    <row r="287" spans="1:8" x14ac:dyDescent="0.3">
      <c r="A287" t="s">
        <v>377</v>
      </c>
      <c r="B287" t="s">
        <v>251</v>
      </c>
      <c r="C287" t="s">
        <v>64</v>
      </c>
      <c r="D287" t="s">
        <v>371</v>
      </c>
      <c r="F287" s="11">
        <v>-1.6197220000000001</v>
      </c>
      <c r="G287" s="11">
        <v>49.230832999999997</v>
      </c>
      <c r="H287" s="11">
        <v>1</v>
      </c>
    </row>
    <row r="288" spans="1:8" x14ac:dyDescent="0.3">
      <c r="A288" t="s">
        <v>378</v>
      </c>
      <c r="B288" t="s">
        <v>251</v>
      </c>
      <c r="C288" t="s">
        <v>66</v>
      </c>
      <c r="D288" t="s">
        <v>371</v>
      </c>
      <c r="F288" s="11">
        <v>-1.6502779999999999</v>
      </c>
      <c r="G288" s="11">
        <v>49.246667000000002</v>
      </c>
      <c r="H288" s="11">
        <v>1</v>
      </c>
    </row>
    <row r="289" spans="1:8" x14ac:dyDescent="0.3">
      <c r="A289" t="s">
        <v>379</v>
      </c>
      <c r="B289" t="s">
        <v>236</v>
      </c>
      <c r="C289" t="s">
        <v>68</v>
      </c>
      <c r="D289" t="s">
        <v>371</v>
      </c>
      <c r="F289" s="11">
        <v>-1.6675</v>
      </c>
      <c r="G289" s="11">
        <v>49.289444000000003</v>
      </c>
      <c r="H289" s="11">
        <v>1</v>
      </c>
    </row>
    <row r="290" spans="1:8" x14ac:dyDescent="0.3">
      <c r="A290" t="s">
        <v>380</v>
      </c>
      <c r="B290" t="s">
        <v>236</v>
      </c>
      <c r="C290" t="s">
        <v>71</v>
      </c>
      <c r="D290" t="s">
        <v>371</v>
      </c>
      <c r="F290" s="11">
        <v>-1.707778</v>
      </c>
      <c r="G290" s="11">
        <v>49.325833000000003</v>
      </c>
      <c r="H290" s="11">
        <v>1</v>
      </c>
    </row>
    <row r="291" spans="1:8" x14ac:dyDescent="0.3">
      <c r="A291" t="s">
        <v>381</v>
      </c>
      <c r="B291" t="s">
        <v>23</v>
      </c>
      <c r="C291" t="s">
        <v>75</v>
      </c>
      <c r="D291" t="s">
        <v>371</v>
      </c>
      <c r="F291" s="11">
        <v>-1.7086110000000001</v>
      </c>
      <c r="G291" s="11">
        <v>49.348610999999998</v>
      </c>
      <c r="H291" s="11">
        <v>1</v>
      </c>
    </row>
    <row r="292" spans="1:8" x14ac:dyDescent="0.3">
      <c r="A292" t="s">
        <v>382</v>
      </c>
      <c r="B292" t="s">
        <v>23</v>
      </c>
      <c r="C292" t="s">
        <v>77</v>
      </c>
      <c r="D292" t="s">
        <v>371</v>
      </c>
      <c r="F292" s="11">
        <v>-1.746667</v>
      </c>
      <c r="G292" s="11">
        <v>49.356943999999999</v>
      </c>
      <c r="H292" s="11">
        <v>1</v>
      </c>
    </row>
    <row r="293" spans="1:8" x14ac:dyDescent="0.3">
      <c r="A293" t="s">
        <v>383</v>
      </c>
      <c r="B293" t="s">
        <v>23</v>
      </c>
      <c r="C293" t="s">
        <v>79</v>
      </c>
      <c r="D293" t="s">
        <v>371</v>
      </c>
      <c r="F293" s="11">
        <v>-1.79</v>
      </c>
      <c r="G293" s="11">
        <v>49.375</v>
      </c>
      <c r="H293" s="11">
        <v>1</v>
      </c>
    </row>
    <row r="294" spans="1:8" x14ac:dyDescent="0.3">
      <c r="A294" t="s">
        <v>384</v>
      </c>
      <c r="B294" t="s">
        <v>23</v>
      </c>
      <c r="C294" t="s">
        <v>81</v>
      </c>
      <c r="D294" t="s">
        <v>371</v>
      </c>
      <c r="F294" s="11">
        <v>-1.8177779999999999</v>
      </c>
      <c r="G294" s="11">
        <v>49.420555999999998</v>
      </c>
      <c r="H294" s="11">
        <v>1</v>
      </c>
    </row>
    <row r="295" spans="1:8" x14ac:dyDescent="0.3">
      <c r="A295" t="s">
        <v>385</v>
      </c>
      <c r="B295" t="s">
        <v>22</v>
      </c>
      <c r="C295" t="s">
        <v>83</v>
      </c>
      <c r="D295" t="s">
        <v>371</v>
      </c>
      <c r="F295" s="11">
        <v>-1.842222</v>
      </c>
      <c r="G295" s="11">
        <v>49.471111000000001</v>
      </c>
      <c r="H295" s="11">
        <v>1</v>
      </c>
    </row>
    <row r="296" spans="1:8" x14ac:dyDescent="0.3">
      <c r="A296" t="s">
        <v>386</v>
      </c>
      <c r="B296" t="s">
        <v>13</v>
      </c>
      <c r="C296" t="s">
        <v>327</v>
      </c>
      <c r="D296" t="s">
        <v>371</v>
      </c>
      <c r="F296" s="11">
        <v>-1.8741669999999999</v>
      </c>
      <c r="G296" s="11">
        <v>49.517778</v>
      </c>
      <c r="H296" s="11">
        <v>1</v>
      </c>
    </row>
    <row r="297" spans="1:8" x14ac:dyDescent="0.3">
      <c r="A297" t="s">
        <v>387</v>
      </c>
      <c r="B297" t="s">
        <v>13</v>
      </c>
      <c r="C297" t="s">
        <v>369</v>
      </c>
      <c r="D297" t="s">
        <v>371</v>
      </c>
      <c r="F297" s="11">
        <v>-1.855278</v>
      </c>
      <c r="G297" s="11">
        <v>49.56</v>
      </c>
      <c r="H297" s="11">
        <v>1</v>
      </c>
    </row>
    <row r="298" spans="1:8" x14ac:dyDescent="0.3">
      <c r="A298" t="s">
        <v>388</v>
      </c>
      <c r="B298" t="s">
        <v>13</v>
      </c>
      <c r="C298" t="s">
        <v>389</v>
      </c>
      <c r="D298" t="s">
        <v>371</v>
      </c>
      <c r="F298" s="11">
        <v>-1.841944</v>
      </c>
      <c r="G298" s="11">
        <v>49.613610999999999</v>
      </c>
      <c r="H298" s="11">
        <v>1</v>
      </c>
    </row>
    <row r="299" spans="1:8" x14ac:dyDescent="0.3">
      <c r="A299" t="s">
        <v>390</v>
      </c>
      <c r="B299" t="s">
        <v>38</v>
      </c>
      <c r="C299" t="s">
        <v>51</v>
      </c>
      <c r="D299" t="s">
        <v>391</v>
      </c>
      <c r="F299" s="11">
        <v>-1.8738889999999999</v>
      </c>
      <c r="G299" s="11">
        <v>49.66</v>
      </c>
      <c r="H299" s="11">
        <v>1</v>
      </c>
    </row>
    <row r="300" spans="1:8" x14ac:dyDescent="0.3">
      <c r="A300" t="s">
        <v>392</v>
      </c>
      <c r="B300" t="s">
        <v>38</v>
      </c>
      <c r="C300" t="s">
        <v>54</v>
      </c>
      <c r="D300" t="s">
        <v>391</v>
      </c>
      <c r="F300" s="11">
        <v>-1.9444440000000001</v>
      </c>
      <c r="G300" s="11">
        <v>49.683056000000001</v>
      </c>
      <c r="H300" s="11">
        <v>1</v>
      </c>
    </row>
    <row r="301" spans="1:8" x14ac:dyDescent="0.3">
      <c r="A301" t="s">
        <v>393</v>
      </c>
      <c r="B301" t="s">
        <v>26</v>
      </c>
      <c r="C301" t="s">
        <v>56</v>
      </c>
      <c r="D301" t="s">
        <v>391</v>
      </c>
      <c r="F301" s="11">
        <v>-1.9202779999999999</v>
      </c>
      <c r="G301" s="11">
        <v>49.726666999999999</v>
      </c>
      <c r="H301" s="11">
        <v>1</v>
      </c>
    </row>
    <row r="302" spans="1:8" x14ac:dyDescent="0.3">
      <c r="A302" t="s">
        <v>394</v>
      </c>
      <c r="B302" t="s">
        <v>26</v>
      </c>
      <c r="C302" t="s">
        <v>58</v>
      </c>
      <c r="D302" t="s">
        <v>391</v>
      </c>
      <c r="F302" s="11">
        <v>-1.8561110000000001</v>
      </c>
      <c r="G302" s="11">
        <v>49.713332999999999</v>
      </c>
      <c r="H302" s="11">
        <v>1</v>
      </c>
    </row>
    <row r="303" spans="1:8" x14ac:dyDescent="0.3">
      <c r="A303" t="s">
        <v>395</v>
      </c>
      <c r="B303" t="s">
        <v>27</v>
      </c>
      <c r="C303" t="s">
        <v>60</v>
      </c>
      <c r="D303" t="s">
        <v>391</v>
      </c>
      <c r="F303" s="11">
        <v>-1.796667</v>
      </c>
      <c r="G303" s="11">
        <v>49.689722000000003</v>
      </c>
      <c r="H303" s="11">
        <v>1</v>
      </c>
    </row>
    <row r="304" spans="1:8" x14ac:dyDescent="0.3">
      <c r="A304" t="s">
        <v>396</v>
      </c>
      <c r="B304" t="s">
        <v>251</v>
      </c>
      <c r="C304" t="s">
        <v>62</v>
      </c>
      <c r="D304" t="s">
        <v>391</v>
      </c>
      <c r="F304" s="11">
        <v>-1.711111</v>
      </c>
      <c r="G304" s="11">
        <v>49.678333000000002</v>
      </c>
      <c r="H304" s="11">
        <v>1</v>
      </c>
    </row>
    <row r="305" spans="1:8" x14ac:dyDescent="0.3">
      <c r="A305" t="s">
        <v>397</v>
      </c>
      <c r="B305" t="s">
        <v>251</v>
      </c>
      <c r="C305" t="s">
        <v>64</v>
      </c>
      <c r="D305" t="s">
        <v>391</v>
      </c>
      <c r="F305" s="11">
        <v>-1.6441669999999999</v>
      </c>
      <c r="G305" s="11">
        <v>49.658889000000002</v>
      </c>
      <c r="H305" s="11">
        <v>1</v>
      </c>
    </row>
    <row r="306" spans="1:8" x14ac:dyDescent="0.3">
      <c r="A306" t="s">
        <v>398</v>
      </c>
      <c r="B306" t="s">
        <v>251</v>
      </c>
      <c r="C306" t="s">
        <v>66</v>
      </c>
      <c r="D306" t="s">
        <v>391</v>
      </c>
      <c r="F306" s="11">
        <v>-1.582778</v>
      </c>
      <c r="G306" s="11">
        <v>49.658889000000002</v>
      </c>
      <c r="H306" s="11">
        <v>1</v>
      </c>
    </row>
    <row r="307" spans="1:8" x14ac:dyDescent="0.3">
      <c r="A307" t="s">
        <v>399</v>
      </c>
      <c r="B307" t="s">
        <v>236</v>
      </c>
      <c r="C307" t="s">
        <v>68</v>
      </c>
      <c r="D307" t="s">
        <v>391</v>
      </c>
      <c r="F307" s="11">
        <v>-1.4972220000000001</v>
      </c>
      <c r="G307" s="11">
        <v>49.666666999999997</v>
      </c>
      <c r="H307" s="11">
        <v>1</v>
      </c>
    </row>
    <row r="308" spans="1:8" x14ac:dyDescent="0.3">
      <c r="A308" t="s">
        <v>400</v>
      </c>
      <c r="B308" t="s">
        <v>236</v>
      </c>
      <c r="C308" t="s">
        <v>71</v>
      </c>
      <c r="D308" t="s">
        <v>391</v>
      </c>
      <c r="F308" s="11">
        <v>-1.4424999999999999</v>
      </c>
      <c r="G308" s="11">
        <v>49.699722000000001</v>
      </c>
      <c r="H308" s="11">
        <v>1</v>
      </c>
    </row>
    <row r="309" spans="1:8" x14ac:dyDescent="0.3">
      <c r="A309" t="s">
        <v>401</v>
      </c>
      <c r="B309" t="s">
        <v>16</v>
      </c>
      <c r="C309" t="s">
        <v>79</v>
      </c>
      <c r="D309" t="s">
        <v>391</v>
      </c>
      <c r="F309" s="11">
        <v>-1.355</v>
      </c>
      <c r="G309" s="11">
        <v>49.703888999999997</v>
      </c>
      <c r="H309" s="11">
        <v>1</v>
      </c>
    </row>
    <row r="310" spans="1:8" x14ac:dyDescent="0.3">
      <c r="A310" t="s">
        <v>402</v>
      </c>
      <c r="B310" t="s">
        <v>16</v>
      </c>
      <c r="C310" t="s">
        <v>81</v>
      </c>
      <c r="D310" t="s">
        <v>391</v>
      </c>
      <c r="F310" s="11">
        <v>-1.2644439999999999</v>
      </c>
      <c r="G310" s="11">
        <v>49.695278000000002</v>
      </c>
      <c r="H310" s="11">
        <v>1</v>
      </c>
    </row>
    <row r="311" spans="1:8" x14ac:dyDescent="0.3">
      <c r="A311" t="s">
        <v>403</v>
      </c>
      <c r="B311" t="s">
        <v>16</v>
      </c>
      <c r="C311" t="s">
        <v>83</v>
      </c>
      <c r="D311" t="s">
        <v>391</v>
      </c>
      <c r="F311" s="11">
        <v>-1.2375</v>
      </c>
      <c r="G311" s="11">
        <v>49.651944</v>
      </c>
      <c r="H311" s="11">
        <v>1</v>
      </c>
    </row>
    <row r="312" spans="1:8" x14ac:dyDescent="0.3">
      <c r="A312" t="s">
        <v>404</v>
      </c>
      <c r="B312" t="s">
        <v>13</v>
      </c>
      <c r="C312" t="s">
        <v>369</v>
      </c>
      <c r="D312" t="s">
        <v>391</v>
      </c>
      <c r="F312" s="11">
        <v>-1.2483329999999999</v>
      </c>
      <c r="G312" s="11">
        <v>49.615000000000002</v>
      </c>
      <c r="H312" s="11">
        <v>1</v>
      </c>
    </row>
    <row r="313" spans="1:8" x14ac:dyDescent="0.3">
      <c r="A313" t="s">
        <v>405</v>
      </c>
      <c r="B313" t="s">
        <v>13</v>
      </c>
      <c r="C313" t="s">
        <v>389</v>
      </c>
      <c r="D313" t="s">
        <v>391</v>
      </c>
      <c r="F313" s="11">
        <v>-1.296111</v>
      </c>
      <c r="G313" s="11">
        <v>49.581667000000003</v>
      </c>
      <c r="H313" s="11">
        <v>1</v>
      </c>
    </row>
    <row r="314" spans="1:8" x14ac:dyDescent="0.3">
      <c r="A314" t="s">
        <v>406</v>
      </c>
      <c r="B314" t="s">
        <v>13</v>
      </c>
      <c r="C314" t="s">
        <v>407</v>
      </c>
      <c r="D314" t="s">
        <v>391</v>
      </c>
      <c r="F314" s="11">
        <v>-1.291944</v>
      </c>
      <c r="G314" s="11">
        <v>49.527777999999998</v>
      </c>
      <c r="H314" s="11">
        <v>1</v>
      </c>
    </row>
    <row r="315" spans="1:8" x14ac:dyDescent="0.3">
      <c r="A315" t="s">
        <v>408</v>
      </c>
      <c r="B315" t="s">
        <v>34</v>
      </c>
      <c r="C315" t="s">
        <v>51</v>
      </c>
      <c r="D315" t="s">
        <v>409</v>
      </c>
      <c r="F315" s="11">
        <v>-1.253889</v>
      </c>
      <c r="G315" s="11">
        <v>49.484999999999999</v>
      </c>
      <c r="H315" s="11">
        <v>1</v>
      </c>
    </row>
    <row r="316" spans="1:8" x14ac:dyDescent="0.3">
      <c r="A316" t="s">
        <v>410</v>
      </c>
      <c r="B316" t="s">
        <v>34</v>
      </c>
      <c r="C316" t="s">
        <v>54</v>
      </c>
      <c r="D316" t="s">
        <v>409</v>
      </c>
      <c r="F316" s="11">
        <v>-1.2091670000000001</v>
      </c>
      <c r="G316" s="11">
        <v>49.446111000000002</v>
      </c>
      <c r="H316" s="11">
        <v>1</v>
      </c>
    </row>
    <row r="317" spans="1:8" x14ac:dyDescent="0.3">
      <c r="A317" t="s">
        <v>411</v>
      </c>
      <c r="B317" t="s">
        <v>18</v>
      </c>
      <c r="C317" t="s">
        <v>56</v>
      </c>
      <c r="D317" t="s">
        <v>409</v>
      </c>
      <c r="F317" s="11">
        <v>-1.165278</v>
      </c>
      <c r="G317" s="11">
        <v>49.406666999999999</v>
      </c>
      <c r="H317" s="11">
        <v>1</v>
      </c>
    </row>
    <row r="318" spans="1:8" x14ac:dyDescent="0.3">
      <c r="A318" t="s">
        <v>412</v>
      </c>
      <c r="B318" t="s">
        <v>18</v>
      </c>
      <c r="C318" t="s">
        <v>58</v>
      </c>
      <c r="D318" t="s">
        <v>409</v>
      </c>
      <c r="F318" s="11">
        <v>-1.1847220000000001</v>
      </c>
      <c r="G318" s="11">
        <v>49.358055999999998</v>
      </c>
      <c r="H318" s="11">
        <v>1</v>
      </c>
    </row>
    <row r="319" spans="1:8" x14ac:dyDescent="0.3">
      <c r="A319" t="s">
        <v>413</v>
      </c>
      <c r="B319" t="s">
        <v>19</v>
      </c>
      <c r="C319" t="s">
        <v>60</v>
      </c>
      <c r="D319" t="s">
        <v>409</v>
      </c>
      <c r="F319" s="11">
        <v>-1.1419440000000001</v>
      </c>
      <c r="G319" s="11">
        <v>49.343888999999997</v>
      </c>
      <c r="H319" s="11">
        <v>1</v>
      </c>
    </row>
    <row r="320" spans="1:8" x14ac:dyDescent="0.3">
      <c r="A320" t="s">
        <v>414</v>
      </c>
      <c r="B320" t="s">
        <v>19</v>
      </c>
      <c r="C320" t="s">
        <v>62</v>
      </c>
      <c r="D320" t="s">
        <v>409</v>
      </c>
      <c r="F320" s="11">
        <v>-1.1080559999999999</v>
      </c>
      <c r="G320" s="11">
        <v>49.370832999999998</v>
      </c>
      <c r="H320" s="11">
        <v>1</v>
      </c>
    </row>
    <row r="321" spans="1:8" x14ac:dyDescent="0.3">
      <c r="A321" t="s">
        <v>415</v>
      </c>
      <c r="B321" t="s">
        <v>19</v>
      </c>
      <c r="C321" t="s">
        <v>64</v>
      </c>
      <c r="D321" t="s">
        <v>409</v>
      </c>
      <c r="F321" s="11">
        <v>-1.0433330000000001</v>
      </c>
      <c r="G321" s="11">
        <v>49.391388999999997</v>
      </c>
      <c r="H321" s="11">
        <v>1</v>
      </c>
    </row>
    <row r="322" spans="1:8" x14ac:dyDescent="0.3">
      <c r="A322" t="s">
        <v>416</v>
      </c>
      <c r="B322" t="s">
        <v>19</v>
      </c>
      <c r="C322" t="s">
        <v>66</v>
      </c>
      <c r="D322" t="s">
        <v>409</v>
      </c>
      <c r="F322" s="11">
        <v>-0.94861099999999998</v>
      </c>
      <c r="G322" s="11">
        <v>49.395555999999999</v>
      </c>
      <c r="H322" s="11">
        <v>1</v>
      </c>
    </row>
    <row r="323" spans="1:8" x14ac:dyDescent="0.3">
      <c r="A323" t="s">
        <v>417</v>
      </c>
      <c r="B323" t="s">
        <v>17</v>
      </c>
      <c r="C323" t="s">
        <v>68</v>
      </c>
      <c r="D323" t="s">
        <v>409</v>
      </c>
      <c r="F323" s="11">
        <v>-0.87749999999999995</v>
      </c>
      <c r="G323" s="11">
        <v>49.371667000000002</v>
      </c>
      <c r="H323" s="11">
        <v>1</v>
      </c>
    </row>
    <row r="324" spans="1:8" x14ac:dyDescent="0.3">
      <c r="A324" t="s">
        <v>418</v>
      </c>
      <c r="B324" t="s">
        <v>17</v>
      </c>
      <c r="C324" t="s">
        <v>71</v>
      </c>
      <c r="D324" t="s">
        <v>409</v>
      </c>
      <c r="F324" s="11">
        <v>-0.78722199999999998</v>
      </c>
      <c r="G324" s="11">
        <v>49.358611000000003</v>
      </c>
      <c r="H324" s="11">
        <v>1</v>
      </c>
    </row>
    <row r="325" spans="1:8" x14ac:dyDescent="0.3">
      <c r="A325" t="s">
        <v>419</v>
      </c>
      <c r="B325" t="s">
        <v>17</v>
      </c>
      <c r="C325" t="s">
        <v>73</v>
      </c>
      <c r="D325" t="s">
        <v>409</v>
      </c>
      <c r="F325" s="11">
        <v>-0.69055599999999995</v>
      </c>
      <c r="G325" s="11">
        <v>49.35</v>
      </c>
      <c r="H325" s="11">
        <v>1</v>
      </c>
    </row>
    <row r="326" spans="1:8" x14ac:dyDescent="0.3">
      <c r="A326" t="s">
        <v>420</v>
      </c>
      <c r="B326" t="s">
        <v>16</v>
      </c>
      <c r="C326" t="s">
        <v>81</v>
      </c>
      <c r="D326" t="s">
        <v>409</v>
      </c>
      <c r="F326" s="11">
        <v>-0.59777800000000003</v>
      </c>
      <c r="G326" s="11">
        <v>49.343333000000001</v>
      </c>
      <c r="H326" s="11">
        <v>1</v>
      </c>
    </row>
    <row r="327" spans="1:8" x14ac:dyDescent="0.3">
      <c r="A327" t="s">
        <v>421</v>
      </c>
      <c r="B327" t="s">
        <v>16</v>
      </c>
      <c r="C327" t="s">
        <v>83</v>
      </c>
      <c r="D327" t="s">
        <v>409</v>
      </c>
      <c r="F327" s="11">
        <v>-0.51416700000000004</v>
      </c>
      <c r="G327" s="11">
        <v>49.348610999999998</v>
      </c>
      <c r="H327" s="11">
        <v>1</v>
      </c>
    </row>
    <row r="328" spans="1:8" x14ac:dyDescent="0.3">
      <c r="A328" t="s">
        <v>422</v>
      </c>
      <c r="B328" t="s">
        <v>13</v>
      </c>
      <c r="C328" t="s">
        <v>369</v>
      </c>
      <c r="D328" t="s">
        <v>409</v>
      </c>
      <c r="F328" s="11">
        <v>-0.42416700000000002</v>
      </c>
      <c r="G328" s="11">
        <v>49.341943999999998</v>
      </c>
      <c r="H328" s="11">
        <v>1</v>
      </c>
    </row>
    <row r="329" spans="1:8" x14ac:dyDescent="0.3">
      <c r="A329" t="s">
        <v>423</v>
      </c>
      <c r="B329" t="s">
        <v>13</v>
      </c>
      <c r="C329" t="s">
        <v>389</v>
      </c>
      <c r="D329" t="s">
        <v>409</v>
      </c>
      <c r="F329" s="11">
        <v>-0.34972199999999998</v>
      </c>
      <c r="G329" s="11">
        <v>49.319443999999997</v>
      </c>
      <c r="H329" s="11">
        <v>1</v>
      </c>
    </row>
    <row r="330" spans="1:8" x14ac:dyDescent="0.3">
      <c r="A330" t="s">
        <v>424</v>
      </c>
      <c r="B330" t="s">
        <v>34</v>
      </c>
      <c r="C330" t="s">
        <v>51</v>
      </c>
      <c r="D330" t="s">
        <v>425</v>
      </c>
      <c r="F330" s="11">
        <v>-0.276667</v>
      </c>
      <c r="G330" s="11">
        <v>49.297499999999999</v>
      </c>
      <c r="H330" s="11">
        <v>1</v>
      </c>
    </row>
    <row r="331" spans="1:8" x14ac:dyDescent="0.3">
      <c r="A331" t="s">
        <v>426</v>
      </c>
      <c r="B331" t="s">
        <v>34</v>
      </c>
      <c r="C331" t="s">
        <v>54</v>
      </c>
      <c r="D331" t="s">
        <v>425</v>
      </c>
      <c r="F331" s="11">
        <v>-0.22583300000000001</v>
      </c>
      <c r="G331" s="11">
        <v>49.275278</v>
      </c>
      <c r="H331" s="11">
        <v>1</v>
      </c>
    </row>
    <row r="332" spans="1:8" x14ac:dyDescent="0.3">
      <c r="A332" t="s">
        <v>427</v>
      </c>
      <c r="B332" t="s">
        <v>18</v>
      </c>
      <c r="C332" t="s">
        <v>56</v>
      </c>
      <c r="D332" t="s">
        <v>425</v>
      </c>
      <c r="H332" s="11">
        <v>1</v>
      </c>
    </row>
    <row r="333" spans="1:8" x14ac:dyDescent="0.3">
      <c r="A333" t="s">
        <v>428</v>
      </c>
      <c r="B333" t="s">
        <v>18</v>
      </c>
      <c r="C333" t="s">
        <v>58</v>
      </c>
      <c r="D333" t="s">
        <v>425</v>
      </c>
      <c r="F333" s="11">
        <v>-0.156667</v>
      </c>
      <c r="G333" s="11">
        <v>49.294722</v>
      </c>
      <c r="H333" s="11">
        <v>1</v>
      </c>
    </row>
    <row r="334" spans="1:8" x14ac:dyDescent="0.3">
      <c r="A334" t="s">
        <v>429</v>
      </c>
      <c r="B334" t="s">
        <v>19</v>
      </c>
      <c r="C334" t="s">
        <v>60</v>
      </c>
      <c r="D334" t="s">
        <v>425</v>
      </c>
      <c r="F334" s="11">
        <v>-7.3332999999999995E-2</v>
      </c>
      <c r="G334" s="11">
        <v>49.305556000000003</v>
      </c>
      <c r="H334" s="11">
        <v>1</v>
      </c>
    </row>
    <row r="335" spans="1:8" x14ac:dyDescent="0.3">
      <c r="A335" t="s">
        <v>430</v>
      </c>
      <c r="B335" t="s">
        <v>19</v>
      </c>
      <c r="C335" t="s">
        <v>62</v>
      </c>
      <c r="D335" t="s">
        <v>425</v>
      </c>
      <c r="F335" s="11">
        <v>-3.6110000000000001E-3</v>
      </c>
      <c r="G335" s="11">
        <v>49.327500000000001</v>
      </c>
      <c r="H335" s="11">
        <v>1</v>
      </c>
    </row>
    <row r="336" spans="1:8" x14ac:dyDescent="0.3">
      <c r="A336" t="s">
        <v>431</v>
      </c>
      <c r="B336" t="s">
        <v>19</v>
      </c>
      <c r="C336" t="s">
        <v>64</v>
      </c>
      <c r="D336" t="s">
        <v>425</v>
      </c>
      <c r="F336" s="11">
        <v>6.2222E-2</v>
      </c>
      <c r="G336" s="11">
        <v>49.351944000000003</v>
      </c>
      <c r="H336" s="11">
        <v>1</v>
      </c>
    </row>
    <row r="337" spans="1:8" x14ac:dyDescent="0.3">
      <c r="A337" t="s">
        <v>432</v>
      </c>
      <c r="B337" t="s">
        <v>19</v>
      </c>
      <c r="C337" t="s">
        <v>66</v>
      </c>
      <c r="D337" t="s">
        <v>425</v>
      </c>
      <c r="F337" s="11">
        <v>0.110556</v>
      </c>
      <c r="G337" s="11">
        <v>49.388888999999999</v>
      </c>
      <c r="H337" s="11">
        <v>1</v>
      </c>
    </row>
    <row r="338" spans="1:8" x14ac:dyDescent="0.3">
      <c r="A338" t="s">
        <v>433</v>
      </c>
      <c r="B338" t="s">
        <v>17</v>
      </c>
      <c r="C338" t="s">
        <v>68</v>
      </c>
      <c r="D338" t="s">
        <v>425</v>
      </c>
      <c r="F338" s="11">
        <v>0.17499999999999999</v>
      </c>
      <c r="G338" s="11">
        <v>49.414721999999998</v>
      </c>
      <c r="H338" s="11">
        <v>1</v>
      </c>
    </row>
    <row r="339" spans="1:8" x14ac:dyDescent="0.3">
      <c r="A339" t="s">
        <v>434</v>
      </c>
      <c r="B339" t="s">
        <v>17</v>
      </c>
      <c r="C339" t="s">
        <v>71</v>
      </c>
      <c r="D339" t="s">
        <v>425</v>
      </c>
      <c r="F339" s="11">
        <v>0.246111</v>
      </c>
      <c r="G339" s="11">
        <v>49.428888999999998</v>
      </c>
      <c r="H339" s="11">
        <v>1</v>
      </c>
    </row>
    <row r="340" spans="1:8" x14ac:dyDescent="0.3">
      <c r="A340" t="s">
        <v>435</v>
      </c>
      <c r="B340" t="s">
        <v>17</v>
      </c>
      <c r="C340" t="s">
        <v>73</v>
      </c>
      <c r="D340" t="s">
        <v>425</v>
      </c>
      <c r="F340" s="11">
        <v>0.33444400000000002</v>
      </c>
      <c r="G340" s="11">
        <v>49.435833000000002</v>
      </c>
      <c r="H340" s="11">
        <v>1</v>
      </c>
    </row>
    <row r="341" spans="1:8" x14ac:dyDescent="0.3">
      <c r="A341" t="s">
        <v>436</v>
      </c>
      <c r="B341" t="s">
        <v>16</v>
      </c>
      <c r="C341" t="s">
        <v>81</v>
      </c>
      <c r="D341" t="s">
        <v>425</v>
      </c>
      <c r="F341" s="11">
        <v>0.41444399999999998</v>
      </c>
      <c r="G341" s="11">
        <v>49.449444</v>
      </c>
      <c r="H341" s="11">
        <v>1</v>
      </c>
    </row>
    <row r="342" spans="1:8" x14ac:dyDescent="0.3">
      <c r="A342" t="s">
        <v>437</v>
      </c>
      <c r="B342" t="s">
        <v>13</v>
      </c>
      <c r="C342" t="s">
        <v>304</v>
      </c>
      <c r="D342" t="s">
        <v>425</v>
      </c>
      <c r="F342" s="11">
        <v>0.47722199999999998</v>
      </c>
      <c r="G342" s="11">
        <v>49.476111000000003</v>
      </c>
      <c r="H342" s="11">
        <v>1</v>
      </c>
    </row>
    <row r="343" spans="1:8" x14ac:dyDescent="0.3">
      <c r="A343" t="s">
        <v>438</v>
      </c>
      <c r="B343" t="s">
        <v>13</v>
      </c>
      <c r="C343" t="s">
        <v>327</v>
      </c>
      <c r="D343" t="s">
        <v>425</v>
      </c>
      <c r="F343" s="11">
        <v>0.45111099999999998</v>
      </c>
      <c r="G343" s="11">
        <v>49.474443999999998</v>
      </c>
      <c r="H343" s="11">
        <v>1</v>
      </c>
    </row>
    <row r="344" spans="1:8" x14ac:dyDescent="0.3">
      <c r="A344" t="s">
        <v>439</v>
      </c>
      <c r="B344" t="s">
        <v>440</v>
      </c>
      <c r="C344" t="s">
        <v>369</v>
      </c>
      <c r="D344" t="s">
        <v>425</v>
      </c>
      <c r="F344" s="11">
        <v>0.37666699999999997</v>
      </c>
      <c r="G344" s="11">
        <v>49.456667000000003</v>
      </c>
      <c r="H344" s="11">
        <v>1</v>
      </c>
    </row>
    <row r="345" spans="1:8" x14ac:dyDescent="0.3">
      <c r="A345" t="s">
        <v>441</v>
      </c>
      <c r="B345" t="s">
        <v>13</v>
      </c>
      <c r="C345" t="s">
        <v>389</v>
      </c>
      <c r="D345" t="s">
        <v>425</v>
      </c>
      <c r="F345" s="11">
        <v>0.283333</v>
      </c>
      <c r="G345" s="11">
        <v>49.456111</v>
      </c>
      <c r="H345" s="11">
        <v>1</v>
      </c>
    </row>
    <row r="346" spans="1:8" x14ac:dyDescent="0.3">
      <c r="A346" t="s">
        <v>441</v>
      </c>
      <c r="B346" t="s">
        <v>13</v>
      </c>
      <c r="C346" t="s">
        <v>389</v>
      </c>
      <c r="D346" t="s">
        <v>425</v>
      </c>
      <c r="F346" s="11">
        <v>0.20083300000000001</v>
      </c>
      <c r="G346" s="11">
        <v>49.473610999999998</v>
      </c>
      <c r="H346" s="11">
        <v>1</v>
      </c>
    </row>
    <row r="347" spans="1:8" x14ac:dyDescent="0.3">
      <c r="A347" t="s">
        <v>442</v>
      </c>
      <c r="B347" t="s">
        <v>12</v>
      </c>
      <c r="C347" t="s">
        <v>443</v>
      </c>
      <c r="D347" t="s">
        <v>444</v>
      </c>
      <c r="F347" s="11">
        <v>0.155556</v>
      </c>
      <c r="G347" s="11">
        <v>49.477778000000001</v>
      </c>
      <c r="H347" s="11">
        <v>1</v>
      </c>
    </row>
    <row r="348" spans="1:8" x14ac:dyDescent="0.3">
      <c r="A348" t="s">
        <v>445</v>
      </c>
      <c r="B348" t="s">
        <v>12</v>
      </c>
      <c r="C348" t="s">
        <v>446</v>
      </c>
      <c r="D348" t="s">
        <v>444</v>
      </c>
      <c r="F348" s="11">
        <v>9.3332999999999999E-2</v>
      </c>
      <c r="G348" s="11">
        <v>49.504443999999999</v>
      </c>
      <c r="H348" s="11">
        <v>1</v>
      </c>
    </row>
    <row r="349" spans="1:8" x14ac:dyDescent="0.3">
      <c r="A349" t="s">
        <v>447</v>
      </c>
      <c r="B349" t="s">
        <v>34</v>
      </c>
      <c r="C349" t="s">
        <v>54</v>
      </c>
      <c r="D349" t="s">
        <v>444</v>
      </c>
      <c r="F349" s="11">
        <v>8.8610999999999995E-2</v>
      </c>
      <c r="G349" s="11">
        <v>49.550556</v>
      </c>
      <c r="H349" s="11">
        <v>1</v>
      </c>
    </row>
    <row r="350" spans="1:8" x14ac:dyDescent="0.3">
      <c r="A350" t="s">
        <v>448</v>
      </c>
      <c r="B350" t="s">
        <v>18</v>
      </c>
      <c r="C350" t="s">
        <v>56</v>
      </c>
      <c r="D350" t="s">
        <v>444</v>
      </c>
      <c r="F350" s="11">
        <v>0.125556</v>
      </c>
      <c r="G350" s="11">
        <v>49.597777999999998</v>
      </c>
      <c r="H350" s="11">
        <v>1</v>
      </c>
    </row>
    <row r="351" spans="1:8" x14ac:dyDescent="0.3">
      <c r="A351" t="s">
        <v>449</v>
      </c>
      <c r="B351" t="s">
        <v>18</v>
      </c>
      <c r="C351" t="s">
        <v>58</v>
      </c>
      <c r="D351" t="s">
        <v>444</v>
      </c>
      <c r="F351" s="11">
        <v>0.156944</v>
      </c>
      <c r="G351" s="11">
        <v>49.648888999999997</v>
      </c>
      <c r="H351" s="11">
        <v>1</v>
      </c>
    </row>
    <row r="352" spans="1:8" x14ac:dyDescent="0.3">
      <c r="A352" t="s">
        <v>450</v>
      </c>
      <c r="B352" t="s">
        <v>19</v>
      </c>
      <c r="C352" t="s">
        <v>60</v>
      </c>
      <c r="D352" t="s">
        <v>444</v>
      </c>
      <c r="F352" s="11">
        <v>0.184444</v>
      </c>
      <c r="G352" s="11">
        <v>49.702778000000002</v>
      </c>
      <c r="H352" s="11">
        <v>1</v>
      </c>
    </row>
    <row r="353" spans="1:8" x14ac:dyDescent="0.3">
      <c r="A353" t="s">
        <v>451</v>
      </c>
      <c r="B353" t="s">
        <v>19</v>
      </c>
      <c r="C353" t="s">
        <v>62</v>
      </c>
      <c r="D353" t="s">
        <v>444</v>
      </c>
      <c r="F353" s="11">
        <v>0.249722</v>
      </c>
      <c r="G353" s="11">
        <v>49.726944000000003</v>
      </c>
      <c r="H353" s="11">
        <v>1</v>
      </c>
    </row>
    <row r="354" spans="1:8" x14ac:dyDescent="0.3">
      <c r="A354" t="s">
        <v>452</v>
      </c>
      <c r="B354" t="s">
        <v>19</v>
      </c>
      <c r="C354" t="s">
        <v>64</v>
      </c>
      <c r="D354" t="s">
        <v>444</v>
      </c>
      <c r="F354" s="11">
        <v>0.32194400000000001</v>
      </c>
      <c r="G354" s="11">
        <v>49.746667000000002</v>
      </c>
      <c r="H354" s="11">
        <v>1</v>
      </c>
    </row>
    <row r="355" spans="1:8" x14ac:dyDescent="0.3">
      <c r="A355" t="s">
        <v>453</v>
      </c>
      <c r="B355" t="s">
        <v>19</v>
      </c>
      <c r="C355" t="s">
        <v>66</v>
      </c>
      <c r="D355" t="s">
        <v>444</v>
      </c>
      <c r="F355" s="11">
        <v>0.38333299999999998</v>
      </c>
      <c r="G355" s="11">
        <v>49.774999999999999</v>
      </c>
      <c r="H355" s="11">
        <v>1</v>
      </c>
    </row>
    <row r="356" spans="1:8" x14ac:dyDescent="0.3">
      <c r="A356" t="s">
        <v>454</v>
      </c>
      <c r="B356" t="s">
        <v>17</v>
      </c>
      <c r="C356" t="s">
        <v>68</v>
      </c>
      <c r="D356" t="s">
        <v>444</v>
      </c>
      <c r="F356" s="11">
        <v>0.44500000000000001</v>
      </c>
      <c r="G356" s="11">
        <v>49.795000000000002</v>
      </c>
      <c r="H356" s="11">
        <v>1</v>
      </c>
    </row>
    <row r="357" spans="1:8" x14ac:dyDescent="0.3">
      <c r="A357" t="s">
        <v>455</v>
      </c>
      <c r="B357" t="s">
        <v>17</v>
      </c>
      <c r="C357" t="s">
        <v>71</v>
      </c>
      <c r="D357" t="s">
        <v>444</v>
      </c>
      <c r="F357" s="11">
        <v>0.50944400000000001</v>
      </c>
      <c r="G357" s="11">
        <v>49.820833</v>
      </c>
      <c r="H357" s="11">
        <v>1</v>
      </c>
    </row>
    <row r="358" spans="1:8" x14ac:dyDescent="0.3">
      <c r="A358" t="s">
        <v>456</v>
      </c>
      <c r="B358" t="s">
        <v>34</v>
      </c>
      <c r="C358" t="s">
        <v>457</v>
      </c>
      <c r="D358" t="s">
        <v>444</v>
      </c>
      <c r="F358" s="11">
        <v>0.57222200000000001</v>
      </c>
      <c r="G358" s="11">
        <v>49.848056</v>
      </c>
      <c r="H358" s="11">
        <v>1</v>
      </c>
    </row>
    <row r="359" spans="1:8" x14ac:dyDescent="0.3">
      <c r="A359" t="s">
        <v>458</v>
      </c>
      <c r="B359" t="s">
        <v>16</v>
      </c>
      <c r="C359" t="s">
        <v>81</v>
      </c>
      <c r="D359" t="s">
        <v>444</v>
      </c>
      <c r="F359" s="11">
        <v>0.64611099999999999</v>
      </c>
      <c r="G359" s="11">
        <v>49.866667</v>
      </c>
      <c r="H359" s="11">
        <v>1</v>
      </c>
    </row>
    <row r="360" spans="1:8" x14ac:dyDescent="0.3">
      <c r="A360" t="s">
        <v>459</v>
      </c>
      <c r="B360" t="s">
        <v>16</v>
      </c>
      <c r="C360" t="s">
        <v>83</v>
      </c>
      <c r="D360" t="s">
        <v>444</v>
      </c>
      <c r="F360" s="11">
        <v>0.73305600000000004</v>
      </c>
      <c r="G360" s="11">
        <v>49.873610999999997</v>
      </c>
      <c r="H360" s="11">
        <v>1</v>
      </c>
    </row>
    <row r="361" spans="1:8" x14ac:dyDescent="0.3">
      <c r="A361" t="s">
        <v>460</v>
      </c>
      <c r="B361" t="s">
        <v>16</v>
      </c>
      <c r="C361" t="s">
        <v>85</v>
      </c>
      <c r="D361" t="s">
        <v>444</v>
      </c>
      <c r="F361" s="11">
        <v>0.81527799999999995</v>
      </c>
      <c r="G361" s="11">
        <v>49.885832999999998</v>
      </c>
      <c r="H361" s="11">
        <v>1</v>
      </c>
    </row>
    <row r="362" spans="1:8" x14ac:dyDescent="0.3">
      <c r="A362" t="s">
        <v>461</v>
      </c>
      <c r="B362" t="s">
        <v>12</v>
      </c>
      <c r="C362" t="s">
        <v>304</v>
      </c>
      <c r="D362" t="s">
        <v>444</v>
      </c>
      <c r="F362" s="11">
        <v>0.89500000000000002</v>
      </c>
      <c r="G362" s="11">
        <v>49.899721999999997</v>
      </c>
      <c r="H362" s="11">
        <v>1</v>
      </c>
    </row>
    <row r="363" spans="1:8" x14ac:dyDescent="0.3">
      <c r="A363" t="s">
        <v>462</v>
      </c>
      <c r="B363" t="s">
        <v>12</v>
      </c>
      <c r="C363" t="s">
        <v>327</v>
      </c>
      <c r="D363" t="s">
        <v>444</v>
      </c>
      <c r="F363" s="11">
        <v>0.96499999999999997</v>
      </c>
      <c r="G363" s="11">
        <v>49.920555999999998</v>
      </c>
      <c r="H363" s="11">
        <v>1</v>
      </c>
    </row>
    <row r="364" spans="1:8" x14ac:dyDescent="0.3">
      <c r="A364" t="s">
        <v>463</v>
      </c>
      <c r="B364" t="s">
        <v>12</v>
      </c>
      <c r="C364" t="s">
        <v>369</v>
      </c>
      <c r="D364" t="s">
        <v>444</v>
      </c>
      <c r="F364" s="11">
        <v>1.0569440000000001</v>
      </c>
      <c r="G364" s="11">
        <v>49.924999999999997</v>
      </c>
      <c r="H364" s="11">
        <v>1</v>
      </c>
    </row>
    <row r="365" spans="1:8" x14ac:dyDescent="0.3">
      <c r="A365" t="s">
        <v>464</v>
      </c>
      <c r="B365" t="s">
        <v>12</v>
      </c>
      <c r="C365" t="s">
        <v>389</v>
      </c>
      <c r="D365" t="s">
        <v>444</v>
      </c>
      <c r="F365" s="11">
        <v>1.1258330000000001</v>
      </c>
      <c r="G365" s="11">
        <v>49.947778</v>
      </c>
      <c r="H365" s="11">
        <v>1</v>
      </c>
    </row>
    <row r="366" spans="1:8" x14ac:dyDescent="0.3">
      <c r="A366" t="s">
        <v>465</v>
      </c>
      <c r="B366" t="s">
        <v>12</v>
      </c>
      <c r="C366" t="s">
        <v>407</v>
      </c>
      <c r="D366" t="s">
        <v>444</v>
      </c>
      <c r="F366" s="11">
        <v>1.1975</v>
      </c>
      <c r="G366" s="11">
        <v>49.968333000000001</v>
      </c>
      <c r="H366" s="11">
        <v>1</v>
      </c>
    </row>
    <row r="367" spans="1:8" x14ac:dyDescent="0.3">
      <c r="A367" t="s">
        <v>466</v>
      </c>
      <c r="B367" t="s">
        <v>12</v>
      </c>
      <c r="C367" t="s">
        <v>467</v>
      </c>
      <c r="D367" t="s">
        <v>444</v>
      </c>
      <c r="F367" s="11">
        <v>1.2577780000000001</v>
      </c>
      <c r="G367" s="11">
        <v>49.997500000000002</v>
      </c>
      <c r="H367" s="11">
        <v>1</v>
      </c>
    </row>
    <row r="368" spans="1:8" x14ac:dyDescent="0.3">
      <c r="A368" t="s">
        <v>468</v>
      </c>
      <c r="B368" t="s">
        <v>12</v>
      </c>
      <c r="C368" t="s">
        <v>469</v>
      </c>
      <c r="D368" t="s">
        <v>444</v>
      </c>
      <c r="F368" s="11">
        <v>1.3113889999999999</v>
      </c>
      <c r="G368" s="11">
        <v>50.031944000000003</v>
      </c>
      <c r="H368" s="11">
        <v>1</v>
      </c>
    </row>
    <row r="369" spans="1:8" x14ac:dyDescent="0.3">
      <c r="A369" t="s">
        <v>470</v>
      </c>
      <c r="B369" t="s">
        <v>34</v>
      </c>
      <c r="C369" t="s">
        <v>51</v>
      </c>
      <c r="D369" t="s">
        <v>471</v>
      </c>
      <c r="F369" s="11">
        <v>1.368611</v>
      </c>
      <c r="G369" s="11">
        <v>50.064166999999998</v>
      </c>
      <c r="H369" s="11">
        <v>1</v>
      </c>
    </row>
    <row r="370" spans="1:8" x14ac:dyDescent="0.3">
      <c r="A370" t="s">
        <v>472</v>
      </c>
      <c r="B370" t="s">
        <v>34</v>
      </c>
      <c r="C370" t="s">
        <v>54</v>
      </c>
      <c r="D370" t="s">
        <v>471</v>
      </c>
      <c r="F370" s="11">
        <v>1.427778</v>
      </c>
      <c r="G370" s="11">
        <v>50.094166999999999</v>
      </c>
      <c r="H370" s="11">
        <v>1</v>
      </c>
    </row>
    <row r="371" spans="1:8" x14ac:dyDescent="0.3">
      <c r="A371" t="s">
        <v>473</v>
      </c>
      <c r="B371" t="s">
        <v>18</v>
      </c>
      <c r="C371" t="s">
        <v>56</v>
      </c>
      <c r="D371" t="s">
        <v>471</v>
      </c>
      <c r="F371" s="11">
        <v>1.4683330000000001</v>
      </c>
      <c r="G371" s="11">
        <v>50.138888999999999</v>
      </c>
      <c r="H371" s="11">
        <v>1</v>
      </c>
    </row>
    <row r="372" spans="1:8" x14ac:dyDescent="0.3">
      <c r="A372" t="s">
        <v>474</v>
      </c>
      <c r="B372" t="s">
        <v>18</v>
      </c>
      <c r="C372" t="s">
        <v>58</v>
      </c>
      <c r="D372" t="s">
        <v>471</v>
      </c>
      <c r="F372" s="11">
        <v>1.4975000000000001</v>
      </c>
      <c r="G372" s="11">
        <v>50.192777999999997</v>
      </c>
      <c r="H372" s="11">
        <v>1</v>
      </c>
    </row>
    <row r="373" spans="1:8" x14ac:dyDescent="0.3">
      <c r="A373" t="s">
        <v>475</v>
      </c>
      <c r="B373" t="s">
        <v>19</v>
      </c>
      <c r="C373" t="s">
        <v>60</v>
      </c>
      <c r="D373" t="s">
        <v>471</v>
      </c>
      <c r="F373" s="11">
        <v>1.5605560000000001</v>
      </c>
      <c r="G373" s="11">
        <v>50.218888999999997</v>
      </c>
      <c r="H373" s="11">
        <v>1</v>
      </c>
    </row>
    <row r="374" spans="1:8" x14ac:dyDescent="0.3">
      <c r="A374" t="s">
        <v>476</v>
      </c>
      <c r="B374" t="s">
        <v>19</v>
      </c>
      <c r="C374" t="s">
        <v>62</v>
      </c>
      <c r="D374" t="s">
        <v>471</v>
      </c>
      <c r="F374" s="11">
        <v>1.625278</v>
      </c>
      <c r="G374" s="11">
        <v>50.192777999999997</v>
      </c>
      <c r="H374" s="11">
        <v>1</v>
      </c>
    </row>
    <row r="375" spans="1:8" x14ac:dyDescent="0.3">
      <c r="A375" t="s">
        <v>477</v>
      </c>
      <c r="B375" t="s">
        <v>19</v>
      </c>
      <c r="C375" t="s">
        <v>64</v>
      </c>
      <c r="D375" t="s">
        <v>471</v>
      </c>
      <c r="F375" s="11">
        <v>1.65</v>
      </c>
      <c r="G375" s="11">
        <v>50.203888999999997</v>
      </c>
      <c r="H375" s="11">
        <v>1</v>
      </c>
    </row>
    <row r="376" spans="1:8" x14ac:dyDescent="0.3">
      <c r="A376" t="s">
        <v>478</v>
      </c>
      <c r="B376" t="s">
        <v>19</v>
      </c>
      <c r="C376" t="s">
        <v>66</v>
      </c>
      <c r="D376" t="s">
        <v>471</v>
      </c>
      <c r="F376" s="11">
        <v>1.6172219999999999</v>
      </c>
      <c r="G376" s="11">
        <v>50.227778000000001</v>
      </c>
      <c r="H376" s="11">
        <v>1</v>
      </c>
    </row>
    <row r="377" spans="1:8" x14ac:dyDescent="0.3">
      <c r="A377" t="s">
        <v>479</v>
      </c>
      <c r="B377" t="s">
        <v>17</v>
      </c>
      <c r="C377" t="s">
        <v>68</v>
      </c>
      <c r="D377" t="s">
        <v>471</v>
      </c>
      <c r="F377" s="11">
        <v>1.578889</v>
      </c>
      <c r="G377" s="11">
        <v>50.262777999999997</v>
      </c>
      <c r="H377" s="11">
        <v>1</v>
      </c>
    </row>
    <row r="378" spans="1:8" x14ac:dyDescent="0.3">
      <c r="A378" t="s">
        <v>480</v>
      </c>
      <c r="B378" t="s">
        <v>17</v>
      </c>
      <c r="C378" t="s">
        <v>71</v>
      </c>
      <c r="D378" t="s">
        <v>471</v>
      </c>
      <c r="F378" s="11">
        <v>1.536111</v>
      </c>
      <c r="G378" s="11">
        <v>50.296388999999998</v>
      </c>
      <c r="H378" s="11">
        <v>1</v>
      </c>
    </row>
    <row r="379" spans="1:8" x14ac:dyDescent="0.3">
      <c r="A379" t="s">
        <v>481</v>
      </c>
      <c r="B379" t="s">
        <v>17</v>
      </c>
      <c r="C379" t="s">
        <v>73</v>
      </c>
      <c r="D379" t="s">
        <v>471</v>
      </c>
      <c r="F379" s="11">
        <v>1.552778</v>
      </c>
      <c r="G379" s="11">
        <v>50.36</v>
      </c>
      <c r="H379" s="11">
        <v>1</v>
      </c>
    </row>
    <row r="380" spans="1:8" x14ac:dyDescent="0.3">
      <c r="A380" t="s">
        <v>482</v>
      </c>
      <c r="B380" t="s">
        <v>17</v>
      </c>
      <c r="C380" t="s">
        <v>75</v>
      </c>
      <c r="D380" t="s">
        <v>471</v>
      </c>
      <c r="F380" s="11">
        <v>1.602778</v>
      </c>
      <c r="G380" s="11">
        <v>50.380277999999997</v>
      </c>
      <c r="H380" s="11">
        <v>1</v>
      </c>
    </row>
    <row r="381" spans="1:8" x14ac:dyDescent="0.3">
      <c r="A381" t="s">
        <v>483</v>
      </c>
      <c r="B381" t="s">
        <v>16</v>
      </c>
      <c r="C381" t="s">
        <v>81</v>
      </c>
      <c r="D381" t="s">
        <v>471</v>
      </c>
      <c r="F381" s="11">
        <v>1.562778</v>
      </c>
      <c r="G381" s="11">
        <v>50.417777999999998</v>
      </c>
      <c r="H381" s="11">
        <v>1</v>
      </c>
    </row>
    <row r="382" spans="1:8" x14ac:dyDescent="0.3">
      <c r="A382" t="s">
        <v>484</v>
      </c>
      <c r="B382" t="s">
        <v>16</v>
      </c>
      <c r="C382" t="s">
        <v>83</v>
      </c>
      <c r="D382" t="s">
        <v>471</v>
      </c>
      <c r="F382" s="11">
        <v>1.5741670000000001</v>
      </c>
      <c r="G382" s="11">
        <v>50.480556</v>
      </c>
      <c r="H382" s="11">
        <v>1</v>
      </c>
    </row>
    <row r="383" spans="1:8" x14ac:dyDescent="0.3">
      <c r="A383" t="s">
        <v>485</v>
      </c>
      <c r="B383" t="s">
        <v>12</v>
      </c>
      <c r="C383" t="s">
        <v>304</v>
      </c>
      <c r="D383" t="s">
        <v>471</v>
      </c>
      <c r="F383" s="11">
        <v>1.584722</v>
      </c>
      <c r="G383" s="11">
        <v>50.542777999999998</v>
      </c>
      <c r="H383" s="11">
        <v>1</v>
      </c>
    </row>
    <row r="384" spans="1:8" x14ac:dyDescent="0.3">
      <c r="A384" t="s">
        <v>486</v>
      </c>
      <c r="B384" t="s">
        <v>12</v>
      </c>
      <c r="C384" t="s">
        <v>327</v>
      </c>
      <c r="D384" t="s">
        <v>471</v>
      </c>
      <c r="F384" s="11">
        <v>1.5794440000000001</v>
      </c>
      <c r="G384" s="11">
        <v>50.572499999999998</v>
      </c>
      <c r="H384" s="11">
        <v>1</v>
      </c>
    </row>
    <row r="385" spans="1:8" x14ac:dyDescent="0.3">
      <c r="A385" t="s">
        <v>487</v>
      </c>
      <c r="B385" t="s">
        <v>12</v>
      </c>
      <c r="C385" t="s">
        <v>369</v>
      </c>
      <c r="D385" t="s">
        <v>471</v>
      </c>
      <c r="F385" s="11">
        <v>1.575278</v>
      </c>
      <c r="G385" s="11">
        <v>50.631943999999997</v>
      </c>
      <c r="H385" s="11">
        <v>1</v>
      </c>
    </row>
    <row r="386" spans="1:8" x14ac:dyDescent="0.3">
      <c r="A386" t="s">
        <v>488</v>
      </c>
      <c r="B386" t="s">
        <v>12</v>
      </c>
      <c r="C386" t="s">
        <v>389</v>
      </c>
      <c r="D386" t="s">
        <v>471</v>
      </c>
      <c r="F386" s="11">
        <v>1.5638890000000001</v>
      </c>
      <c r="G386" s="11">
        <v>50.688611000000002</v>
      </c>
      <c r="H386" s="11">
        <v>1</v>
      </c>
    </row>
    <row r="387" spans="1:8" x14ac:dyDescent="0.3">
      <c r="A387" t="s">
        <v>489</v>
      </c>
      <c r="B387" t="s">
        <v>12</v>
      </c>
      <c r="C387" t="s">
        <v>407</v>
      </c>
      <c r="D387" t="s">
        <v>471</v>
      </c>
      <c r="F387" s="11">
        <v>1.59</v>
      </c>
      <c r="G387" s="11">
        <v>50.742221999999998</v>
      </c>
      <c r="H387" s="11">
        <v>1</v>
      </c>
    </row>
    <row r="388" spans="1:8" x14ac:dyDescent="0.3">
      <c r="A388" t="s">
        <v>490</v>
      </c>
      <c r="B388" t="s">
        <v>12</v>
      </c>
      <c r="C388" t="s">
        <v>467</v>
      </c>
      <c r="D388" t="s">
        <v>471</v>
      </c>
      <c r="F388" s="11">
        <v>1.6002780000000001</v>
      </c>
      <c r="G388" s="11">
        <v>50.801667000000002</v>
      </c>
      <c r="H388" s="11">
        <v>1</v>
      </c>
    </row>
    <row r="389" spans="1:8" x14ac:dyDescent="0.3">
      <c r="A389" t="s">
        <v>491</v>
      </c>
      <c r="B389" t="s">
        <v>12</v>
      </c>
      <c r="C389" t="s">
        <v>469</v>
      </c>
      <c r="D389" t="s">
        <v>471</v>
      </c>
      <c r="F389" s="11">
        <v>1.5797220000000001</v>
      </c>
      <c r="G389" s="11">
        <v>50.853611000000001</v>
      </c>
      <c r="H389" s="11">
        <v>1</v>
      </c>
    </row>
    <row r="390" spans="1:8" x14ac:dyDescent="0.3">
      <c r="A390" t="s">
        <v>492</v>
      </c>
      <c r="B390" t="s">
        <v>12</v>
      </c>
      <c r="C390" t="s">
        <v>443</v>
      </c>
      <c r="D390" t="s">
        <v>471</v>
      </c>
      <c r="F390" s="11">
        <v>1.635</v>
      </c>
      <c r="G390" s="11">
        <v>50.880277999999997</v>
      </c>
      <c r="H390" s="11">
        <v>1</v>
      </c>
    </row>
    <row r="391" spans="1:8" x14ac:dyDescent="0.3">
      <c r="A391" t="s">
        <v>493</v>
      </c>
      <c r="B391" t="s">
        <v>12</v>
      </c>
      <c r="C391" t="s">
        <v>446</v>
      </c>
      <c r="D391" t="s">
        <v>471</v>
      </c>
      <c r="F391" s="11">
        <v>1.6894439999999999</v>
      </c>
      <c r="G391" s="11">
        <v>50.914999999999999</v>
      </c>
      <c r="H391" s="11">
        <v>1</v>
      </c>
    </row>
    <row r="392" spans="1:8" x14ac:dyDescent="0.3">
      <c r="A392" t="s">
        <v>494</v>
      </c>
      <c r="B392" t="s">
        <v>12</v>
      </c>
      <c r="C392" t="s">
        <v>443</v>
      </c>
      <c r="D392" t="s">
        <v>495</v>
      </c>
      <c r="F392" s="11">
        <v>1.745833</v>
      </c>
      <c r="G392" s="11">
        <v>50.948056000000001</v>
      </c>
      <c r="H392" s="11">
        <v>1</v>
      </c>
    </row>
    <row r="393" spans="1:8" x14ac:dyDescent="0.3">
      <c r="A393" t="s">
        <v>496</v>
      </c>
      <c r="B393" t="s">
        <v>37</v>
      </c>
      <c r="C393" t="s">
        <v>51</v>
      </c>
      <c r="D393" t="s">
        <v>495</v>
      </c>
      <c r="F393" s="11">
        <v>1.8197220000000001</v>
      </c>
      <c r="G393" s="11">
        <v>50.967500000000001</v>
      </c>
      <c r="H393" s="11">
        <v>1</v>
      </c>
    </row>
    <row r="394" spans="1:8" x14ac:dyDescent="0.3">
      <c r="A394" t="s">
        <v>497</v>
      </c>
      <c r="B394" t="s">
        <v>37</v>
      </c>
      <c r="C394" t="s">
        <v>54</v>
      </c>
      <c r="D394" t="s">
        <v>495</v>
      </c>
      <c r="F394" s="11">
        <v>1.897778</v>
      </c>
      <c r="G394" s="11">
        <v>50.983888999999998</v>
      </c>
      <c r="H394" s="11">
        <v>1</v>
      </c>
    </row>
    <row r="395" spans="1:8" x14ac:dyDescent="0.3">
      <c r="A395" t="s">
        <v>498</v>
      </c>
      <c r="B395" t="s">
        <v>499</v>
      </c>
      <c r="C395" t="s">
        <v>56</v>
      </c>
      <c r="D395" t="s">
        <v>495</v>
      </c>
      <c r="F395" s="11">
        <v>1.967222</v>
      </c>
      <c r="G395" s="11">
        <v>50.997222000000001</v>
      </c>
      <c r="H395" s="11">
        <v>1</v>
      </c>
    </row>
    <row r="396" spans="1:8" x14ac:dyDescent="0.3">
      <c r="A396" t="s">
        <v>500</v>
      </c>
      <c r="B396" t="s">
        <v>499</v>
      </c>
      <c r="C396" t="s">
        <v>58</v>
      </c>
      <c r="D396" t="s">
        <v>495</v>
      </c>
      <c r="F396" s="11">
        <v>2.0511110000000001</v>
      </c>
      <c r="G396" s="11">
        <v>51.008889000000003</v>
      </c>
      <c r="H396" s="11">
        <v>1</v>
      </c>
    </row>
    <row r="397" spans="1:8" x14ac:dyDescent="0.3">
      <c r="A397" t="s">
        <v>501</v>
      </c>
      <c r="B397" t="s">
        <v>502</v>
      </c>
      <c r="C397" t="s">
        <v>60</v>
      </c>
      <c r="D397" t="s">
        <v>495</v>
      </c>
      <c r="F397" s="11">
        <v>2.137778</v>
      </c>
      <c r="G397" s="11">
        <v>51.016388999999997</v>
      </c>
      <c r="H397" s="11">
        <v>1</v>
      </c>
    </row>
    <row r="398" spans="1:8" x14ac:dyDescent="0.3">
      <c r="A398" t="s">
        <v>503</v>
      </c>
      <c r="B398" t="s">
        <v>502</v>
      </c>
      <c r="C398" t="s">
        <v>62</v>
      </c>
      <c r="D398" t="s">
        <v>495</v>
      </c>
      <c r="F398" s="11">
        <v>2.2119439999999999</v>
      </c>
      <c r="G398" s="11">
        <v>51.035556</v>
      </c>
      <c r="H398" s="11">
        <v>1</v>
      </c>
    </row>
    <row r="399" spans="1:8" x14ac:dyDescent="0.3">
      <c r="A399" t="s">
        <v>504</v>
      </c>
      <c r="B399" t="s">
        <v>502</v>
      </c>
      <c r="C399" t="s">
        <v>64</v>
      </c>
      <c r="D399" t="s">
        <v>495</v>
      </c>
      <c r="F399" s="11">
        <v>2.2927780000000002</v>
      </c>
      <c r="G399" s="11">
        <v>51.049722000000003</v>
      </c>
      <c r="H399" s="11">
        <v>1</v>
      </c>
    </row>
    <row r="400" spans="1:8" x14ac:dyDescent="0.3">
      <c r="A400" t="s">
        <v>505</v>
      </c>
      <c r="B400" t="s">
        <v>502</v>
      </c>
      <c r="C400" t="s">
        <v>66</v>
      </c>
      <c r="D400" t="s">
        <v>495</v>
      </c>
      <c r="F400" s="11">
        <v>2.371667</v>
      </c>
      <c r="G400" s="11">
        <v>51.053055999999998</v>
      </c>
      <c r="H400" s="11">
        <v>1</v>
      </c>
    </row>
    <row r="401" spans="1:8" x14ac:dyDescent="0.3">
      <c r="A401" t="s">
        <v>506</v>
      </c>
      <c r="B401" t="s">
        <v>507</v>
      </c>
      <c r="C401" t="s">
        <v>68</v>
      </c>
      <c r="D401" t="s">
        <v>495</v>
      </c>
      <c r="F401" s="11">
        <v>2.4530560000000001</v>
      </c>
      <c r="G401" s="11">
        <v>51.065556000000001</v>
      </c>
      <c r="H401" s="11">
        <v>1</v>
      </c>
    </row>
    <row r="402" spans="1:8" x14ac:dyDescent="0.3">
      <c r="A402" t="s">
        <v>508</v>
      </c>
      <c r="B402" t="s">
        <v>507</v>
      </c>
      <c r="C402" t="s">
        <v>71</v>
      </c>
      <c r="D402" t="s">
        <v>495</v>
      </c>
      <c r="F402" s="11">
        <v>2.5261110000000002</v>
      </c>
      <c r="G402" s="11">
        <v>51.085555999999997</v>
      </c>
      <c r="H402" s="11">
        <v>1</v>
      </c>
    </row>
    <row r="403" spans="1:8" x14ac:dyDescent="0.3">
      <c r="A403" t="s">
        <v>509</v>
      </c>
      <c r="B403" t="s">
        <v>507</v>
      </c>
      <c r="C403" t="s">
        <v>73</v>
      </c>
      <c r="D403" t="s">
        <v>495</v>
      </c>
      <c r="H403" s="11">
        <v>1</v>
      </c>
    </row>
    <row r="404" spans="1:8" x14ac:dyDescent="0.3">
      <c r="A404" t="s">
        <v>510</v>
      </c>
      <c r="B404" t="s">
        <v>16</v>
      </c>
      <c r="C404" t="s">
        <v>81</v>
      </c>
      <c r="D404" t="s">
        <v>495</v>
      </c>
      <c r="F404" s="11">
        <v>2.603056</v>
      </c>
      <c r="G404" s="11">
        <v>51.113610999999999</v>
      </c>
      <c r="H404" s="11">
        <v>1</v>
      </c>
    </row>
    <row r="405" spans="1:8" x14ac:dyDescent="0.3">
      <c r="A405" t="s">
        <v>511</v>
      </c>
      <c r="B405" t="s">
        <v>16</v>
      </c>
      <c r="C405" t="s">
        <v>83</v>
      </c>
      <c r="D405" t="s">
        <v>495</v>
      </c>
      <c r="F405" s="11">
        <v>2.6686109999999998</v>
      </c>
      <c r="G405" s="11">
        <v>51.139721999999999</v>
      </c>
      <c r="H405" s="11">
        <v>1</v>
      </c>
    </row>
    <row r="406" spans="1:8" x14ac:dyDescent="0.3">
      <c r="A406" t="s">
        <v>512</v>
      </c>
      <c r="B406" t="s">
        <v>12</v>
      </c>
      <c r="C406" t="s">
        <v>89</v>
      </c>
      <c r="D406" t="s">
        <v>495</v>
      </c>
      <c r="F406" s="11">
        <v>2.7349999999999999</v>
      </c>
      <c r="G406" s="11">
        <v>51.165278000000001</v>
      </c>
      <c r="H406" s="11">
        <v>1</v>
      </c>
    </row>
    <row r="407" spans="1:8" x14ac:dyDescent="0.3">
      <c r="A407" t="s">
        <v>513</v>
      </c>
      <c r="B407" t="s">
        <v>12</v>
      </c>
      <c r="C407" t="s">
        <v>302</v>
      </c>
      <c r="D407" t="s">
        <v>495</v>
      </c>
      <c r="F407" s="11">
        <v>2.7991670000000002</v>
      </c>
      <c r="G407" s="11">
        <v>51.190556000000001</v>
      </c>
      <c r="H407" s="11">
        <v>1</v>
      </c>
    </row>
    <row r="408" spans="1:8" x14ac:dyDescent="0.3">
      <c r="A408" t="s">
        <v>514</v>
      </c>
      <c r="B408" t="s">
        <v>12</v>
      </c>
      <c r="C408" t="s">
        <v>304</v>
      </c>
      <c r="D408" t="s">
        <v>495</v>
      </c>
      <c r="F408" s="11">
        <v>2.8677779999999999</v>
      </c>
      <c r="G408" s="11">
        <v>51.214722000000002</v>
      </c>
      <c r="H408" s="11">
        <v>1</v>
      </c>
    </row>
    <row r="409" spans="1:8" x14ac:dyDescent="0.3">
      <c r="A409" t="s">
        <v>515</v>
      </c>
      <c r="B409" t="s">
        <v>12</v>
      </c>
      <c r="C409" t="s">
        <v>327</v>
      </c>
      <c r="D409" t="s">
        <v>495</v>
      </c>
      <c r="F409" s="11">
        <v>2.9338890000000002</v>
      </c>
      <c r="G409" s="11">
        <v>51.240555999999998</v>
      </c>
      <c r="H409" s="11">
        <v>1</v>
      </c>
    </row>
    <row r="410" spans="1:8" x14ac:dyDescent="0.3">
      <c r="A410" t="s">
        <v>516</v>
      </c>
      <c r="B410" t="s">
        <v>12</v>
      </c>
      <c r="C410" t="s">
        <v>369</v>
      </c>
      <c r="D410" t="s">
        <v>495</v>
      </c>
      <c r="F410" s="11">
        <v>2.9972219999999998</v>
      </c>
      <c r="G410" s="11">
        <v>51.268611</v>
      </c>
      <c r="H410" s="11">
        <v>1</v>
      </c>
    </row>
    <row r="411" spans="1:8" x14ac:dyDescent="0.3">
      <c r="A411" t="s">
        <v>517</v>
      </c>
      <c r="B411" t="s">
        <v>12</v>
      </c>
      <c r="C411" t="s">
        <v>389</v>
      </c>
      <c r="D411" t="s">
        <v>495</v>
      </c>
      <c r="F411" s="11">
        <v>3.0627779999999998</v>
      </c>
      <c r="G411" s="11">
        <v>51.295278000000003</v>
      </c>
      <c r="H411" s="11">
        <v>1</v>
      </c>
    </row>
    <row r="412" spans="1:8" x14ac:dyDescent="0.3">
      <c r="A412" t="s">
        <v>518</v>
      </c>
      <c r="B412" t="s">
        <v>12</v>
      </c>
      <c r="C412" t="s">
        <v>407</v>
      </c>
      <c r="D412" t="s">
        <v>495</v>
      </c>
      <c r="F412" s="11">
        <v>3.1269439999999999</v>
      </c>
      <c r="G412" s="11">
        <v>51.322778</v>
      </c>
      <c r="H412" s="11">
        <v>1</v>
      </c>
    </row>
    <row r="413" spans="1:8" x14ac:dyDescent="0.3">
      <c r="A413" t="s">
        <v>519</v>
      </c>
      <c r="B413" t="s">
        <v>12</v>
      </c>
      <c r="C413" t="s">
        <v>467</v>
      </c>
      <c r="D413" t="s">
        <v>495</v>
      </c>
      <c r="F413" s="11">
        <v>3.201111</v>
      </c>
      <c r="G413" s="11">
        <v>51.34</v>
      </c>
      <c r="H413" s="11">
        <v>1</v>
      </c>
    </row>
    <row r="414" spans="1:8" x14ac:dyDescent="0.3">
      <c r="A414" t="s">
        <v>520</v>
      </c>
      <c r="B414" t="s">
        <v>12</v>
      </c>
      <c r="C414" t="s">
        <v>469</v>
      </c>
      <c r="D414" t="s">
        <v>495</v>
      </c>
      <c r="F414" s="11">
        <v>3.2813889999999999</v>
      </c>
      <c r="G414" s="11">
        <v>51.354444000000001</v>
      </c>
      <c r="H414" s="11">
        <v>1</v>
      </c>
    </row>
    <row r="415" spans="1:8" x14ac:dyDescent="0.3">
      <c r="A415" t="s">
        <v>521</v>
      </c>
      <c r="B415" t="s">
        <v>37</v>
      </c>
      <c r="C415" t="s">
        <v>54</v>
      </c>
      <c r="D415" t="s">
        <v>522</v>
      </c>
      <c r="F415" s="11">
        <v>3.36</v>
      </c>
      <c r="G415" s="11">
        <v>51.370556000000001</v>
      </c>
      <c r="H415" s="11">
        <v>1</v>
      </c>
    </row>
    <row r="416" spans="1:8" x14ac:dyDescent="0.3">
      <c r="A416" t="s">
        <v>523</v>
      </c>
      <c r="B416" t="s">
        <v>499</v>
      </c>
      <c r="C416" t="s">
        <v>56</v>
      </c>
      <c r="D416" t="s">
        <v>522</v>
      </c>
      <c r="F416" s="11">
        <v>3.4319440000000001</v>
      </c>
      <c r="G416" s="11">
        <v>51.391388999999997</v>
      </c>
      <c r="H416" s="11">
        <v>1</v>
      </c>
    </row>
    <row r="417" spans="1:8" x14ac:dyDescent="0.3">
      <c r="A417" t="s">
        <v>524</v>
      </c>
      <c r="B417" t="s">
        <v>499</v>
      </c>
      <c r="C417" t="s">
        <v>58</v>
      </c>
      <c r="D417" t="s">
        <v>522</v>
      </c>
      <c r="F417" s="11">
        <v>3.5086110000000001</v>
      </c>
      <c r="G417" s="11">
        <v>51.408889000000002</v>
      </c>
      <c r="H417" s="11">
        <v>1</v>
      </c>
    </row>
    <row r="418" spans="1:8" x14ac:dyDescent="0.3">
      <c r="A418" t="s">
        <v>525</v>
      </c>
      <c r="B418" t="s">
        <v>502</v>
      </c>
      <c r="C418" t="s">
        <v>60</v>
      </c>
      <c r="D418" t="s">
        <v>522</v>
      </c>
      <c r="F418" s="11">
        <v>3.5847220000000002</v>
      </c>
      <c r="G418" s="11">
        <v>51.393611</v>
      </c>
      <c r="H418" s="11">
        <v>1</v>
      </c>
    </row>
    <row r="419" spans="1:8" x14ac:dyDescent="0.3">
      <c r="A419" t="s">
        <v>526</v>
      </c>
      <c r="B419" t="s">
        <v>502</v>
      </c>
      <c r="C419" t="s">
        <v>62</v>
      </c>
      <c r="D419" t="s">
        <v>522</v>
      </c>
      <c r="F419" s="11">
        <v>3.6736110000000002</v>
      </c>
      <c r="G419" s="11">
        <v>51.377777999999999</v>
      </c>
      <c r="H419" s="11">
        <v>1</v>
      </c>
    </row>
    <row r="420" spans="1:8" x14ac:dyDescent="0.3">
      <c r="A420" t="s">
        <v>527</v>
      </c>
      <c r="B420" t="s">
        <v>502</v>
      </c>
      <c r="C420" t="s">
        <v>64</v>
      </c>
      <c r="D420" t="s">
        <v>522</v>
      </c>
      <c r="F420" s="11">
        <v>3.7405560000000002</v>
      </c>
      <c r="G420" s="11">
        <v>51.348610999999998</v>
      </c>
      <c r="H420" s="11">
        <v>1</v>
      </c>
    </row>
    <row r="421" spans="1:8" x14ac:dyDescent="0.3">
      <c r="A421" t="s">
        <v>528</v>
      </c>
      <c r="B421" t="s">
        <v>502</v>
      </c>
      <c r="C421" t="s">
        <v>66</v>
      </c>
      <c r="D421" t="s">
        <v>522</v>
      </c>
      <c r="F421" s="11">
        <v>3.8208329999999999</v>
      </c>
      <c r="G421" s="11">
        <v>51.343888999999997</v>
      </c>
      <c r="H421" s="11">
        <v>1</v>
      </c>
    </row>
    <row r="422" spans="1:8" x14ac:dyDescent="0.3">
      <c r="A422" t="s">
        <v>529</v>
      </c>
      <c r="B422" t="s">
        <v>507</v>
      </c>
      <c r="C422" t="s">
        <v>68</v>
      </c>
      <c r="D422" t="s">
        <v>522</v>
      </c>
      <c r="F422" s="11">
        <v>3.8975</v>
      </c>
      <c r="G422" s="11">
        <v>51.357778000000003</v>
      </c>
      <c r="H422" s="11">
        <v>1</v>
      </c>
    </row>
    <row r="423" spans="1:8" x14ac:dyDescent="0.3">
      <c r="A423" t="s">
        <v>530</v>
      </c>
      <c r="B423" t="s">
        <v>507</v>
      </c>
      <c r="C423" t="s">
        <v>71</v>
      </c>
      <c r="D423" t="s">
        <v>522</v>
      </c>
      <c r="F423" s="11">
        <v>3.9719440000000001</v>
      </c>
      <c r="G423" s="11">
        <v>51.376944000000002</v>
      </c>
      <c r="H423" s="11">
        <v>1</v>
      </c>
    </row>
    <row r="424" spans="1:8" x14ac:dyDescent="0.3">
      <c r="A424" t="s">
        <v>531</v>
      </c>
      <c r="B424" t="s">
        <v>37</v>
      </c>
      <c r="C424" t="s">
        <v>457</v>
      </c>
      <c r="D424" t="s">
        <v>522</v>
      </c>
      <c r="F424" s="11">
        <v>4.0169439999999996</v>
      </c>
      <c r="G424" s="11">
        <v>51.404167000000001</v>
      </c>
      <c r="H424" s="11">
        <v>1</v>
      </c>
    </row>
    <row r="425" spans="1:8" x14ac:dyDescent="0.3">
      <c r="A425" t="s">
        <v>532</v>
      </c>
      <c r="B425" t="s">
        <v>507</v>
      </c>
      <c r="C425" t="s">
        <v>73</v>
      </c>
      <c r="D425" t="s">
        <v>522</v>
      </c>
      <c r="F425" s="11">
        <v>4.068333</v>
      </c>
      <c r="G425" s="11">
        <v>51.368889000000003</v>
      </c>
      <c r="H425" s="11">
        <v>1</v>
      </c>
    </row>
    <row r="426" spans="1:8" x14ac:dyDescent="0.3">
      <c r="A426" t="s">
        <v>533</v>
      </c>
      <c r="B426" t="s">
        <v>507</v>
      </c>
      <c r="C426" t="s">
        <v>75</v>
      </c>
      <c r="D426" t="s">
        <v>522</v>
      </c>
      <c r="F426" s="11">
        <v>4.1399999999999997</v>
      </c>
      <c r="G426" s="11">
        <v>51.359166999999999</v>
      </c>
      <c r="H426" s="11">
        <v>1</v>
      </c>
    </row>
    <row r="427" spans="1:8" x14ac:dyDescent="0.3">
      <c r="A427" t="s">
        <v>534</v>
      </c>
      <c r="B427" t="s">
        <v>507</v>
      </c>
      <c r="C427" t="s">
        <v>77</v>
      </c>
      <c r="D427" t="s">
        <v>522</v>
      </c>
      <c r="F427" s="11">
        <v>4.1866669999999999</v>
      </c>
      <c r="G427" s="11">
        <v>51.373055999999998</v>
      </c>
      <c r="H427" s="11">
        <v>1</v>
      </c>
    </row>
    <row r="428" spans="1:8" x14ac:dyDescent="0.3">
      <c r="A428" t="s">
        <v>535</v>
      </c>
      <c r="B428" t="s">
        <v>507</v>
      </c>
      <c r="C428" t="s">
        <v>79</v>
      </c>
      <c r="D428" t="s">
        <v>522</v>
      </c>
      <c r="F428" s="11">
        <v>4.2455559999999997</v>
      </c>
      <c r="G428" s="11">
        <v>51.344999999999999</v>
      </c>
      <c r="H428" s="11">
        <v>1</v>
      </c>
    </row>
    <row r="429" spans="1:8" x14ac:dyDescent="0.3">
      <c r="A429" t="s">
        <v>536</v>
      </c>
      <c r="B429" t="s">
        <v>507</v>
      </c>
      <c r="C429" t="s">
        <v>81</v>
      </c>
      <c r="D429" t="s">
        <v>522</v>
      </c>
      <c r="F429" s="11">
        <v>4.2808330000000003</v>
      </c>
      <c r="G429" s="11">
        <v>51.300832999999997</v>
      </c>
      <c r="H429" s="11">
        <v>1</v>
      </c>
    </row>
    <row r="430" spans="1:8" x14ac:dyDescent="0.3">
      <c r="A430" t="s">
        <v>537</v>
      </c>
      <c r="B430" t="s">
        <v>12</v>
      </c>
      <c r="C430" t="s">
        <v>89</v>
      </c>
      <c r="D430" t="s">
        <v>522</v>
      </c>
      <c r="F430" s="11">
        <v>4.3047219999999999</v>
      </c>
      <c r="G430" s="11">
        <v>51.261944</v>
      </c>
      <c r="H430" s="11">
        <v>1</v>
      </c>
    </row>
    <row r="431" spans="1:8" x14ac:dyDescent="0.3">
      <c r="A431" t="s">
        <v>538</v>
      </c>
      <c r="B431" t="s">
        <v>12</v>
      </c>
      <c r="C431" t="s">
        <v>302</v>
      </c>
      <c r="D431" t="s">
        <v>522</v>
      </c>
      <c r="F431" s="11">
        <v>4.3033330000000003</v>
      </c>
      <c r="G431" s="11">
        <v>51.302778000000004</v>
      </c>
      <c r="H431" s="11">
        <v>1</v>
      </c>
    </row>
    <row r="432" spans="1:8" x14ac:dyDescent="0.3">
      <c r="A432" t="s">
        <v>539</v>
      </c>
      <c r="B432" t="s">
        <v>12</v>
      </c>
      <c r="C432" t="s">
        <v>304</v>
      </c>
      <c r="D432" t="s">
        <v>522</v>
      </c>
      <c r="F432" s="11">
        <v>4.2730560000000004</v>
      </c>
      <c r="G432" s="11">
        <v>51.349167000000001</v>
      </c>
      <c r="H432" s="11">
        <v>1</v>
      </c>
    </row>
    <row r="433" spans="1:8" x14ac:dyDescent="0.3">
      <c r="A433" t="s">
        <v>540</v>
      </c>
      <c r="B433" t="s">
        <v>12</v>
      </c>
      <c r="C433" t="s">
        <v>327</v>
      </c>
      <c r="D433" t="s">
        <v>522</v>
      </c>
      <c r="F433" s="11">
        <v>4.2458330000000002</v>
      </c>
      <c r="G433" s="11">
        <v>51.397221999999999</v>
      </c>
      <c r="H433" s="11">
        <v>1</v>
      </c>
    </row>
    <row r="434" spans="1:8" x14ac:dyDescent="0.3">
      <c r="A434" t="s">
        <v>541</v>
      </c>
      <c r="B434" t="s">
        <v>12</v>
      </c>
      <c r="C434" t="s">
        <v>369</v>
      </c>
      <c r="D434" t="s">
        <v>522</v>
      </c>
      <c r="F434" s="11">
        <v>4.1947219999999996</v>
      </c>
      <c r="G434" s="11">
        <v>51.409444000000001</v>
      </c>
      <c r="H434" s="11">
        <v>1</v>
      </c>
    </row>
    <row r="435" spans="1:8" x14ac:dyDescent="0.3">
      <c r="A435" t="s">
        <v>542</v>
      </c>
      <c r="B435" t="s">
        <v>12</v>
      </c>
      <c r="C435" t="s">
        <v>389</v>
      </c>
      <c r="D435" t="s">
        <v>522</v>
      </c>
      <c r="F435" s="11">
        <v>4.1111110000000002</v>
      </c>
      <c r="G435" s="11">
        <v>51.403055999999999</v>
      </c>
      <c r="H435" s="11">
        <v>1</v>
      </c>
    </row>
    <row r="436" spans="1:8" x14ac:dyDescent="0.3">
      <c r="A436" t="s">
        <v>543</v>
      </c>
      <c r="B436" t="s">
        <v>12</v>
      </c>
      <c r="C436" t="s">
        <v>407</v>
      </c>
      <c r="D436" t="s">
        <v>522</v>
      </c>
      <c r="F436" s="11">
        <v>4.0427780000000002</v>
      </c>
      <c r="G436" s="11">
        <v>51.431389000000003</v>
      </c>
      <c r="H436" s="11">
        <v>1</v>
      </c>
    </row>
    <row r="437" spans="1:8" x14ac:dyDescent="0.3">
      <c r="A437" t="s">
        <v>544</v>
      </c>
      <c r="B437" t="s">
        <v>12</v>
      </c>
      <c r="C437" t="s">
        <v>467</v>
      </c>
      <c r="D437" t="s">
        <v>522</v>
      </c>
      <c r="F437" s="11">
        <v>3.9727779999999999</v>
      </c>
      <c r="G437" s="11">
        <v>51.456667000000003</v>
      </c>
      <c r="H437" s="11">
        <v>1</v>
      </c>
    </row>
    <row r="438" spans="1:8" x14ac:dyDescent="0.3">
      <c r="A438" t="s">
        <v>545</v>
      </c>
      <c r="B438" t="s">
        <v>12</v>
      </c>
      <c r="C438" t="s">
        <v>469</v>
      </c>
      <c r="D438" t="s">
        <v>522</v>
      </c>
      <c r="F438" s="11">
        <v>3.9227780000000001</v>
      </c>
      <c r="G438" s="11">
        <v>51.423889000000003</v>
      </c>
      <c r="H438" s="11">
        <v>1</v>
      </c>
    </row>
    <row r="439" spans="1:8" x14ac:dyDescent="0.3">
      <c r="A439" t="s">
        <v>546</v>
      </c>
      <c r="B439" t="s">
        <v>12</v>
      </c>
      <c r="C439" t="s">
        <v>443</v>
      </c>
      <c r="D439" t="s">
        <v>522</v>
      </c>
      <c r="F439" s="11">
        <v>3.8644440000000002</v>
      </c>
      <c r="G439" s="11">
        <v>51.393332999999998</v>
      </c>
      <c r="H439" s="11">
        <v>1</v>
      </c>
    </row>
    <row r="440" spans="1:8" x14ac:dyDescent="0.3">
      <c r="A440" t="s">
        <v>547</v>
      </c>
      <c r="B440" t="s">
        <v>12</v>
      </c>
      <c r="C440" t="s">
        <v>443</v>
      </c>
      <c r="D440" t="s">
        <v>548</v>
      </c>
      <c r="F440" s="11">
        <v>3.7872219999999999</v>
      </c>
      <c r="G440" s="11">
        <v>51.405278000000003</v>
      </c>
      <c r="H440" s="11">
        <v>1</v>
      </c>
    </row>
    <row r="441" spans="1:8" x14ac:dyDescent="0.3">
      <c r="A441" t="s">
        <v>549</v>
      </c>
      <c r="B441" t="s">
        <v>37</v>
      </c>
      <c r="C441" t="s">
        <v>54</v>
      </c>
      <c r="D441" t="s">
        <v>548</v>
      </c>
      <c r="F441" s="11">
        <v>3.7194440000000002</v>
      </c>
      <c r="G441" s="11">
        <v>51.431666999999997</v>
      </c>
      <c r="H441" s="11">
        <v>1</v>
      </c>
    </row>
    <row r="442" spans="1:8" x14ac:dyDescent="0.3">
      <c r="A442" t="s">
        <v>550</v>
      </c>
      <c r="B442" t="s">
        <v>499</v>
      </c>
      <c r="C442" t="s">
        <v>56</v>
      </c>
      <c r="D442" t="s">
        <v>548</v>
      </c>
      <c r="F442" s="11">
        <v>3.6677780000000002</v>
      </c>
      <c r="G442" s="11">
        <v>51.451943999999997</v>
      </c>
      <c r="H442" s="11">
        <v>1</v>
      </c>
    </row>
    <row r="443" spans="1:8" x14ac:dyDescent="0.3">
      <c r="A443" t="s">
        <v>551</v>
      </c>
      <c r="B443" t="s">
        <v>499</v>
      </c>
      <c r="C443" t="s">
        <v>58</v>
      </c>
      <c r="D443" t="s">
        <v>548</v>
      </c>
      <c r="F443" s="11">
        <v>3.5802779999999998</v>
      </c>
      <c r="G443" s="11">
        <v>51.443610999999997</v>
      </c>
      <c r="H443" s="11">
        <v>1</v>
      </c>
    </row>
    <row r="444" spans="1:8" x14ac:dyDescent="0.3">
      <c r="A444" t="s">
        <v>552</v>
      </c>
      <c r="B444" t="s">
        <v>499</v>
      </c>
      <c r="C444" t="s">
        <v>60</v>
      </c>
      <c r="D444" t="s">
        <v>548</v>
      </c>
      <c r="F444" s="11">
        <v>3.519444</v>
      </c>
      <c r="G444" s="11">
        <v>51.475833000000002</v>
      </c>
      <c r="H444" s="11">
        <v>1</v>
      </c>
    </row>
    <row r="445" spans="1:8" x14ac:dyDescent="0.3">
      <c r="A445" t="s">
        <v>553</v>
      </c>
      <c r="B445" t="s">
        <v>502</v>
      </c>
      <c r="C445" t="s">
        <v>62</v>
      </c>
      <c r="D445" t="s">
        <v>548</v>
      </c>
      <c r="F445" s="11">
        <v>3.4669439999999998</v>
      </c>
      <c r="G445" s="11">
        <v>51.511667000000003</v>
      </c>
      <c r="H445" s="11">
        <v>1</v>
      </c>
    </row>
    <row r="446" spans="1:8" x14ac:dyDescent="0.3">
      <c r="A446" t="s">
        <v>554</v>
      </c>
      <c r="B446" t="s">
        <v>502</v>
      </c>
      <c r="C446" t="s">
        <v>64</v>
      </c>
      <c r="D446" t="s">
        <v>548</v>
      </c>
      <c r="F446" s="11">
        <v>3.4616669999999998</v>
      </c>
      <c r="G446" s="11">
        <v>51.550832999999997</v>
      </c>
      <c r="H446" s="11">
        <v>1</v>
      </c>
    </row>
    <row r="447" spans="1:8" x14ac:dyDescent="0.3">
      <c r="A447" t="s">
        <v>555</v>
      </c>
      <c r="B447" t="s">
        <v>502</v>
      </c>
      <c r="C447" t="s">
        <v>66</v>
      </c>
      <c r="D447" t="s">
        <v>548</v>
      </c>
      <c r="F447" s="11">
        <v>3.523889</v>
      </c>
      <c r="G447" s="11">
        <v>51.58</v>
      </c>
      <c r="H447" s="11">
        <v>1</v>
      </c>
    </row>
    <row r="448" spans="1:8" x14ac:dyDescent="0.3">
      <c r="A448" t="s">
        <v>556</v>
      </c>
      <c r="B448" t="s">
        <v>507</v>
      </c>
      <c r="C448" t="s">
        <v>68</v>
      </c>
      <c r="D448" t="s">
        <v>548</v>
      </c>
      <c r="F448" s="11">
        <v>3.5997219999999999</v>
      </c>
      <c r="G448" s="11">
        <v>51.598889</v>
      </c>
      <c r="H448" s="11">
        <v>1</v>
      </c>
    </row>
    <row r="449" spans="1:8" x14ac:dyDescent="0.3">
      <c r="A449" t="s">
        <v>557</v>
      </c>
      <c r="B449" t="s">
        <v>507</v>
      </c>
      <c r="C449" t="s">
        <v>71</v>
      </c>
      <c r="D449" t="s">
        <v>548</v>
      </c>
      <c r="F449" s="11">
        <v>3.6858330000000001</v>
      </c>
      <c r="G449" s="11">
        <v>51.599167000000001</v>
      </c>
      <c r="H449" s="11">
        <v>1</v>
      </c>
    </row>
    <row r="450" spans="1:8" x14ac:dyDescent="0.3">
      <c r="A450" t="s">
        <v>558</v>
      </c>
      <c r="B450" t="s">
        <v>37</v>
      </c>
      <c r="C450" t="s">
        <v>457</v>
      </c>
      <c r="D450" t="s">
        <v>548</v>
      </c>
      <c r="F450" s="11">
        <v>3.7722220000000002</v>
      </c>
      <c r="G450" s="11">
        <v>51.600555999999997</v>
      </c>
      <c r="H450" s="11">
        <v>1</v>
      </c>
    </row>
    <row r="451" spans="1:8" x14ac:dyDescent="0.3">
      <c r="A451" t="s">
        <v>559</v>
      </c>
      <c r="B451" t="s">
        <v>507</v>
      </c>
      <c r="C451" t="s">
        <v>73</v>
      </c>
      <c r="D451" t="s">
        <v>548</v>
      </c>
      <c r="F451" s="11">
        <v>3.848611</v>
      </c>
      <c r="G451" s="11">
        <v>51.603889000000002</v>
      </c>
      <c r="H451" s="11">
        <v>1</v>
      </c>
    </row>
    <row r="452" spans="1:8" x14ac:dyDescent="0.3">
      <c r="A452" t="s">
        <v>560</v>
      </c>
      <c r="B452" t="s">
        <v>507</v>
      </c>
      <c r="C452" t="s">
        <v>75</v>
      </c>
      <c r="D452" t="s">
        <v>548</v>
      </c>
      <c r="F452" s="11">
        <v>3.9036110000000002</v>
      </c>
      <c r="G452" s="11">
        <v>51.568888999999999</v>
      </c>
      <c r="H452" s="11">
        <v>1</v>
      </c>
    </row>
    <row r="453" spans="1:8" x14ac:dyDescent="0.3">
      <c r="A453" t="s">
        <v>561</v>
      </c>
      <c r="B453" t="s">
        <v>507</v>
      </c>
      <c r="C453" t="s">
        <v>77</v>
      </c>
      <c r="D453" t="s">
        <v>548</v>
      </c>
      <c r="F453" s="11">
        <v>3.894444</v>
      </c>
      <c r="G453" s="11">
        <v>51.544443999999999</v>
      </c>
      <c r="H453" s="11">
        <v>1</v>
      </c>
    </row>
    <row r="454" spans="1:8" x14ac:dyDescent="0.3">
      <c r="A454" t="s">
        <v>562</v>
      </c>
      <c r="B454" t="s">
        <v>507</v>
      </c>
      <c r="C454" t="s">
        <v>79</v>
      </c>
      <c r="D454" t="s">
        <v>548</v>
      </c>
      <c r="F454" s="11">
        <v>3.9722219999999999</v>
      </c>
      <c r="G454" s="11">
        <v>51.533332999999999</v>
      </c>
      <c r="H454" s="11">
        <v>1</v>
      </c>
    </row>
    <row r="455" spans="1:8" x14ac:dyDescent="0.3">
      <c r="A455" t="s">
        <v>563</v>
      </c>
      <c r="B455" t="s">
        <v>507</v>
      </c>
      <c r="C455" t="s">
        <v>81</v>
      </c>
      <c r="D455" t="s">
        <v>548</v>
      </c>
      <c r="F455" s="11">
        <v>4.0491669999999997</v>
      </c>
      <c r="G455" s="11">
        <v>51.508889000000003</v>
      </c>
      <c r="H455" s="11">
        <v>1</v>
      </c>
    </row>
    <row r="456" spans="1:8" x14ac:dyDescent="0.3">
      <c r="A456" t="s">
        <v>564</v>
      </c>
      <c r="B456" t="s">
        <v>12</v>
      </c>
      <c r="C456" t="s">
        <v>89</v>
      </c>
      <c r="D456" t="s">
        <v>548</v>
      </c>
      <c r="F456" s="11">
        <v>4.0841669999999999</v>
      </c>
      <c r="G456" s="11">
        <v>51.466388999999999</v>
      </c>
      <c r="H456" s="11">
        <v>1</v>
      </c>
    </row>
    <row r="457" spans="1:8" x14ac:dyDescent="0.3">
      <c r="A457" t="s">
        <v>565</v>
      </c>
      <c r="B457" t="s">
        <v>12</v>
      </c>
      <c r="C457" t="s">
        <v>302</v>
      </c>
      <c r="D457" t="s">
        <v>548</v>
      </c>
      <c r="F457" s="11">
        <v>4.1458329999999997</v>
      </c>
      <c r="G457" s="11">
        <v>51.435833000000002</v>
      </c>
      <c r="H457" s="11">
        <v>1</v>
      </c>
    </row>
    <row r="458" spans="1:8" x14ac:dyDescent="0.3">
      <c r="A458" t="s">
        <v>566</v>
      </c>
      <c r="B458" t="s">
        <v>12</v>
      </c>
      <c r="C458" t="s">
        <v>304</v>
      </c>
      <c r="D458" t="s">
        <v>548</v>
      </c>
      <c r="F458" s="11">
        <v>4.2313890000000001</v>
      </c>
      <c r="G458" s="11">
        <v>51.434722000000001</v>
      </c>
      <c r="H458" s="11">
        <v>1</v>
      </c>
    </row>
    <row r="459" spans="1:8" x14ac:dyDescent="0.3">
      <c r="A459" t="s">
        <v>567</v>
      </c>
      <c r="B459" t="s">
        <v>12</v>
      </c>
      <c r="C459" t="s">
        <v>327</v>
      </c>
      <c r="D459" t="s">
        <v>548</v>
      </c>
      <c r="F459" s="11">
        <v>4.2933329999999996</v>
      </c>
      <c r="G459" s="11">
        <v>51.464167000000003</v>
      </c>
      <c r="H459" s="11">
        <v>1</v>
      </c>
    </row>
    <row r="460" spans="1:8" x14ac:dyDescent="0.3">
      <c r="A460" t="s">
        <v>568</v>
      </c>
      <c r="B460" t="s">
        <v>12</v>
      </c>
      <c r="C460" t="s">
        <v>369</v>
      </c>
      <c r="D460" t="s">
        <v>548</v>
      </c>
      <c r="F460" s="11">
        <v>4.262778</v>
      </c>
      <c r="G460" s="11">
        <v>51.510556000000001</v>
      </c>
      <c r="H460" s="11">
        <v>1</v>
      </c>
    </row>
    <row r="461" spans="1:8" x14ac:dyDescent="0.3">
      <c r="A461" t="s">
        <v>569</v>
      </c>
      <c r="B461" t="s">
        <v>12</v>
      </c>
      <c r="C461" t="s">
        <v>389</v>
      </c>
      <c r="D461" t="s">
        <v>548</v>
      </c>
      <c r="F461" s="11">
        <v>4.1830559999999997</v>
      </c>
      <c r="G461" s="11">
        <v>51.521667000000001</v>
      </c>
      <c r="H461" s="11">
        <v>1</v>
      </c>
    </row>
    <row r="462" spans="1:8" x14ac:dyDescent="0.3">
      <c r="A462" t="s">
        <v>570</v>
      </c>
      <c r="B462" t="s">
        <v>12</v>
      </c>
      <c r="C462" t="s">
        <v>407</v>
      </c>
      <c r="D462" t="s">
        <v>548</v>
      </c>
      <c r="F462" s="11">
        <v>4.0891669999999998</v>
      </c>
      <c r="G462" s="11">
        <v>51.53</v>
      </c>
      <c r="H462" s="11">
        <v>1</v>
      </c>
    </row>
    <row r="463" spans="1:8" x14ac:dyDescent="0.3">
      <c r="A463" t="s">
        <v>571</v>
      </c>
      <c r="B463" t="s">
        <v>12</v>
      </c>
      <c r="C463" t="s">
        <v>467</v>
      </c>
      <c r="D463" t="s">
        <v>548</v>
      </c>
      <c r="F463" s="11">
        <v>4.0305559999999998</v>
      </c>
      <c r="G463" s="11">
        <v>51.563333</v>
      </c>
      <c r="H463" s="11">
        <v>1</v>
      </c>
    </row>
    <row r="464" spans="1:8" x14ac:dyDescent="0.3">
      <c r="A464" t="s">
        <v>572</v>
      </c>
      <c r="B464" t="s">
        <v>12</v>
      </c>
      <c r="C464" t="s">
        <v>469</v>
      </c>
      <c r="D464" t="s">
        <v>548</v>
      </c>
      <c r="F464" s="11">
        <v>4.0080559999999998</v>
      </c>
      <c r="G464" s="11">
        <v>51.595832999999999</v>
      </c>
      <c r="H464" s="11">
        <v>1</v>
      </c>
    </row>
    <row r="465" spans="1:8" x14ac:dyDescent="0.3">
      <c r="A465" t="s">
        <v>573</v>
      </c>
      <c r="B465" t="s">
        <v>37</v>
      </c>
      <c r="C465" t="s">
        <v>54</v>
      </c>
      <c r="D465" t="s">
        <v>574</v>
      </c>
      <c r="F465" s="11">
        <v>4.0863889999999996</v>
      </c>
      <c r="G465" s="11">
        <v>51.611944000000001</v>
      </c>
      <c r="H465" s="11">
        <v>1</v>
      </c>
    </row>
    <row r="466" spans="1:8" x14ac:dyDescent="0.3">
      <c r="A466" t="s">
        <v>575</v>
      </c>
      <c r="B466" t="s">
        <v>499</v>
      </c>
      <c r="C466" t="s">
        <v>56</v>
      </c>
      <c r="D466" t="s">
        <v>574</v>
      </c>
      <c r="F466" s="11">
        <v>4.1697220000000002</v>
      </c>
      <c r="G466" s="11">
        <v>51.605556</v>
      </c>
      <c r="H466" s="11">
        <v>1</v>
      </c>
    </row>
    <row r="467" spans="1:8" x14ac:dyDescent="0.3">
      <c r="A467" t="s">
        <v>576</v>
      </c>
      <c r="B467" t="s">
        <v>499</v>
      </c>
      <c r="C467" t="s">
        <v>58</v>
      </c>
      <c r="D467" t="s">
        <v>574</v>
      </c>
      <c r="F467" s="11">
        <v>4.201111</v>
      </c>
      <c r="G467" s="11">
        <v>51.606667000000002</v>
      </c>
      <c r="H467" s="11">
        <v>1</v>
      </c>
    </row>
    <row r="468" spans="1:8" x14ac:dyDescent="0.3">
      <c r="A468" t="s">
        <v>577</v>
      </c>
      <c r="B468" t="s">
        <v>499</v>
      </c>
      <c r="C468" t="s">
        <v>60</v>
      </c>
      <c r="D468" t="s">
        <v>574</v>
      </c>
      <c r="F468" s="11">
        <v>4.1294440000000003</v>
      </c>
      <c r="G468" s="11">
        <v>51.621667000000002</v>
      </c>
      <c r="H468" s="11">
        <v>1</v>
      </c>
    </row>
    <row r="469" spans="1:8" x14ac:dyDescent="0.3">
      <c r="A469" t="s">
        <v>578</v>
      </c>
      <c r="B469" t="s">
        <v>502</v>
      </c>
      <c r="C469" t="s">
        <v>62</v>
      </c>
      <c r="D469" t="s">
        <v>574</v>
      </c>
      <c r="F469" s="11">
        <v>4.0997219999999999</v>
      </c>
      <c r="G469" s="11">
        <v>51.645277999999998</v>
      </c>
      <c r="H469" s="11">
        <v>1</v>
      </c>
    </row>
    <row r="470" spans="1:8" x14ac:dyDescent="0.3">
      <c r="A470" t="s">
        <v>579</v>
      </c>
      <c r="B470" t="s">
        <v>502</v>
      </c>
      <c r="C470" t="s">
        <v>64</v>
      </c>
      <c r="D470" t="s">
        <v>574</v>
      </c>
      <c r="F470" s="11">
        <v>4.0294439999999998</v>
      </c>
      <c r="G470" s="11">
        <v>51.622500000000002</v>
      </c>
      <c r="H470" s="11">
        <v>1</v>
      </c>
    </row>
    <row r="471" spans="1:8" x14ac:dyDescent="0.3">
      <c r="A471" t="s">
        <v>580</v>
      </c>
      <c r="B471" t="s">
        <v>502</v>
      </c>
      <c r="C471" t="s">
        <v>66</v>
      </c>
      <c r="D471" t="s">
        <v>574</v>
      </c>
      <c r="F471" s="11">
        <v>3.9538890000000002</v>
      </c>
      <c r="G471" s="11">
        <v>51.624167</v>
      </c>
      <c r="H471" s="11">
        <v>1</v>
      </c>
    </row>
    <row r="472" spans="1:8" x14ac:dyDescent="0.3">
      <c r="A472" t="s">
        <v>581</v>
      </c>
      <c r="B472" t="s">
        <v>507</v>
      </c>
      <c r="C472" t="s">
        <v>68</v>
      </c>
      <c r="D472" t="s">
        <v>574</v>
      </c>
      <c r="F472" s="11">
        <v>3.891667</v>
      </c>
      <c r="G472" s="11">
        <v>51.651944</v>
      </c>
      <c r="H472" s="11">
        <v>1</v>
      </c>
    </row>
    <row r="473" spans="1:8" x14ac:dyDescent="0.3">
      <c r="A473" t="s">
        <v>582</v>
      </c>
      <c r="B473" t="s">
        <v>507</v>
      </c>
      <c r="C473" t="s">
        <v>71</v>
      </c>
      <c r="D473" t="s">
        <v>574</v>
      </c>
      <c r="F473" s="11">
        <v>3.8347220000000002</v>
      </c>
      <c r="G473" s="11">
        <v>51.681944000000001</v>
      </c>
      <c r="H473" s="11">
        <v>1</v>
      </c>
    </row>
    <row r="474" spans="1:8" x14ac:dyDescent="0.3">
      <c r="A474" t="s">
        <v>583</v>
      </c>
      <c r="B474" t="s">
        <v>37</v>
      </c>
      <c r="C474" t="s">
        <v>457</v>
      </c>
      <c r="D474" t="s">
        <v>574</v>
      </c>
      <c r="F474" s="11">
        <v>3.7744439999999999</v>
      </c>
      <c r="G474" s="11">
        <v>51.681111000000001</v>
      </c>
      <c r="H474" s="11">
        <v>1</v>
      </c>
    </row>
    <row r="475" spans="1:8" x14ac:dyDescent="0.3">
      <c r="A475" t="s">
        <v>584</v>
      </c>
      <c r="B475" t="s">
        <v>507</v>
      </c>
      <c r="C475" t="s">
        <v>73</v>
      </c>
      <c r="D475" t="s">
        <v>574</v>
      </c>
      <c r="F475" s="11">
        <v>3.6963889999999999</v>
      </c>
      <c r="G475" s="11">
        <v>51.681389000000003</v>
      </c>
      <c r="H475" s="11">
        <v>1</v>
      </c>
    </row>
    <row r="476" spans="1:8" x14ac:dyDescent="0.3">
      <c r="A476" t="s">
        <v>585</v>
      </c>
      <c r="B476" t="s">
        <v>507</v>
      </c>
      <c r="C476" t="s">
        <v>75</v>
      </c>
      <c r="D476" t="s">
        <v>574</v>
      </c>
      <c r="F476" s="11">
        <v>3.7075</v>
      </c>
      <c r="G476" s="11">
        <v>51.730556</v>
      </c>
      <c r="H476" s="11">
        <v>1</v>
      </c>
    </row>
    <row r="477" spans="1:8" x14ac:dyDescent="0.3">
      <c r="A477" t="s">
        <v>586</v>
      </c>
      <c r="B477" t="s">
        <v>507</v>
      </c>
      <c r="C477" t="s">
        <v>77</v>
      </c>
      <c r="D477" t="s">
        <v>574</v>
      </c>
      <c r="F477" s="11">
        <v>3.7838889999999998</v>
      </c>
      <c r="G477" s="11">
        <v>51.746667000000002</v>
      </c>
      <c r="H477" s="11">
        <v>1</v>
      </c>
    </row>
    <row r="478" spans="1:8" x14ac:dyDescent="0.3">
      <c r="A478" t="s">
        <v>587</v>
      </c>
      <c r="B478" t="s">
        <v>507</v>
      </c>
      <c r="C478" t="s">
        <v>79</v>
      </c>
      <c r="D478" t="s">
        <v>574</v>
      </c>
      <c r="F478" s="11">
        <v>3.8502779999999999</v>
      </c>
      <c r="G478" s="11">
        <v>51.768332999999998</v>
      </c>
      <c r="H478" s="11">
        <v>1</v>
      </c>
    </row>
    <row r="479" spans="1:8" x14ac:dyDescent="0.3">
      <c r="A479" t="s">
        <v>588</v>
      </c>
      <c r="B479" t="s">
        <v>12</v>
      </c>
      <c r="C479" t="s">
        <v>87</v>
      </c>
      <c r="D479" t="s">
        <v>574</v>
      </c>
      <c r="F479" s="11">
        <v>3.8655560000000002</v>
      </c>
      <c r="G479" s="11">
        <v>51.814999999999998</v>
      </c>
      <c r="H479" s="11">
        <v>1</v>
      </c>
    </row>
    <row r="480" spans="1:8" x14ac:dyDescent="0.3">
      <c r="A480" t="s">
        <v>589</v>
      </c>
      <c r="B480" t="s">
        <v>12</v>
      </c>
      <c r="C480" t="s">
        <v>89</v>
      </c>
      <c r="D480" t="s">
        <v>574</v>
      </c>
      <c r="F480" s="11">
        <v>3.9411109999999998</v>
      </c>
      <c r="G480" s="11">
        <v>51.833610999999998</v>
      </c>
      <c r="H480" s="11">
        <v>1</v>
      </c>
    </row>
    <row r="481" spans="1:8" x14ac:dyDescent="0.3">
      <c r="A481" t="s">
        <v>590</v>
      </c>
      <c r="B481" t="s">
        <v>12</v>
      </c>
      <c r="C481" t="s">
        <v>302</v>
      </c>
      <c r="D481" t="s">
        <v>574</v>
      </c>
      <c r="F481" s="11">
        <v>4.0155560000000001</v>
      </c>
      <c r="G481" s="11">
        <v>51.842778000000003</v>
      </c>
      <c r="H481" s="11">
        <v>1</v>
      </c>
    </row>
    <row r="482" spans="1:8" x14ac:dyDescent="0.3">
      <c r="A482" t="s">
        <v>591</v>
      </c>
      <c r="B482" t="s">
        <v>12</v>
      </c>
      <c r="C482" t="s">
        <v>304</v>
      </c>
      <c r="D482" t="s">
        <v>574</v>
      </c>
      <c r="F482" s="11">
        <v>4.0736109999999996</v>
      </c>
      <c r="G482" s="11">
        <v>51.845832999999999</v>
      </c>
      <c r="H482" s="11">
        <v>1</v>
      </c>
    </row>
    <row r="483" spans="1:8" x14ac:dyDescent="0.3">
      <c r="A483" t="s">
        <v>592</v>
      </c>
      <c r="B483" t="s">
        <v>12</v>
      </c>
      <c r="C483" t="s">
        <v>327</v>
      </c>
      <c r="D483" t="s">
        <v>574</v>
      </c>
      <c r="F483" s="11">
        <v>4.0261110000000002</v>
      </c>
      <c r="G483" s="11">
        <v>51.884166999999998</v>
      </c>
      <c r="H483" s="11">
        <v>1</v>
      </c>
    </row>
    <row r="484" spans="1:8" x14ac:dyDescent="0.3">
      <c r="A484" t="s">
        <v>593</v>
      </c>
      <c r="B484" t="s">
        <v>12</v>
      </c>
      <c r="C484" t="s">
        <v>369</v>
      </c>
      <c r="D484" t="s">
        <v>574</v>
      </c>
      <c r="F484" s="11">
        <v>4.0372219999999999</v>
      </c>
      <c r="G484" s="11">
        <v>51.928610999999997</v>
      </c>
      <c r="H484" s="11">
        <v>1</v>
      </c>
    </row>
    <row r="485" spans="1:8" x14ac:dyDescent="0.3">
      <c r="A485" t="s">
        <v>594</v>
      </c>
      <c r="B485" t="s">
        <v>12</v>
      </c>
      <c r="C485" t="s">
        <v>389</v>
      </c>
      <c r="D485" t="s">
        <v>574</v>
      </c>
      <c r="F485" s="11">
        <v>4.0119439999999997</v>
      </c>
      <c r="G485" s="11">
        <v>51.977778000000001</v>
      </c>
      <c r="H485" s="11">
        <v>1</v>
      </c>
    </row>
    <row r="486" spans="1:8" x14ac:dyDescent="0.3">
      <c r="A486" t="s">
        <v>595</v>
      </c>
      <c r="B486" t="s">
        <v>12</v>
      </c>
      <c r="C486" t="s">
        <v>407</v>
      </c>
      <c r="D486" t="s">
        <v>574</v>
      </c>
      <c r="H486" s="11">
        <v>1</v>
      </c>
    </row>
    <row r="487" spans="1:8" x14ac:dyDescent="0.3">
      <c r="A487" t="s">
        <v>596</v>
      </c>
      <c r="B487" t="s">
        <v>12</v>
      </c>
      <c r="C487" t="s">
        <v>467</v>
      </c>
      <c r="D487" t="s">
        <v>574</v>
      </c>
      <c r="F487" s="11">
        <v>4.1111110000000002</v>
      </c>
      <c r="G487" s="11">
        <v>51.985556000000003</v>
      </c>
      <c r="H487" s="11">
        <v>1</v>
      </c>
    </row>
    <row r="488" spans="1:8" x14ac:dyDescent="0.3">
      <c r="A488" t="s">
        <v>597</v>
      </c>
      <c r="B488" t="s">
        <v>12</v>
      </c>
      <c r="C488" t="s">
        <v>469</v>
      </c>
      <c r="D488" t="s">
        <v>574</v>
      </c>
      <c r="F488" s="11">
        <v>4.1666670000000003</v>
      </c>
      <c r="G488" s="11">
        <v>52.020555999999999</v>
      </c>
      <c r="H488" s="11">
        <v>1</v>
      </c>
    </row>
    <row r="489" spans="1:8" x14ac:dyDescent="0.3">
      <c r="A489" t="s">
        <v>598</v>
      </c>
      <c r="B489" t="s">
        <v>12</v>
      </c>
      <c r="C489" t="s">
        <v>443</v>
      </c>
      <c r="D489" t="s">
        <v>574</v>
      </c>
      <c r="F489" s="11">
        <v>4.2155560000000003</v>
      </c>
      <c r="G489" s="11">
        <v>52.061667</v>
      </c>
      <c r="H489" s="11">
        <v>1</v>
      </c>
    </row>
    <row r="490" spans="1:8" x14ac:dyDescent="0.3">
      <c r="A490" t="s">
        <v>599</v>
      </c>
      <c r="B490" t="s">
        <v>37</v>
      </c>
      <c r="C490" t="s">
        <v>51</v>
      </c>
      <c r="D490" t="s">
        <v>600</v>
      </c>
      <c r="F490" s="11">
        <v>4.2638889999999998</v>
      </c>
      <c r="G490" s="11">
        <v>52.102778000000001</v>
      </c>
      <c r="H490" s="11">
        <v>1</v>
      </c>
    </row>
    <row r="491" spans="1:8" x14ac:dyDescent="0.3">
      <c r="A491" t="s">
        <v>601</v>
      </c>
      <c r="B491" t="s">
        <v>37</v>
      </c>
      <c r="C491" t="s">
        <v>54</v>
      </c>
      <c r="D491" t="s">
        <v>600</v>
      </c>
      <c r="F491" s="11">
        <v>4.3152780000000002</v>
      </c>
      <c r="G491" s="11">
        <v>52.140278000000002</v>
      </c>
      <c r="H491" s="11">
        <v>1</v>
      </c>
    </row>
    <row r="492" spans="1:8" x14ac:dyDescent="0.3">
      <c r="A492" t="s">
        <v>602</v>
      </c>
      <c r="B492" t="s">
        <v>499</v>
      </c>
      <c r="C492" t="s">
        <v>56</v>
      </c>
      <c r="D492" t="s">
        <v>600</v>
      </c>
      <c r="F492" s="11">
        <v>4.3686109999999996</v>
      </c>
      <c r="G492" s="11">
        <v>52.177222</v>
      </c>
      <c r="H492" s="11">
        <v>1</v>
      </c>
    </row>
    <row r="493" spans="1:8" x14ac:dyDescent="0.3">
      <c r="A493" t="s">
        <v>603</v>
      </c>
      <c r="B493" t="s">
        <v>499</v>
      </c>
      <c r="C493" t="s">
        <v>58</v>
      </c>
      <c r="D493" t="s">
        <v>600</v>
      </c>
      <c r="F493" s="11">
        <v>4.4147220000000003</v>
      </c>
      <c r="G493" s="11">
        <v>52.220832999999999</v>
      </c>
      <c r="H493" s="11">
        <v>1</v>
      </c>
    </row>
    <row r="494" spans="1:8" x14ac:dyDescent="0.3">
      <c r="A494" t="s">
        <v>604</v>
      </c>
      <c r="B494" t="s">
        <v>499</v>
      </c>
      <c r="C494" t="s">
        <v>60</v>
      </c>
      <c r="D494" t="s">
        <v>600</v>
      </c>
      <c r="F494" s="11">
        <v>4.4538890000000002</v>
      </c>
      <c r="G494" s="11">
        <v>52.269444</v>
      </c>
      <c r="H494" s="11">
        <v>1</v>
      </c>
    </row>
    <row r="495" spans="1:8" x14ac:dyDescent="0.3">
      <c r="A495" t="s">
        <v>605</v>
      </c>
      <c r="B495" t="s">
        <v>502</v>
      </c>
      <c r="C495" t="s">
        <v>62</v>
      </c>
      <c r="D495" t="s">
        <v>600</v>
      </c>
      <c r="F495" s="11">
        <v>4.4894439999999998</v>
      </c>
      <c r="G495" s="11">
        <v>52.319443999999997</v>
      </c>
      <c r="H495" s="11">
        <v>1</v>
      </c>
    </row>
    <row r="496" spans="1:8" x14ac:dyDescent="0.3">
      <c r="A496" t="s">
        <v>606</v>
      </c>
      <c r="B496" t="s">
        <v>502</v>
      </c>
      <c r="C496" t="s">
        <v>64</v>
      </c>
      <c r="D496" t="s">
        <v>600</v>
      </c>
      <c r="F496" s="11">
        <v>4.5247219999999997</v>
      </c>
      <c r="G496" s="11">
        <v>52.371389000000001</v>
      </c>
      <c r="H496" s="11">
        <v>1</v>
      </c>
    </row>
    <row r="497" spans="1:8" x14ac:dyDescent="0.3">
      <c r="A497" t="s">
        <v>607</v>
      </c>
      <c r="B497" t="s">
        <v>502</v>
      </c>
      <c r="C497" t="s">
        <v>66</v>
      </c>
      <c r="D497" t="s">
        <v>600</v>
      </c>
      <c r="F497" s="11">
        <v>4.5552780000000004</v>
      </c>
      <c r="G497" s="11">
        <v>52.427222</v>
      </c>
      <c r="H497" s="11">
        <v>1</v>
      </c>
    </row>
    <row r="498" spans="1:8" x14ac:dyDescent="0.3">
      <c r="A498" t="s">
        <v>608</v>
      </c>
      <c r="B498" t="s">
        <v>6</v>
      </c>
      <c r="C498" t="s">
        <v>68</v>
      </c>
      <c r="D498" t="s">
        <v>600</v>
      </c>
      <c r="F498" s="11">
        <v>4.6011110000000004</v>
      </c>
      <c r="G498" s="11">
        <v>52.470832999999999</v>
      </c>
      <c r="H498" s="11">
        <v>1</v>
      </c>
    </row>
    <row r="499" spans="1:8" x14ac:dyDescent="0.3">
      <c r="A499" t="s">
        <v>609</v>
      </c>
      <c r="B499" t="s">
        <v>6</v>
      </c>
      <c r="C499" t="s">
        <v>71</v>
      </c>
      <c r="D499" t="s">
        <v>600</v>
      </c>
      <c r="F499" s="11">
        <v>4.5983330000000002</v>
      </c>
      <c r="G499" s="11">
        <v>52.513888999999999</v>
      </c>
      <c r="H499" s="11">
        <v>1</v>
      </c>
    </row>
    <row r="500" spans="1:8" x14ac:dyDescent="0.3">
      <c r="A500" t="s">
        <v>610</v>
      </c>
      <c r="B500" t="s">
        <v>6</v>
      </c>
      <c r="C500" t="s">
        <v>73</v>
      </c>
      <c r="D500" t="s">
        <v>600</v>
      </c>
      <c r="F500" s="11">
        <v>4.6166669999999996</v>
      </c>
      <c r="G500" s="11">
        <v>52.579721999999997</v>
      </c>
      <c r="H500" s="11">
        <v>1</v>
      </c>
    </row>
    <row r="501" spans="1:8" x14ac:dyDescent="0.3">
      <c r="A501" t="s">
        <v>611</v>
      </c>
      <c r="B501" t="s">
        <v>6</v>
      </c>
      <c r="C501" t="s">
        <v>75</v>
      </c>
      <c r="D501" t="s">
        <v>600</v>
      </c>
      <c r="F501" s="11">
        <v>4.6338889999999999</v>
      </c>
      <c r="G501" s="11">
        <v>52.643332999999998</v>
      </c>
      <c r="H501" s="11">
        <v>1</v>
      </c>
    </row>
    <row r="502" spans="1:8" x14ac:dyDescent="0.3">
      <c r="A502" t="s">
        <v>612</v>
      </c>
      <c r="B502" t="s">
        <v>6</v>
      </c>
      <c r="C502" t="s">
        <v>77</v>
      </c>
      <c r="D502" t="s">
        <v>600</v>
      </c>
      <c r="F502" s="11">
        <v>4.6433330000000002</v>
      </c>
      <c r="G502" s="11">
        <v>52.705556000000001</v>
      </c>
      <c r="H502" s="11">
        <v>1</v>
      </c>
    </row>
    <row r="503" spans="1:8" x14ac:dyDescent="0.3">
      <c r="A503" t="s">
        <v>613</v>
      </c>
      <c r="B503" t="s">
        <v>6</v>
      </c>
      <c r="C503" t="s">
        <v>79</v>
      </c>
      <c r="D503" t="s">
        <v>600</v>
      </c>
      <c r="F503" s="11">
        <v>4.661111</v>
      </c>
      <c r="G503" s="11">
        <v>52.767778</v>
      </c>
      <c r="H503" s="11">
        <v>1</v>
      </c>
    </row>
    <row r="504" spans="1:8" x14ac:dyDescent="0.3">
      <c r="A504" t="s">
        <v>614</v>
      </c>
      <c r="B504" t="s">
        <v>12</v>
      </c>
      <c r="C504" t="s">
        <v>87</v>
      </c>
      <c r="D504" t="s">
        <v>600</v>
      </c>
      <c r="F504" s="11">
        <v>4.6905559999999999</v>
      </c>
      <c r="G504" s="11">
        <v>52.824722000000001</v>
      </c>
      <c r="H504" s="11">
        <v>1</v>
      </c>
    </row>
    <row r="505" spans="1:8" x14ac:dyDescent="0.3">
      <c r="A505" t="s">
        <v>615</v>
      </c>
      <c r="B505" t="s">
        <v>12</v>
      </c>
      <c r="C505" t="s">
        <v>89</v>
      </c>
      <c r="D505" t="s">
        <v>600</v>
      </c>
      <c r="F505" s="11">
        <v>4.717778</v>
      </c>
      <c r="G505" s="11">
        <v>52.883611000000002</v>
      </c>
      <c r="H505" s="11">
        <v>1</v>
      </c>
    </row>
    <row r="506" spans="1:8" x14ac:dyDescent="0.3">
      <c r="A506" t="s">
        <v>616</v>
      </c>
      <c r="B506" t="s">
        <v>12</v>
      </c>
      <c r="C506" t="s">
        <v>302</v>
      </c>
      <c r="D506" t="s">
        <v>600</v>
      </c>
      <c r="F506" s="11">
        <v>4.7300000000000004</v>
      </c>
      <c r="G506" s="11">
        <v>52.948056000000001</v>
      </c>
      <c r="H506" s="11">
        <v>1</v>
      </c>
    </row>
    <row r="507" spans="1:8" x14ac:dyDescent="0.3">
      <c r="A507" t="s">
        <v>617</v>
      </c>
      <c r="B507" t="s">
        <v>12</v>
      </c>
      <c r="C507" t="s">
        <v>304</v>
      </c>
      <c r="D507" t="s">
        <v>600</v>
      </c>
      <c r="F507" s="11">
        <v>4.7975000000000003</v>
      </c>
      <c r="G507" s="11">
        <v>52.961111000000002</v>
      </c>
      <c r="H507" s="11">
        <v>1</v>
      </c>
    </row>
    <row r="508" spans="1:8" x14ac:dyDescent="0.3">
      <c r="A508" t="s">
        <v>618</v>
      </c>
      <c r="B508" t="s">
        <v>12</v>
      </c>
      <c r="C508" t="s">
        <v>327</v>
      </c>
      <c r="D508" t="s">
        <v>600</v>
      </c>
      <c r="F508" s="11">
        <v>4.8058329999999998</v>
      </c>
      <c r="G508" s="11">
        <v>52.935000000000002</v>
      </c>
      <c r="H508" s="11">
        <v>1</v>
      </c>
    </row>
    <row r="509" spans="1:8" x14ac:dyDescent="0.3">
      <c r="A509" t="s">
        <v>619</v>
      </c>
      <c r="B509" t="s">
        <v>12</v>
      </c>
      <c r="C509" t="s">
        <v>369</v>
      </c>
      <c r="D509" t="s">
        <v>600</v>
      </c>
      <c r="F509" s="11">
        <v>4.8624999999999998</v>
      </c>
      <c r="G509" s="11">
        <v>52.9</v>
      </c>
      <c r="H509" s="11">
        <v>1</v>
      </c>
    </row>
    <row r="510" spans="1:8" x14ac:dyDescent="0.3">
      <c r="A510" t="s">
        <v>620</v>
      </c>
      <c r="B510" t="s">
        <v>12</v>
      </c>
      <c r="C510" t="s">
        <v>389</v>
      </c>
      <c r="D510" t="s">
        <v>600</v>
      </c>
      <c r="F510" s="11">
        <v>4.9474999999999998</v>
      </c>
      <c r="G510" s="11">
        <v>52.906944000000003</v>
      </c>
      <c r="H510" s="11">
        <v>1</v>
      </c>
    </row>
    <row r="511" spans="1:8" x14ac:dyDescent="0.3">
      <c r="A511" t="s">
        <v>621</v>
      </c>
      <c r="B511" t="s">
        <v>12</v>
      </c>
      <c r="C511" t="s">
        <v>407</v>
      </c>
      <c r="D511" t="s">
        <v>600</v>
      </c>
      <c r="F511" s="11">
        <v>5.01</v>
      </c>
      <c r="G511" s="11">
        <v>52.937221999999998</v>
      </c>
      <c r="H511" s="11">
        <v>1</v>
      </c>
    </row>
    <row r="512" spans="1:8" x14ac:dyDescent="0.3">
      <c r="A512" t="s">
        <v>622</v>
      </c>
      <c r="B512" t="s">
        <v>12</v>
      </c>
      <c r="C512" t="s">
        <v>467</v>
      </c>
      <c r="D512" t="s">
        <v>600</v>
      </c>
      <c r="F512" s="11">
        <v>5.085833</v>
      </c>
      <c r="G512" s="11">
        <v>52.955278</v>
      </c>
      <c r="H512" s="11">
        <v>1</v>
      </c>
    </row>
    <row r="513" spans="1:8" x14ac:dyDescent="0.3">
      <c r="A513" t="s">
        <v>623</v>
      </c>
      <c r="B513" t="s">
        <v>12</v>
      </c>
      <c r="C513" t="s">
        <v>469</v>
      </c>
      <c r="D513" t="s">
        <v>600</v>
      </c>
      <c r="F513" s="11">
        <v>5.1466669999999999</v>
      </c>
      <c r="G513" s="11">
        <v>52.987222000000003</v>
      </c>
      <c r="H513" s="11">
        <v>1</v>
      </c>
    </row>
    <row r="514" spans="1:8" x14ac:dyDescent="0.3">
      <c r="A514" t="s">
        <v>624</v>
      </c>
      <c r="B514" t="s">
        <v>12</v>
      </c>
      <c r="C514" t="s">
        <v>443</v>
      </c>
      <c r="D514" t="s">
        <v>600</v>
      </c>
      <c r="F514" s="11">
        <v>5.2066670000000004</v>
      </c>
      <c r="G514" s="11">
        <v>53.019722000000002</v>
      </c>
      <c r="H514" s="11">
        <v>1</v>
      </c>
    </row>
    <row r="515" spans="1:8" x14ac:dyDescent="0.3">
      <c r="A515" t="s">
        <v>625</v>
      </c>
      <c r="B515" t="s">
        <v>12</v>
      </c>
      <c r="C515" t="s">
        <v>443</v>
      </c>
      <c r="D515" t="s">
        <v>626</v>
      </c>
      <c r="F515" s="11">
        <v>5.2633330000000003</v>
      </c>
      <c r="G515" s="11">
        <v>53.055278000000001</v>
      </c>
      <c r="H515" s="11">
        <v>1</v>
      </c>
    </row>
    <row r="516" spans="1:8" x14ac:dyDescent="0.3">
      <c r="A516" t="s">
        <v>627</v>
      </c>
      <c r="B516" t="s">
        <v>37</v>
      </c>
      <c r="C516" t="s">
        <v>51</v>
      </c>
      <c r="D516" t="s">
        <v>626</v>
      </c>
      <c r="F516" s="11">
        <v>5.3327780000000002</v>
      </c>
      <c r="G516" s="11">
        <v>53.080278</v>
      </c>
      <c r="H516" s="11">
        <v>1</v>
      </c>
    </row>
    <row r="517" spans="1:8" x14ac:dyDescent="0.3">
      <c r="A517" t="s">
        <v>628</v>
      </c>
      <c r="B517" t="s">
        <v>37</v>
      </c>
      <c r="C517" t="s">
        <v>54</v>
      </c>
      <c r="D517" t="s">
        <v>626</v>
      </c>
      <c r="F517" s="11">
        <v>5.3938889999999997</v>
      </c>
      <c r="G517" s="11">
        <v>53.111944000000001</v>
      </c>
      <c r="H517" s="11">
        <v>1</v>
      </c>
    </row>
    <row r="518" spans="1:8" x14ac:dyDescent="0.3">
      <c r="A518" t="s">
        <v>629</v>
      </c>
      <c r="B518" t="s">
        <v>499</v>
      </c>
      <c r="C518" t="s">
        <v>56</v>
      </c>
      <c r="D518" t="s">
        <v>626</v>
      </c>
      <c r="F518" s="11">
        <v>5.415</v>
      </c>
      <c r="G518" s="11">
        <v>53.17</v>
      </c>
      <c r="H518" s="11">
        <v>1</v>
      </c>
    </row>
    <row r="519" spans="1:8" x14ac:dyDescent="0.3">
      <c r="A519" t="s">
        <v>630</v>
      </c>
      <c r="B519" t="s">
        <v>499</v>
      </c>
      <c r="C519" t="s">
        <v>58</v>
      </c>
      <c r="D519" t="s">
        <v>626</v>
      </c>
      <c r="F519" s="11">
        <v>5.4519440000000001</v>
      </c>
      <c r="G519" s="11">
        <v>53.220832999999999</v>
      </c>
      <c r="H519" s="11">
        <v>1</v>
      </c>
    </row>
    <row r="520" spans="1:8" x14ac:dyDescent="0.3">
      <c r="A520" t="s">
        <v>631</v>
      </c>
      <c r="B520" t="s">
        <v>499</v>
      </c>
      <c r="C520" t="s">
        <v>60</v>
      </c>
      <c r="D520" t="s">
        <v>626</v>
      </c>
      <c r="F520" s="11">
        <v>5.5063890000000004</v>
      </c>
      <c r="G520" s="11">
        <v>53.249721999999998</v>
      </c>
      <c r="H520" s="11">
        <v>1</v>
      </c>
    </row>
    <row r="521" spans="1:8" x14ac:dyDescent="0.3">
      <c r="A521" t="s">
        <v>632</v>
      </c>
      <c r="B521" t="s">
        <v>502</v>
      </c>
      <c r="C521" t="s">
        <v>62</v>
      </c>
      <c r="D521" t="s">
        <v>626</v>
      </c>
      <c r="F521" s="11">
        <v>5.5666669999999998</v>
      </c>
      <c r="G521" s="11">
        <v>53.282499999999999</v>
      </c>
      <c r="H521" s="11">
        <v>1</v>
      </c>
    </row>
    <row r="522" spans="1:8" x14ac:dyDescent="0.3">
      <c r="A522" t="s">
        <v>633</v>
      </c>
      <c r="B522" t="s">
        <v>502</v>
      </c>
      <c r="C522" t="s">
        <v>64</v>
      </c>
      <c r="D522" t="s">
        <v>626</v>
      </c>
      <c r="F522" s="11">
        <v>5.6366670000000001</v>
      </c>
      <c r="G522" s="11">
        <v>53.307777999999999</v>
      </c>
      <c r="H522" s="11">
        <v>1</v>
      </c>
    </row>
    <row r="523" spans="1:8" x14ac:dyDescent="0.3">
      <c r="A523" t="s">
        <v>634</v>
      </c>
      <c r="B523" t="s">
        <v>502</v>
      </c>
      <c r="C523" t="s">
        <v>66</v>
      </c>
      <c r="D523" t="s">
        <v>626</v>
      </c>
      <c r="F523" s="11">
        <v>5.7086110000000003</v>
      </c>
      <c r="G523" s="11">
        <v>53.328888999999997</v>
      </c>
      <c r="H523" s="11">
        <v>1</v>
      </c>
    </row>
    <row r="524" spans="1:8" x14ac:dyDescent="0.3">
      <c r="A524" t="s">
        <v>635</v>
      </c>
      <c r="B524" t="s">
        <v>6</v>
      </c>
      <c r="C524" t="s">
        <v>68</v>
      </c>
      <c r="D524" t="s">
        <v>626</v>
      </c>
      <c r="F524" s="11">
        <v>5.7863889999999998</v>
      </c>
      <c r="G524" s="11">
        <v>53.347499999999997</v>
      </c>
      <c r="H524" s="11">
        <v>1</v>
      </c>
    </row>
    <row r="525" spans="1:8" x14ac:dyDescent="0.3">
      <c r="A525" t="s">
        <v>636</v>
      </c>
      <c r="B525" t="s">
        <v>6</v>
      </c>
      <c r="C525" t="s">
        <v>71</v>
      </c>
      <c r="D525" t="s">
        <v>626</v>
      </c>
      <c r="F525" s="11">
        <v>5.8597219999999997</v>
      </c>
      <c r="G525" s="11">
        <v>53.369444000000001</v>
      </c>
      <c r="H525" s="11">
        <v>1</v>
      </c>
    </row>
    <row r="526" spans="1:8" x14ac:dyDescent="0.3">
      <c r="A526" t="s">
        <v>637</v>
      </c>
      <c r="B526" t="s">
        <v>6</v>
      </c>
      <c r="C526" t="s">
        <v>73</v>
      </c>
      <c r="D526" t="s">
        <v>626</v>
      </c>
      <c r="H526" s="11">
        <v>1</v>
      </c>
    </row>
    <row r="527" spans="1:8" x14ac:dyDescent="0.3">
      <c r="A527" t="s">
        <v>638</v>
      </c>
      <c r="B527" t="s">
        <v>6</v>
      </c>
      <c r="C527" t="s">
        <v>75</v>
      </c>
      <c r="D527" t="s">
        <v>626</v>
      </c>
      <c r="F527" s="11">
        <v>4.0572220000000003</v>
      </c>
      <c r="G527" s="11">
        <v>51.683056000000001</v>
      </c>
      <c r="H527" s="11">
        <v>1</v>
      </c>
    </row>
    <row r="528" spans="1:8" x14ac:dyDescent="0.3">
      <c r="A528" t="s">
        <v>639</v>
      </c>
      <c r="B528" t="s">
        <v>6</v>
      </c>
      <c r="C528" t="s">
        <v>79</v>
      </c>
      <c r="D528" t="s">
        <v>626</v>
      </c>
      <c r="F528" s="11">
        <v>3.9947219999999999</v>
      </c>
      <c r="G528" s="11">
        <v>51.713611</v>
      </c>
      <c r="H528" s="11">
        <v>1</v>
      </c>
    </row>
    <row r="529" spans="1:8" x14ac:dyDescent="0.3">
      <c r="A529" t="s">
        <v>640</v>
      </c>
      <c r="B529" t="s">
        <v>12</v>
      </c>
      <c r="C529" t="s">
        <v>89</v>
      </c>
      <c r="D529" t="s">
        <v>626</v>
      </c>
      <c r="F529" s="11">
        <v>3.9266670000000001</v>
      </c>
      <c r="G529" s="11">
        <v>51.732500000000002</v>
      </c>
      <c r="H529" s="11">
        <v>1</v>
      </c>
    </row>
    <row r="530" spans="1:8" x14ac:dyDescent="0.3">
      <c r="A530" t="s">
        <v>641</v>
      </c>
      <c r="B530" t="s">
        <v>12</v>
      </c>
      <c r="C530" t="s">
        <v>302</v>
      </c>
      <c r="D530" t="s">
        <v>626</v>
      </c>
      <c r="F530" s="11">
        <v>3.8461110000000001</v>
      </c>
      <c r="G530" s="11">
        <v>51.738332999999997</v>
      </c>
      <c r="H530" s="11">
        <v>1</v>
      </c>
    </row>
    <row r="531" spans="1:8" x14ac:dyDescent="0.3">
      <c r="A531" t="s">
        <v>642</v>
      </c>
      <c r="B531" t="s">
        <v>12</v>
      </c>
      <c r="C531" t="s">
        <v>304</v>
      </c>
      <c r="D531" t="s">
        <v>626</v>
      </c>
      <c r="H531" s="11">
        <v>1</v>
      </c>
    </row>
    <row r="532" spans="1:8" x14ac:dyDescent="0.3">
      <c r="A532" t="s">
        <v>643</v>
      </c>
      <c r="B532" t="s">
        <v>12</v>
      </c>
      <c r="C532" t="s">
        <v>327</v>
      </c>
      <c r="D532" t="s">
        <v>626</v>
      </c>
      <c r="F532" s="11">
        <v>4.1672219999999998</v>
      </c>
      <c r="G532" s="11">
        <v>51.685277999999997</v>
      </c>
      <c r="H532" s="11">
        <v>1</v>
      </c>
    </row>
    <row r="533" spans="1:8" x14ac:dyDescent="0.3">
      <c r="A533" t="s">
        <v>644</v>
      </c>
      <c r="B533" t="s">
        <v>12</v>
      </c>
      <c r="C533" t="s">
        <v>369</v>
      </c>
      <c r="D533" t="s">
        <v>626</v>
      </c>
      <c r="F533" s="11">
        <v>4.2427780000000004</v>
      </c>
      <c r="G533" s="11">
        <v>51.660832999999997</v>
      </c>
      <c r="H533" s="11">
        <v>1</v>
      </c>
    </row>
    <row r="534" spans="1:8" x14ac:dyDescent="0.3">
      <c r="A534" t="s">
        <v>645</v>
      </c>
      <c r="B534" t="s">
        <v>12</v>
      </c>
      <c r="C534" t="s">
        <v>389</v>
      </c>
      <c r="D534" t="s">
        <v>626</v>
      </c>
      <c r="F534" s="11">
        <v>4.3322219999999998</v>
      </c>
      <c r="G534" s="11">
        <v>51.664721999999998</v>
      </c>
      <c r="H534" s="11">
        <v>1</v>
      </c>
    </row>
    <row r="535" spans="1:8" x14ac:dyDescent="0.3">
      <c r="A535" t="s">
        <v>646</v>
      </c>
      <c r="B535" t="s">
        <v>12</v>
      </c>
      <c r="C535" t="s">
        <v>407</v>
      </c>
      <c r="D535" t="s">
        <v>626</v>
      </c>
      <c r="F535" s="11">
        <v>4.3347220000000002</v>
      </c>
      <c r="G535" s="11">
        <v>51.702221999999999</v>
      </c>
      <c r="H535" s="11">
        <v>1</v>
      </c>
    </row>
    <row r="536" spans="1:8" x14ac:dyDescent="0.3">
      <c r="A536" t="s">
        <v>647</v>
      </c>
      <c r="B536" t="s">
        <v>12</v>
      </c>
      <c r="C536" t="s">
        <v>467</v>
      </c>
      <c r="D536" t="s">
        <v>626</v>
      </c>
      <c r="F536" s="11">
        <v>4.2633330000000003</v>
      </c>
      <c r="G536" s="11">
        <v>51.729722000000002</v>
      </c>
      <c r="H536" s="11">
        <v>1</v>
      </c>
    </row>
    <row r="537" spans="1:8" x14ac:dyDescent="0.3">
      <c r="A537" t="s">
        <v>648</v>
      </c>
      <c r="B537" t="s">
        <v>12</v>
      </c>
      <c r="C537" t="s">
        <v>469</v>
      </c>
      <c r="D537" t="s">
        <v>626</v>
      </c>
      <c r="F537" s="11">
        <v>4.206944</v>
      </c>
      <c r="G537" s="11">
        <v>51.764443999999997</v>
      </c>
      <c r="H537" s="11">
        <v>1</v>
      </c>
    </row>
    <row r="538" spans="1:8" x14ac:dyDescent="0.3">
      <c r="A538" t="s">
        <v>649</v>
      </c>
      <c r="B538" t="s">
        <v>10</v>
      </c>
      <c r="C538" t="s">
        <v>446</v>
      </c>
      <c r="D538" t="s">
        <v>626</v>
      </c>
      <c r="F538" s="11">
        <v>4.1388889999999998</v>
      </c>
      <c r="G538" s="11">
        <v>51.793332999999997</v>
      </c>
      <c r="H538" s="11">
        <v>1</v>
      </c>
    </row>
    <row r="539" spans="1:8" x14ac:dyDescent="0.3">
      <c r="A539" t="s">
        <v>650</v>
      </c>
      <c r="B539" t="s">
        <v>10</v>
      </c>
      <c r="C539" t="s">
        <v>651</v>
      </c>
      <c r="D539" t="s">
        <v>626</v>
      </c>
      <c r="F539" s="11">
        <v>4.0588889999999997</v>
      </c>
      <c r="G539" s="11">
        <v>51.815556000000001</v>
      </c>
      <c r="H539" s="11">
        <v>1</v>
      </c>
    </row>
    <row r="540" spans="1:8" x14ac:dyDescent="0.3">
      <c r="A540" t="s">
        <v>652</v>
      </c>
      <c r="B540" t="s">
        <v>37</v>
      </c>
      <c r="C540" t="s">
        <v>54</v>
      </c>
      <c r="D540" t="s">
        <v>653</v>
      </c>
      <c r="H540" s="11">
        <v>1</v>
      </c>
    </row>
    <row r="541" spans="1:8" x14ac:dyDescent="0.3">
      <c r="A541" t="s">
        <v>654</v>
      </c>
      <c r="B541" t="s">
        <v>499</v>
      </c>
      <c r="C541" t="s">
        <v>56</v>
      </c>
      <c r="D541" t="s">
        <v>653</v>
      </c>
      <c r="F541" s="11">
        <v>4.1008329999999997</v>
      </c>
      <c r="G541" s="11">
        <v>51.707777999999998</v>
      </c>
      <c r="H541" s="11">
        <v>1</v>
      </c>
    </row>
    <row r="542" spans="1:8" x14ac:dyDescent="0.3">
      <c r="A542" t="s">
        <v>655</v>
      </c>
      <c r="B542" t="s">
        <v>499</v>
      </c>
      <c r="C542" t="s">
        <v>58</v>
      </c>
      <c r="D542" t="s">
        <v>653</v>
      </c>
      <c r="F542" s="11">
        <v>4.0594440000000001</v>
      </c>
      <c r="G542" s="11">
        <v>51.747222000000001</v>
      </c>
      <c r="H542" s="11">
        <v>1</v>
      </c>
    </row>
    <row r="543" spans="1:8" x14ac:dyDescent="0.3">
      <c r="A543" t="s">
        <v>656</v>
      </c>
      <c r="B543" t="s">
        <v>499</v>
      </c>
      <c r="C543" t="s">
        <v>60</v>
      </c>
      <c r="D543" t="s">
        <v>653</v>
      </c>
      <c r="F543" s="11">
        <v>4.0236109999999998</v>
      </c>
      <c r="G543" s="11">
        <v>51.791389000000002</v>
      </c>
      <c r="H543" s="11">
        <v>1</v>
      </c>
    </row>
    <row r="544" spans="1:8" x14ac:dyDescent="0.3">
      <c r="A544" t="s">
        <v>657</v>
      </c>
      <c r="B544" t="s">
        <v>502</v>
      </c>
      <c r="C544" t="s">
        <v>62</v>
      </c>
      <c r="D544" t="s">
        <v>653</v>
      </c>
      <c r="F544" s="11">
        <v>3.940833</v>
      </c>
      <c r="G544" s="11">
        <v>51.797778000000001</v>
      </c>
      <c r="H544" s="11">
        <v>1</v>
      </c>
    </row>
    <row r="545" spans="1:8" x14ac:dyDescent="0.3">
      <c r="A545" t="s">
        <v>658</v>
      </c>
      <c r="B545" t="s">
        <v>502</v>
      </c>
      <c r="C545" t="s">
        <v>64</v>
      </c>
      <c r="D545" t="s">
        <v>653</v>
      </c>
      <c r="H545" s="11">
        <v>1</v>
      </c>
    </row>
    <row r="546" spans="1:8" x14ac:dyDescent="0.3">
      <c r="A546" t="s">
        <v>659</v>
      </c>
      <c r="B546" t="s">
        <v>502</v>
      </c>
      <c r="C546" t="s">
        <v>66</v>
      </c>
      <c r="D546" t="s">
        <v>653</v>
      </c>
      <c r="F546" s="11">
        <v>4.3458329999999998</v>
      </c>
      <c r="G546" s="11">
        <v>51.698611</v>
      </c>
      <c r="H546" s="11">
        <v>1</v>
      </c>
    </row>
    <row r="547" spans="1:8" x14ac:dyDescent="0.3">
      <c r="A547" t="s">
        <v>660</v>
      </c>
      <c r="B547" t="s">
        <v>6</v>
      </c>
      <c r="C547" t="s">
        <v>68</v>
      </c>
      <c r="D547" t="s">
        <v>653</v>
      </c>
      <c r="H547" s="11">
        <v>1</v>
      </c>
    </row>
    <row r="548" spans="1:8" x14ac:dyDescent="0.3">
      <c r="A548" t="s">
        <v>661</v>
      </c>
      <c r="B548" t="s">
        <v>6</v>
      </c>
      <c r="C548" t="s">
        <v>71</v>
      </c>
      <c r="D548" t="s">
        <v>653</v>
      </c>
      <c r="F548" s="11">
        <v>5.3505560000000001</v>
      </c>
      <c r="G548" s="11">
        <v>52.675832999999997</v>
      </c>
      <c r="H548" s="11">
        <v>1</v>
      </c>
    </row>
    <row r="549" spans="1:8" x14ac:dyDescent="0.3">
      <c r="A549" t="s">
        <v>662</v>
      </c>
      <c r="B549" t="s">
        <v>37</v>
      </c>
      <c r="C549" t="s">
        <v>457</v>
      </c>
      <c r="D549" t="s">
        <v>653</v>
      </c>
      <c r="F549" s="11">
        <v>5.4113889999999998</v>
      </c>
      <c r="G549" s="11">
        <v>52.643056000000001</v>
      </c>
      <c r="H549" s="11">
        <v>1</v>
      </c>
    </row>
    <row r="550" spans="1:8" x14ac:dyDescent="0.3">
      <c r="A550" t="s">
        <v>663</v>
      </c>
      <c r="B550" t="s">
        <v>6</v>
      </c>
      <c r="C550" t="s">
        <v>73</v>
      </c>
      <c r="D550" t="s">
        <v>653</v>
      </c>
      <c r="F550" s="11">
        <v>5.4594440000000004</v>
      </c>
      <c r="G550" s="11">
        <v>52.604166999999997</v>
      </c>
      <c r="H550" s="11">
        <v>1</v>
      </c>
    </row>
    <row r="551" spans="1:8" x14ac:dyDescent="0.3">
      <c r="A551" t="s">
        <v>664</v>
      </c>
      <c r="B551" t="s">
        <v>6</v>
      </c>
      <c r="C551" t="s">
        <v>75</v>
      </c>
      <c r="D551" t="s">
        <v>653</v>
      </c>
      <c r="F551" s="11">
        <v>5.4730559999999997</v>
      </c>
      <c r="G551" s="11">
        <v>52.564722000000003</v>
      </c>
      <c r="H551" s="11">
        <v>1</v>
      </c>
    </row>
    <row r="552" spans="1:8" x14ac:dyDescent="0.3">
      <c r="A552" t="s">
        <v>665</v>
      </c>
      <c r="B552" t="s">
        <v>6</v>
      </c>
      <c r="C552" t="s">
        <v>79</v>
      </c>
      <c r="D552" t="s">
        <v>653</v>
      </c>
      <c r="F552" s="11">
        <v>5.4522219999999999</v>
      </c>
      <c r="G552" s="11">
        <v>52.524444000000003</v>
      </c>
      <c r="H552" s="11">
        <v>1</v>
      </c>
    </row>
    <row r="553" spans="1:8" x14ac:dyDescent="0.3">
      <c r="A553" t="s">
        <v>666</v>
      </c>
      <c r="B553" t="s">
        <v>11</v>
      </c>
      <c r="C553" t="s">
        <v>85</v>
      </c>
      <c r="D553" t="s">
        <v>653</v>
      </c>
      <c r="H553" s="11">
        <v>1</v>
      </c>
    </row>
    <row r="554" spans="1:8" x14ac:dyDescent="0.3">
      <c r="A554" t="s">
        <v>667</v>
      </c>
      <c r="B554" t="s">
        <v>11</v>
      </c>
      <c r="C554" t="s">
        <v>87</v>
      </c>
      <c r="D554" t="s">
        <v>653</v>
      </c>
      <c r="F554" s="11">
        <v>5.1030559999999996</v>
      </c>
      <c r="G554" s="11">
        <v>52.441389000000001</v>
      </c>
      <c r="H554" s="11">
        <v>1</v>
      </c>
    </row>
    <row r="555" spans="1:8" x14ac:dyDescent="0.3">
      <c r="A555" t="s">
        <v>668</v>
      </c>
      <c r="B555" t="s">
        <v>11</v>
      </c>
      <c r="C555" t="s">
        <v>89</v>
      </c>
      <c r="D555" t="s">
        <v>653</v>
      </c>
      <c r="H555" s="11">
        <v>1</v>
      </c>
    </row>
    <row r="556" spans="1:8" x14ac:dyDescent="0.3">
      <c r="A556" t="s">
        <v>669</v>
      </c>
      <c r="B556" t="s">
        <v>11</v>
      </c>
      <c r="C556" t="s">
        <v>302</v>
      </c>
      <c r="D556" t="s">
        <v>653</v>
      </c>
      <c r="F556" s="11">
        <v>8.7108329999999992</v>
      </c>
      <c r="G556" s="11">
        <v>54.728611000000001</v>
      </c>
      <c r="H556" s="11">
        <v>1</v>
      </c>
    </row>
    <row r="557" spans="1:8" x14ac:dyDescent="0.3">
      <c r="A557" t="s">
        <v>670</v>
      </c>
      <c r="B557" t="s">
        <v>11</v>
      </c>
      <c r="C557" t="s">
        <v>304</v>
      </c>
      <c r="D557" t="s">
        <v>653</v>
      </c>
      <c r="F557" s="11">
        <v>8.6638889999999993</v>
      </c>
      <c r="G557" s="11">
        <v>54.792499999999997</v>
      </c>
      <c r="H557" s="11">
        <v>1</v>
      </c>
    </row>
    <row r="558" spans="1:8" x14ac:dyDescent="0.3">
      <c r="A558" t="s">
        <v>671</v>
      </c>
      <c r="B558" t="s">
        <v>11</v>
      </c>
      <c r="C558" t="s">
        <v>327</v>
      </c>
      <c r="D558" t="s">
        <v>653</v>
      </c>
      <c r="F558" s="11">
        <v>8.6502780000000001</v>
      </c>
      <c r="G558" s="11">
        <v>54.875278000000002</v>
      </c>
      <c r="H558" s="11">
        <v>1</v>
      </c>
    </row>
    <row r="559" spans="1:8" x14ac:dyDescent="0.3">
      <c r="A559" t="s">
        <v>672</v>
      </c>
      <c r="B559" t="s">
        <v>11</v>
      </c>
      <c r="C559" t="s">
        <v>369</v>
      </c>
      <c r="D559" t="s">
        <v>653</v>
      </c>
      <c r="F559" s="11">
        <v>8.6727779999999992</v>
      </c>
      <c r="G559" s="11">
        <v>54.959167000000001</v>
      </c>
      <c r="H559" s="11">
        <v>1</v>
      </c>
    </row>
    <row r="560" spans="1:8" x14ac:dyDescent="0.3">
      <c r="A560" t="s">
        <v>673</v>
      </c>
      <c r="B560" t="s">
        <v>11</v>
      </c>
      <c r="C560" t="s">
        <v>389</v>
      </c>
      <c r="D560" t="s">
        <v>653</v>
      </c>
      <c r="F560" s="11">
        <v>8.6408330000000007</v>
      </c>
      <c r="G560" s="11">
        <v>55.038333000000002</v>
      </c>
      <c r="H560" s="11">
        <v>1</v>
      </c>
    </row>
    <row r="561" spans="1:8" x14ac:dyDescent="0.3">
      <c r="A561" t="s">
        <v>674</v>
      </c>
      <c r="B561" t="s">
        <v>11</v>
      </c>
      <c r="C561" t="s">
        <v>407</v>
      </c>
      <c r="D561" t="s">
        <v>653</v>
      </c>
      <c r="F561" s="11">
        <v>8.6797219999999999</v>
      </c>
      <c r="G561" s="11">
        <v>55.119722000000003</v>
      </c>
      <c r="H561" s="11">
        <v>1</v>
      </c>
    </row>
    <row r="562" spans="1:8" x14ac:dyDescent="0.3">
      <c r="A562" t="s">
        <v>675</v>
      </c>
      <c r="B562" t="s">
        <v>11</v>
      </c>
      <c r="C562" t="s">
        <v>467</v>
      </c>
      <c r="D562" t="s">
        <v>653</v>
      </c>
      <c r="F562" s="11">
        <v>8.5530559999999998</v>
      </c>
      <c r="G562" s="11">
        <v>55.138610999999997</v>
      </c>
      <c r="H562" s="11">
        <v>1</v>
      </c>
    </row>
    <row r="563" spans="1:8" x14ac:dyDescent="0.3">
      <c r="A563" t="s">
        <v>676</v>
      </c>
      <c r="B563" t="s">
        <v>11</v>
      </c>
      <c r="C563" t="s">
        <v>469</v>
      </c>
      <c r="D563" t="s">
        <v>653</v>
      </c>
      <c r="F563" s="11">
        <v>8.5227780000000006</v>
      </c>
      <c r="G563" s="11">
        <v>55.072221999999996</v>
      </c>
      <c r="H563" s="11">
        <v>1</v>
      </c>
    </row>
    <row r="564" spans="1:8" x14ac:dyDescent="0.3">
      <c r="A564" t="s">
        <v>677</v>
      </c>
      <c r="B564" t="s">
        <v>10</v>
      </c>
      <c r="C564" t="s">
        <v>443</v>
      </c>
      <c r="D564" t="s">
        <v>653</v>
      </c>
      <c r="F564" s="11">
        <v>8.4619440000000008</v>
      </c>
      <c r="G564" s="11">
        <v>55.113610999999999</v>
      </c>
      <c r="H564" s="11">
        <v>1</v>
      </c>
    </row>
    <row r="565" spans="1:8" x14ac:dyDescent="0.3">
      <c r="A565" t="s">
        <v>678</v>
      </c>
      <c r="B565" t="s">
        <v>10</v>
      </c>
      <c r="C565" t="s">
        <v>446</v>
      </c>
      <c r="D565" t="s">
        <v>653</v>
      </c>
      <c r="F565" s="11">
        <v>8.4886110000000006</v>
      </c>
      <c r="G565" s="11">
        <v>55.195278000000002</v>
      </c>
      <c r="H565" s="11">
        <v>1</v>
      </c>
    </row>
    <row r="566" spans="1:8" x14ac:dyDescent="0.3">
      <c r="A566" t="s">
        <v>679</v>
      </c>
      <c r="B566" t="s">
        <v>10</v>
      </c>
      <c r="C566" t="s">
        <v>651</v>
      </c>
      <c r="D566" t="s">
        <v>653</v>
      </c>
      <c r="F566" s="11">
        <v>8.5813889999999997</v>
      </c>
      <c r="G566" s="11">
        <v>55.174166999999997</v>
      </c>
      <c r="H566" s="11">
        <v>1</v>
      </c>
    </row>
    <row r="567" spans="1:8" x14ac:dyDescent="0.3">
      <c r="A567" t="s">
        <v>680</v>
      </c>
      <c r="B567" t="s">
        <v>37</v>
      </c>
      <c r="C567" t="s">
        <v>54</v>
      </c>
      <c r="D567" t="s">
        <v>681</v>
      </c>
      <c r="F567" s="11">
        <v>8.6325000000000003</v>
      </c>
      <c r="G567" s="11">
        <v>55.131943999999997</v>
      </c>
      <c r="H567" s="11">
        <v>1</v>
      </c>
    </row>
    <row r="568" spans="1:8" x14ac:dyDescent="0.3">
      <c r="A568" t="s">
        <v>682</v>
      </c>
      <c r="B568" t="s">
        <v>499</v>
      </c>
      <c r="C568" t="s">
        <v>56</v>
      </c>
      <c r="D568" t="s">
        <v>681</v>
      </c>
      <c r="F568" s="11">
        <v>8.6755560000000003</v>
      </c>
      <c r="G568" s="11">
        <v>55.185277999999997</v>
      </c>
      <c r="H568" s="11">
        <v>1</v>
      </c>
    </row>
    <row r="569" spans="1:8" x14ac:dyDescent="0.3">
      <c r="A569" t="s">
        <v>683</v>
      </c>
      <c r="B569" t="s">
        <v>499</v>
      </c>
      <c r="C569" t="s">
        <v>58</v>
      </c>
      <c r="D569" t="s">
        <v>681</v>
      </c>
      <c r="F569" s="11">
        <v>8.6536109999999997</v>
      </c>
      <c r="G569" s="11">
        <v>55.269167000000003</v>
      </c>
      <c r="H569" s="11">
        <v>1</v>
      </c>
    </row>
    <row r="570" spans="1:8" x14ac:dyDescent="0.3">
      <c r="A570" t="s">
        <v>684</v>
      </c>
      <c r="B570" t="s">
        <v>499</v>
      </c>
      <c r="C570" t="s">
        <v>60</v>
      </c>
      <c r="D570" t="s">
        <v>681</v>
      </c>
      <c r="F570" s="11">
        <v>8.6508330000000004</v>
      </c>
      <c r="G570" s="11">
        <v>55.352221999999998</v>
      </c>
      <c r="H570" s="11">
        <v>1</v>
      </c>
    </row>
    <row r="571" spans="1:8" x14ac:dyDescent="0.3">
      <c r="A571" t="s">
        <v>685</v>
      </c>
      <c r="B571" t="s">
        <v>502</v>
      </c>
      <c r="C571" t="s">
        <v>62</v>
      </c>
      <c r="D571" t="s">
        <v>681</v>
      </c>
      <c r="F571" s="11">
        <v>8.6186109999999996</v>
      </c>
      <c r="G571" s="11">
        <v>55.431389000000003</v>
      </c>
      <c r="H571" s="11">
        <v>1</v>
      </c>
    </row>
    <row r="572" spans="1:8" x14ac:dyDescent="0.3">
      <c r="A572" t="s">
        <v>686</v>
      </c>
      <c r="B572" t="s">
        <v>502</v>
      </c>
      <c r="C572" t="s">
        <v>64</v>
      </c>
      <c r="D572" t="s">
        <v>681</v>
      </c>
      <c r="F572" s="11">
        <v>8.4686109999999992</v>
      </c>
      <c r="G572" s="11">
        <v>55.454444000000002</v>
      </c>
      <c r="H572" s="11">
        <v>1</v>
      </c>
    </row>
    <row r="573" spans="1:8" x14ac:dyDescent="0.3">
      <c r="A573" t="s">
        <v>687</v>
      </c>
      <c r="B573" t="s">
        <v>502</v>
      </c>
      <c r="C573" t="s">
        <v>66</v>
      </c>
      <c r="D573" t="s">
        <v>681</v>
      </c>
      <c r="F573" s="11">
        <v>8.3808330000000009</v>
      </c>
      <c r="G573" s="11">
        <v>55.5</v>
      </c>
      <c r="H573" s="11">
        <v>1</v>
      </c>
    </row>
    <row r="574" spans="1:8" x14ac:dyDescent="0.3">
      <c r="A574" t="s">
        <v>688</v>
      </c>
      <c r="B574" t="s">
        <v>6</v>
      </c>
      <c r="C574" t="s">
        <v>68</v>
      </c>
      <c r="D574" t="s">
        <v>681</v>
      </c>
      <c r="F574" s="11">
        <v>8.3061109999999996</v>
      </c>
      <c r="G574" s="11">
        <v>55.558889000000001</v>
      </c>
      <c r="H574" s="11">
        <v>1</v>
      </c>
    </row>
    <row r="575" spans="1:8" x14ac:dyDescent="0.3">
      <c r="A575" t="s">
        <v>689</v>
      </c>
      <c r="B575" t="s">
        <v>6</v>
      </c>
      <c r="C575" t="s">
        <v>71</v>
      </c>
      <c r="D575" t="s">
        <v>681</v>
      </c>
      <c r="F575" s="11">
        <v>8.2449999999999992</v>
      </c>
      <c r="G575" s="11">
        <v>55.565277999999999</v>
      </c>
      <c r="H575" s="11">
        <v>1</v>
      </c>
    </row>
    <row r="576" spans="1:8" x14ac:dyDescent="0.3">
      <c r="A576" t="s">
        <v>690</v>
      </c>
      <c r="B576" t="s">
        <v>37</v>
      </c>
      <c r="C576" t="s">
        <v>457</v>
      </c>
      <c r="D576" t="s">
        <v>681</v>
      </c>
      <c r="F576" s="11">
        <v>8.2652780000000003</v>
      </c>
      <c r="G576" s="11">
        <v>55.512777999999997</v>
      </c>
      <c r="H576" s="11">
        <v>1</v>
      </c>
    </row>
    <row r="577" spans="1:8" x14ac:dyDescent="0.3">
      <c r="A577" t="s">
        <v>691</v>
      </c>
      <c r="B577" t="s">
        <v>6</v>
      </c>
      <c r="C577" t="s">
        <v>73</v>
      </c>
      <c r="D577" t="s">
        <v>681</v>
      </c>
      <c r="F577" s="11">
        <v>8.3044440000000002</v>
      </c>
      <c r="G577" s="11">
        <v>55.464444</v>
      </c>
      <c r="H577" s="11">
        <v>1</v>
      </c>
    </row>
    <row r="578" spans="1:8" x14ac:dyDescent="0.3">
      <c r="A578" t="s">
        <v>692</v>
      </c>
      <c r="B578" t="s">
        <v>6</v>
      </c>
      <c r="C578" t="s">
        <v>75</v>
      </c>
      <c r="D578" t="s">
        <v>681</v>
      </c>
      <c r="F578" s="11">
        <v>8.2161109999999997</v>
      </c>
      <c r="G578" s="11">
        <v>55.515833000000001</v>
      </c>
      <c r="H578" s="11">
        <v>1</v>
      </c>
    </row>
    <row r="579" spans="1:8" x14ac:dyDescent="0.3">
      <c r="A579" t="s">
        <v>693</v>
      </c>
      <c r="B579" t="s">
        <v>6</v>
      </c>
      <c r="C579" t="s">
        <v>77</v>
      </c>
      <c r="D579" t="s">
        <v>681</v>
      </c>
      <c r="F579" s="11">
        <v>8.0877780000000001</v>
      </c>
      <c r="G579" s="11">
        <v>55.549166999999997</v>
      </c>
      <c r="H579" s="11">
        <v>1</v>
      </c>
    </row>
    <row r="580" spans="1:8" x14ac:dyDescent="0.3">
      <c r="A580" t="s">
        <v>694</v>
      </c>
      <c r="B580" t="s">
        <v>6</v>
      </c>
      <c r="C580" t="s">
        <v>81</v>
      </c>
      <c r="D580" t="s">
        <v>681</v>
      </c>
      <c r="F580" s="11">
        <v>8.1397220000000008</v>
      </c>
      <c r="G580" s="11">
        <v>55.625</v>
      </c>
      <c r="H580" s="11">
        <v>1</v>
      </c>
    </row>
    <row r="581" spans="1:8" x14ac:dyDescent="0.3">
      <c r="A581" t="s">
        <v>695</v>
      </c>
      <c r="B581" t="s">
        <v>11</v>
      </c>
      <c r="C581" t="s">
        <v>85</v>
      </c>
      <c r="D581" t="s">
        <v>681</v>
      </c>
      <c r="F581" s="11">
        <v>8.1786110000000001</v>
      </c>
      <c r="G581" s="11">
        <v>55.710833000000001</v>
      </c>
      <c r="H581" s="11">
        <v>1</v>
      </c>
    </row>
    <row r="582" spans="1:8" x14ac:dyDescent="0.3">
      <c r="A582" t="s">
        <v>696</v>
      </c>
      <c r="B582" t="s">
        <v>11</v>
      </c>
      <c r="C582" t="s">
        <v>87</v>
      </c>
      <c r="D582" t="s">
        <v>681</v>
      </c>
      <c r="F582" s="11">
        <v>8.1747219999999992</v>
      </c>
      <c r="G582" s="11">
        <v>55.801667000000002</v>
      </c>
      <c r="H582" s="11">
        <v>1</v>
      </c>
    </row>
    <row r="583" spans="1:8" x14ac:dyDescent="0.3">
      <c r="A583" t="s">
        <v>697</v>
      </c>
      <c r="B583" t="s">
        <v>11</v>
      </c>
      <c r="C583" t="s">
        <v>89</v>
      </c>
      <c r="D583" t="s">
        <v>681</v>
      </c>
      <c r="F583" s="11">
        <v>8.1591670000000001</v>
      </c>
      <c r="G583" s="11">
        <v>55.889443999999997</v>
      </c>
      <c r="H583" s="11">
        <v>1</v>
      </c>
    </row>
    <row r="584" spans="1:8" x14ac:dyDescent="0.3">
      <c r="A584" t="s">
        <v>698</v>
      </c>
      <c r="B584" t="s">
        <v>11</v>
      </c>
      <c r="C584" t="s">
        <v>302</v>
      </c>
      <c r="D584" t="s">
        <v>681</v>
      </c>
      <c r="F584" s="11">
        <v>8.1586110000000005</v>
      </c>
      <c r="G584" s="11">
        <v>55.953888999999997</v>
      </c>
      <c r="H584" s="11">
        <v>1</v>
      </c>
    </row>
    <row r="585" spans="1:8" x14ac:dyDescent="0.3">
      <c r="A585" t="s">
        <v>699</v>
      </c>
      <c r="B585" t="s">
        <v>11</v>
      </c>
      <c r="C585" t="s">
        <v>304</v>
      </c>
      <c r="D585" t="s">
        <v>681</v>
      </c>
      <c r="F585" s="11">
        <v>8.1886109999999999</v>
      </c>
      <c r="G585" s="11">
        <v>55.873055999999998</v>
      </c>
      <c r="H585" s="11">
        <v>1</v>
      </c>
    </row>
    <row r="586" spans="1:8" x14ac:dyDescent="0.3">
      <c r="A586" t="s">
        <v>700</v>
      </c>
      <c r="B586" t="s">
        <v>11</v>
      </c>
      <c r="C586" t="s">
        <v>327</v>
      </c>
      <c r="D586" t="s">
        <v>681</v>
      </c>
      <c r="F586" s="11">
        <v>8.2091670000000008</v>
      </c>
      <c r="G586" s="11">
        <v>55.813056000000003</v>
      </c>
      <c r="H586" s="11">
        <v>1</v>
      </c>
    </row>
    <row r="587" spans="1:8" x14ac:dyDescent="0.3">
      <c r="A587" t="s">
        <v>701</v>
      </c>
      <c r="B587" t="s">
        <v>11</v>
      </c>
      <c r="C587" t="s">
        <v>369</v>
      </c>
      <c r="D587" t="s">
        <v>681</v>
      </c>
      <c r="F587" s="11">
        <v>8.3177780000000006</v>
      </c>
      <c r="G587" s="11">
        <v>55.853332999999999</v>
      </c>
      <c r="H587" s="11">
        <v>1</v>
      </c>
    </row>
    <row r="588" spans="1:8" x14ac:dyDescent="0.3">
      <c r="A588" t="s">
        <v>702</v>
      </c>
      <c r="B588" t="s">
        <v>11</v>
      </c>
      <c r="C588" t="s">
        <v>389</v>
      </c>
      <c r="D588" t="s">
        <v>681</v>
      </c>
      <c r="F588" s="11">
        <v>8.3919440000000005</v>
      </c>
      <c r="G588" s="11">
        <v>55.907499999999999</v>
      </c>
      <c r="H588" s="11">
        <v>1</v>
      </c>
    </row>
    <row r="589" spans="1:8" x14ac:dyDescent="0.3">
      <c r="A589" t="s">
        <v>703</v>
      </c>
      <c r="B589" t="s">
        <v>11</v>
      </c>
      <c r="C589" t="s">
        <v>407</v>
      </c>
      <c r="D589" t="s">
        <v>681</v>
      </c>
      <c r="F589" s="11">
        <v>8.331944</v>
      </c>
      <c r="G589" s="11">
        <v>55.974167000000001</v>
      </c>
      <c r="H589" s="11">
        <v>1</v>
      </c>
    </row>
    <row r="590" spans="1:8" x14ac:dyDescent="0.3">
      <c r="A590" t="s">
        <v>704</v>
      </c>
      <c r="B590" t="s">
        <v>11</v>
      </c>
      <c r="C590" t="s">
        <v>467</v>
      </c>
      <c r="D590" t="s">
        <v>681</v>
      </c>
      <c r="F590" s="11">
        <v>8.2838890000000003</v>
      </c>
      <c r="G590" s="11">
        <v>56.046388999999998</v>
      </c>
      <c r="H590" s="11">
        <v>1</v>
      </c>
    </row>
    <row r="591" spans="1:8" x14ac:dyDescent="0.3">
      <c r="A591" t="s">
        <v>705</v>
      </c>
      <c r="B591" t="s">
        <v>11</v>
      </c>
      <c r="C591" t="s">
        <v>469</v>
      </c>
      <c r="D591" t="s">
        <v>681</v>
      </c>
      <c r="F591" s="11">
        <v>8.1733329999999995</v>
      </c>
      <c r="G591" s="11">
        <v>56.089167000000003</v>
      </c>
      <c r="H591" s="11">
        <v>1</v>
      </c>
    </row>
    <row r="592" spans="1:8" x14ac:dyDescent="0.3">
      <c r="A592" t="s">
        <v>706</v>
      </c>
      <c r="B592" t="s">
        <v>10</v>
      </c>
      <c r="C592" t="s">
        <v>446</v>
      </c>
      <c r="D592" t="s">
        <v>681</v>
      </c>
      <c r="F592" s="11">
        <v>8.1449999999999996</v>
      </c>
      <c r="G592" s="11">
        <v>56.055278000000001</v>
      </c>
      <c r="H592" s="11">
        <v>1</v>
      </c>
    </row>
    <row r="593" spans="1:8" x14ac:dyDescent="0.3">
      <c r="A593" t="s">
        <v>707</v>
      </c>
      <c r="B593" t="s">
        <v>10</v>
      </c>
      <c r="C593" t="s">
        <v>651</v>
      </c>
      <c r="D593" t="s">
        <v>681</v>
      </c>
      <c r="F593" s="11">
        <v>8.1272219999999997</v>
      </c>
      <c r="G593" s="11">
        <v>55.981943999999999</v>
      </c>
      <c r="H593" s="11">
        <v>1</v>
      </c>
    </row>
    <row r="594" spans="1:8" x14ac:dyDescent="0.3">
      <c r="A594" t="s">
        <v>708</v>
      </c>
      <c r="B594" t="s">
        <v>37</v>
      </c>
      <c r="C594" t="s">
        <v>51</v>
      </c>
      <c r="D594" t="s">
        <v>709</v>
      </c>
      <c r="F594" s="11">
        <v>8.1022219999999994</v>
      </c>
      <c r="G594" s="11">
        <v>56.065556000000001</v>
      </c>
      <c r="H594" s="11">
        <v>1</v>
      </c>
    </row>
    <row r="595" spans="1:8" x14ac:dyDescent="0.3">
      <c r="A595" t="s">
        <v>710</v>
      </c>
      <c r="B595" t="s">
        <v>37</v>
      </c>
      <c r="C595" t="s">
        <v>54</v>
      </c>
      <c r="D595" t="s">
        <v>709</v>
      </c>
      <c r="F595" s="11">
        <v>8.1252779999999998</v>
      </c>
      <c r="G595" s="11">
        <v>56.157778</v>
      </c>
      <c r="H595" s="11">
        <v>1</v>
      </c>
    </row>
    <row r="596" spans="1:8" x14ac:dyDescent="0.3">
      <c r="A596" t="s">
        <v>711</v>
      </c>
      <c r="B596" t="s">
        <v>499</v>
      </c>
      <c r="C596" t="s">
        <v>56</v>
      </c>
      <c r="D596" t="s">
        <v>709</v>
      </c>
      <c r="F596" s="11">
        <v>8.1361109999999996</v>
      </c>
      <c r="G596" s="11">
        <v>56.2425</v>
      </c>
      <c r="H596" s="11">
        <v>1</v>
      </c>
    </row>
    <row r="597" spans="1:8" x14ac:dyDescent="0.3">
      <c r="A597" t="s">
        <v>712</v>
      </c>
      <c r="B597" t="s">
        <v>499</v>
      </c>
      <c r="C597" t="s">
        <v>58</v>
      </c>
      <c r="D597" t="s">
        <v>709</v>
      </c>
      <c r="F597" s="11">
        <v>8.1241669999999999</v>
      </c>
      <c r="G597" s="11">
        <v>56.330832999999998</v>
      </c>
      <c r="H597" s="11">
        <v>1</v>
      </c>
    </row>
    <row r="598" spans="1:8" x14ac:dyDescent="0.3">
      <c r="A598" t="s">
        <v>713</v>
      </c>
      <c r="B598" t="s">
        <v>499</v>
      </c>
      <c r="C598" t="s">
        <v>60</v>
      </c>
      <c r="D598" t="s">
        <v>709</v>
      </c>
      <c r="F598" s="11">
        <v>8.1755560000000003</v>
      </c>
      <c r="G598" s="11">
        <v>56.318333000000003</v>
      </c>
      <c r="H598" s="11">
        <v>1</v>
      </c>
    </row>
    <row r="599" spans="1:8" x14ac:dyDescent="0.3">
      <c r="A599" t="s">
        <v>714</v>
      </c>
      <c r="B599" t="s">
        <v>502</v>
      </c>
      <c r="C599" t="s">
        <v>62</v>
      </c>
      <c r="D599" t="s">
        <v>709</v>
      </c>
      <c r="F599" s="11">
        <v>8.2641670000000005</v>
      </c>
      <c r="G599" s="11">
        <v>56.28</v>
      </c>
      <c r="H599" s="11">
        <v>1</v>
      </c>
    </row>
    <row r="600" spans="1:8" x14ac:dyDescent="0.3">
      <c r="A600" t="s">
        <v>715</v>
      </c>
      <c r="B600" t="s">
        <v>502</v>
      </c>
      <c r="C600" t="s">
        <v>64</v>
      </c>
      <c r="D600" t="s">
        <v>709</v>
      </c>
      <c r="F600" s="11">
        <v>8.2686109999999999</v>
      </c>
      <c r="G600" s="11">
        <v>56.327778000000002</v>
      </c>
      <c r="H600" s="11">
        <v>1</v>
      </c>
    </row>
    <row r="601" spans="1:8" x14ac:dyDescent="0.3">
      <c r="A601" t="s">
        <v>716</v>
      </c>
      <c r="B601" t="s">
        <v>502</v>
      </c>
      <c r="C601" t="s">
        <v>66</v>
      </c>
      <c r="D601" t="s">
        <v>709</v>
      </c>
      <c r="F601" s="11">
        <v>8.1786110000000001</v>
      </c>
      <c r="G601" s="11">
        <v>56.381388999999999</v>
      </c>
      <c r="H601" s="11">
        <v>1</v>
      </c>
    </row>
    <row r="602" spans="1:8" x14ac:dyDescent="0.3">
      <c r="A602" t="s">
        <v>717</v>
      </c>
      <c r="B602" t="s">
        <v>6</v>
      </c>
      <c r="C602" t="s">
        <v>68</v>
      </c>
      <c r="D602" t="s">
        <v>709</v>
      </c>
      <c r="F602" s="11">
        <v>8.2427779999999995</v>
      </c>
      <c r="G602" s="11">
        <v>56.396110999999998</v>
      </c>
      <c r="H602" s="11">
        <v>1</v>
      </c>
    </row>
    <row r="603" spans="1:8" x14ac:dyDescent="0.3">
      <c r="A603" t="s">
        <v>718</v>
      </c>
      <c r="B603" t="s">
        <v>6</v>
      </c>
      <c r="C603" t="s">
        <v>71</v>
      </c>
      <c r="D603" t="s">
        <v>709</v>
      </c>
      <c r="F603" s="11">
        <v>8.1413890000000002</v>
      </c>
      <c r="G603" s="11">
        <v>56.414444000000003</v>
      </c>
      <c r="H603" s="11">
        <v>1</v>
      </c>
    </row>
    <row r="604" spans="1:8" x14ac:dyDescent="0.3">
      <c r="A604" t="s">
        <v>719</v>
      </c>
      <c r="B604" t="s">
        <v>6</v>
      </c>
      <c r="C604" t="s">
        <v>73</v>
      </c>
      <c r="D604" t="s">
        <v>709</v>
      </c>
      <c r="F604" s="11">
        <v>8.1300000000000008</v>
      </c>
      <c r="G604" s="11">
        <v>56.404167000000001</v>
      </c>
      <c r="H604" s="11">
        <v>1</v>
      </c>
    </row>
    <row r="605" spans="1:8" x14ac:dyDescent="0.3">
      <c r="A605" t="s">
        <v>720</v>
      </c>
      <c r="B605" t="s">
        <v>6</v>
      </c>
      <c r="C605" t="s">
        <v>75</v>
      </c>
      <c r="D605" t="s">
        <v>709</v>
      </c>
      <c r="F605" s="11">
        <v>8.1258330000000001</v>
      </c>
      <c r="G605" s="11">
        <v>56.496110999999999</v>
      </c>
      <c r="H605" s="11">
        <v>1</v>
      </c>
    </row>
    <row r="606" spans="1:8" x14ac:dyDescent="0.3">
      <c r="A606" t="s">
        <v>721</v>
      </c>
      <c r="B606" t="s">
        <v>6</v>
      </c>
      <c r="C606" t="s">
        <v>77</v>
      </c>
      <c r="D606" t="s">
        <v>709</v>
      </c>
      <c r="F606" s="11">
        <v>8.1374999999999993</v>
      </c>
      <c r="G606" s="11">
        <v>56.584443999999998</v>
      </c>
      <c r="H606" s="11">
        <v>1</v>
      </c>
    </row>
    <row r="607" spans="1:8" x14ac:dyDescent="0.3">
      <c r="A607" t="s">
        <v>722</v>
      </c>
      <c r="B607" t="s">
        <v>6</v>
      </c>
      <c r="C607" t="s">
        <v>79</v>
      </c>
      <c r="D607" t="s">
        <v>709</v>
      </c>
      <c r="F607" s="11">
        <v>8.1855560000000001</v>
      </c>
      <c r="G607" s="11">
        <v>56.666111000000001</v>
      </c>
      <c r="H607" s="11">
        <v>1</v>
      </c>
    </row>
    <row r="608" spans="1:8" x14ac:dyDescent="0.3">
      <c r="A608" t="s">
        <v>723</v>
      </c>
      <c r="B608" t="s">
        <v>6</v>
      </c>
      <c r="C608" t="s">
        <v>81</v>
      </c>
      <c r="D608" t="s">
        <v>709</v>
      </c>
      <c r="F608" s="11">
        <v>8.2155559999999994</v>
      </c>
      <c r="G608" s="11">
        <v>56.657221999999997</v>
      </c>
      <c r="H608" s="11">
        <v>1</v>
      </c>
    </row>
    <row r="609" spans="1:8" x14ac:dyDescent="0.3">
      <c r="A609" t="s">
        <v>724</v>
      </c>
      <c r="B609" t="s">
        <v>6</v>
      </c>
      <c r="C609" t="s">
        <v>83</v>
      </c>
      <c r="D609" t="s">
        <v>709</v>
      </c>
      <c r="F609" s="11">
        <v>8.2463890000000006</v>
      </c>
      <c r="G609" s="11">
        <v>56.587778</v>
      </c>
      <c r="H609" s="11">
        <v>1</v>
      </c>
    </row>
    <row r="610" spans="1:8" x14ac:dyDescent="0.3">
      <c r="A610" t="s">
        <v>725</v>
      </c>
      <c r="B610" t="s">
        <v>11</v>
      </c>
      <c r="C610" t="s">
        <v>85</v>
      </c>
      <c r="D610" t="s">
        <v>709</v>
      </c>
      <c r="F610" s="11">
        <v>8.3172219999999992</v>
      </c>
      <c r="G610" s="11">
        <v>56.561110999999997</v>
      </c>
      <c r="H610" s="11">
        <v>1</v>
      </c>
    </row>
    <row r="611" spans="1:8" x14ac:dyDescent="0.3">
      <c r="A611" t="s">
        <v>726</v>
      </c>
      <c r="B611" t="s">
        <v>11</v>
      </c>
      <c r="C611" t="s">
        <v>87</v>
      </c>
      <c r="D611" t="s">
        <v>709</v>
      </c>
      <c r="F611" s="11">
        <v>8.4625000000000004</v>
      </c>
      <c r="G611" s="11">
        <v>56.556389000000003</v>
      </c>
      <c r="H611" s="11">
        <v>1</v>
      </c>
    </row>
    <row r="612" spans="1:8" x14ac:dyDescent="0.3">
      <c r="A612" t="s">
        <v>727</v>
      </c>
      <c r="B612" t="s">
        <v>11</v>
      </c>
      <c r="C612" t="s">
        <v>89</v>
      </c>
      <c r="D612" t="s">
        <v>709</v>
      </c>
      <c r="F612" s="11">
        <v>8.5655560000000008</v>
      </c>
      <c r="G612" s="11">
        <v>56.5625</v>
      </c>
      <c r="H612" s="11">
        <v>1</v>
      </c>
    </row>
    <row r="613" spans="1:8" x14ac:dyDescent="0.3">
      <c r="A613" t="s">
        <v>728</v>
      </c>
      <c r="B613" t="s">
        <v>11</v>
      </c>
      <c r="C613" t="s">
        <v>302</v>
      </c>
      <c r="D613" t="s">
        <v>709</v>
      </c>
      <c r="F613" s="11">
        <v>8.6024999999999991</v>
      </c>
      <c r="G613" s="11">
        <v>56.488056</v>
      </c>
      <c r="H613" s="11">
        <v>1</v>
      </c>
    </row>
    <row r="614" spans="1:8" x14ac:dyDescent="0.3">
      <c r="A614" t="s">
        <v>729</v>
      </c>
      <c r="B614" t="s">
        <v>11</v>
      </c>
      <c r="C614" t="s">
        <v>304</v>
      </c>
      <c r="D614" t="s">
        <v>709</v>
      </c>
      <c r="F614" s="11">
        <v>8.7408330000000003</v>
      </c>
      <c r="G614" s="11">
        <v>56.481110999999999</v>
      </c>
      <c r="H614" s="11">
        <v>1</v>
      </c>
    </row>
    <row r="615" spans="1:8" x14ac:dyDescent="0.3">
      <c r="A615" t="s">
        <v>730</v>
      </c>
      <c r="B615" t="s">
        <v>11</v>
      </c>
      <c r="C615" t="s">
        <v>327</v>
      </c>
      <c r="D615" t="s">
        <v>709</v>
      </c>
      <c r="F615" s="11">
        <v>8.75</v>
      </c>
      <c r="G615" s="11">
        <v>56.553610999999997</v>
      </c>
      <c r="H615" s="11">
        <v>1</v>
      </c>
    </row>
    <row r="616" spans="1:8" x14ac:dyDescent="0.3">
      <c r="A616" t="s">
        <v>731</v>
      </c>
      <c r="B616" t="s">
        <v>11</v>
      </c>
      <c r="C616" t="s">
        <v>369</v>
      </c>
      <c r="D616" t="s">
        <v>709</v>
      </c>
      <c r="F616" s="11">
        <v>8.6830560000000006</v>
      </c>
      <c r="G616" s="11">
        <v>56.611111000000001</v>
      </c>
      <c r="H616" s="11">
        <v>1</v>
      </c>
    </row>
    <row r="617" spans="1:8" x14ac:dyDescent="0.3">
      <c r="A617" t="s">
        <v>732</v>
      </c>
      <c r="B617" t="s">
        <v>11</v>
      </c>
      <c r="C617" t="s">
        <v>389</v>
      </c>
      <c r="D617" t="s">
        <v>709</v>
      </c>
      <c r="F617" s="11">
        <v>8.7830560000000002</v>
      </c>
      <c r="G617" s="11">
        <v>56.655833000000001</v>
      </c>
      <c r="H617" s="11">
        <v>1</v>
      </c>
    </row>
    <row r="618" spans="1:8" x14ac:dyDescent="0.3">
      <c r="A618" t="s">
        <v>733</v>
      </c>
      <c r="B618" t="s">
        <v>11</v>
      </c>
      <c r="C618" t="s">
        <v>407</v>
      </c>
      <c r="D618" t="s">
        <v>709</v>
      </c>
      <c r="F618" s="11">
        <v>8.9080560000000002</v>
      </c>
      <c r="G618" s="11">
        <v>56.685277999999997</v>
      </c>
      <c r="H618" s="11">
        <v>1</v>
      </c>
    </row>
    <row r="619" spans="1:8" x14ac:dyDescent="0.3">
      <c r="A619" t="s">
        <v>734</v>
      </c>
      <c r="B619" t="s">
        <v>11</v>
      </c>
      <c r="C619" t="s">
        <v>467</v>
      </c>
      <c r="D619" t="s">
        <v>709</v>
      </c>
      <c r="F619" s="11">
        <v>8.8669440000000002</v>
      </c>
      <c r="G619" s="11">
        <v>56.731943999999999</v>
      </c>
      <c r="H619" s="11">
        <v>1</v>
      </c>
    </row>
    <row r="620" spans="1:8" x14ac:dyDescent="0.3">
      <c r="A620" t="s">
        <v>735</v>
      </c>
      <c r="B620" t="s">
        <v>10</v>
      </c>
      <c r="C620" t="s">
        <v>651</v>
      </c>
      <c r="D620" t="s">
        <v>709</v>
      </c>
      <c r="F620" s="11">
        <v>8.9508329999999994</v>
      </c>
      <c r="G620" s="11">
        <v>56.790278000000001</v>
      </c>
      <c r="H620" s="11">
        <v>1</v>
      </c>
    </row>
    <row r="621" spans="1:8" x14ac:dyDescent="0.3">
      <c r="A621" t="s">
        <v>736</v>
      </c>
      <c r="B621" t="s">
        <v>37</v>
      </c>
      <c r="C621" t="s">
        <v>51</v>
      </c>
      <c r="D621" t="s">
        <v>737</v>
      </c>
      <c r="F621" s="11">
        <v>8.92</v>
      </c>
      <c r="G621" s="11">
        <v>56.988056</v>
      </c>
      <c r="H621" s="11">
        <v>1</v>
      </c>
    </row>
    <row r="622" spans="1:8" x14ac:dyDescent="0.3">
      <c r="A622" t="s">
        <v>738</v>
      </c>
      <c r="B622" t="s">
        <v>37</v>
      </c>
      <c r="C622" t="s">
        <v>54</v>
      </c>
      <c r="D622" t="s">
        <v>737</v>
      </c>
      <c r="F622" s="11">
        <v>8.8441670000000006</v>
      </c>
      <c r="G622" s="11">
        <v>56.986389000000003</v>
      </c>
      <c r="H622" s="11">
        <v>1</v>
      </c>
    </row>
    <row r="623" spans="1:8" x14ac:dyDescent="0.3">
      <c r="A623" t="s">
        <v>739</v>
      </c>
      <c r="B623" t="s">
        <v>499</v>
      </c>
      <c r="C623" t="s">
        <v>56</v>
      </c>
      <c r="D623" t="s">
        <v>737</v>
      </c>
      <c r="F623" s="11">
        <v>8.7938890000000001</v>
      </c>
      <c r="G623" s="11">
        <v>56.957777999999998</v>
      </c>
      <c r="H623" s="11">
        <v>1</v>
      </c>
    </row>
    <row r="624" spans="1:8" x14ac:dyDescent="0.3">
      <c r="A624" t="s">
        <v>740</v>
      </c>
      <c r="B624" t="s">
        <v>499</v>
      </c>
      <c r="C624" t="s">
        <v>58</v>
      </c>
      <c r="D624" t="s">
        <v>737</v>
      </c>
      <c r="F624" s="11">
        <v>8.67</v>
      </c>
      <c r="G624" s="11">
        <v>56.933610999999999</v>
      </c>
      <c r="H624" s="11">
        <v>1</v>
      </c>
    </row>
    <row r="625" spans="1:8" x14ac:dyDescent="0.3">
      <c r="A625" t="s">
        <v>741</v>
      </c>
      <c r="B625" t="s">
        <v>499</v>
      </c>
      <c r="C625" t="s">
        <v>60</v>
      </c>
      <c r="D625" t="s">
        <v>737</v>
      </c>
      <c r="F625" s="11">
        <v>8.6202780000000008</v>
      </c>
      <c r="G625" s="11">
        <v>56.858888999999998</v>
      </c>
      <c r="H625" s="11">
        <v>1</v>
      </c>
    </row>
    <row r="626" spans="1:8" x14ac:dyDescent="0.3">
      <c r="A626" t="s">
        <v>742</v>
      </c>
      <c r="B626" t="s">
        <v>499</v>
      </c>
      <c r="C626" t="s">
        <v>62</v>
      </c>
      <c r="D626" t="s">
        <v>737</v>
      </c>
      <c r="F626" s="11">
        <v>8.5322220000000009</v>
      </c>
      <c r="G626" s="11">
        <v>56.803333000000002</v>
      </c>
      <c r="H626" s="11">
        <v>1</v>
      </c>
    </row>
    <row r="627" spans="1:8" x14ac:dyDescent="0.3">
      <c r="A627" t="s">
        <v>743</v>
      </c>
      <c r="B627" t="s">
        <v>502</v>
      </c>
      <c r="C627" t="s">
        <v>64</v>
      </c>
      <c r="D627" t="s">
        <v>737</v>
      </c>
      <c r="F627" s="11">
        <v>8.5041670000000007</v>
      </c>
      <c r="G627" s="11">
        <v>56.743333</v>
      </c>
      <c r="H627" s="11">
        <v>1</v>
      </c>
    </row>
    <row r="628" spans="1:8" x14ac:dyDescent="0.3">
      <c r="A628" t="s">
        <v>744</v>
      </c>
      <c r="B628" t="s">
        <v>502</v>
      </c>
      <c r="C628" t="s">
        <v>66</v>
      </c>
      <c r="D628" t="s">
        <v>737</v>
      </c>
      <c r="F628" s="11">
        <v>8.5175000000000001</v>
      </c>
      <c r="G628" s="11">
        <v>56.677500000000002</v>
      </c>
      <c r="H628" s="11">
        <v>1</v>
      </c>
    </row>
    <row r="629" spans="1:8" x14ac:dyDescent="0.3">
      <c r="A629" t="s">
        <v>745</v>
      </c>
      <c r="B629" t="s">
        <v>6</v>
      </c>
      <c r="C629" t="s">
        <v>68</v>
      </c>
      <c r="D629" t="s">
        <v>737</v>
      </c>
      <c r="F629" s="11">
        <v>8.4797220000000006</v>
      </c>
      <c r="G629" s="11">
        <v>56.675277999999999</v>
      </c>
      <c r="H629" s="11">
        <v>1</v>
      </c>
    </row>
    <row r="630" spans="1:8" x14ac:dyDescent="0.3">
      <c r="A630" t="s">
        <v>746</v>
      </c>
      <c r="B630" t="s">
        <v>6</v>
      </c>
      <c r="C630" t="s">
        <v>71</v>
      </c>
      <c r="D630" t="s">
        <v>737</v>
      </c>
      <c r="F630" s="11">
        <v>8.5797220000000003</v>
      </c>
      <c r="G630" s="11">
        <v>56.668332999999997</v>
      </c>
      <c r="H630" s="11">
        <v>1</v>
      </c>
    </row>
    <row r="631" spans="1:8" x14ac:dyDescent="0.3">
      <c r="A631" t="s">
        <v>747</v>
      </c>
      <c r="B631" t="s">
        <v>6</v>
      </c>
      <c r="C631" t="s">
        <v>73</v>
      </c>
      <c r="D631" t="s">
        <v>737</v>
      </c>
      <c r="F631" s="11">
        <v>8.5858329999999992</v>
      </c>
      <c r="G631" s="11">
        <v>56.587778</v>
      </c>
      <c r="H631" s="11">
        <v>1</v>
      </c>
    </row>
    <row r="632" spans="1:8" x14ac:dyDescent="0.3">
      <c r="A632" t="s">
        <v>748</v>
      </c>
      <c r="B632" t="s">
        <v>6</v>
      </c>
      <c r="C632" t="s">
        <v>75</v>
      </c>
      <c r="D632" t="s">
        <v>737</v>
      </c>
      <c r="F632" s="11">
        <v>8.5041670000000007</v>
      </c>
      <c r="G632" s="11">
        <v>56.615555999999998</v>
      </c>
      <c r="H632" s="11">
        <v>1</v>
      </c>
    </row>
    <row r="633" spans="1:8" x14ac:dyDescent="0.3">
      <c r="A633" t="s">
        <v>749</v>
      </c>
      <c r="B633" t="s">
        <v>6</v>
      </c>
      <c r="C633" t="s">
        <v>77</v>
      </c>
      <c r="D633" t="s">
        <v>737</v>
      </c>
      <c r="F633" s="11">
        <v>8.3986110000000007</v>
      </c>
      <c r="G633" s="11">
        <v>56.661667000000001</v>
      </c>
      <c r="H633" s="11">
        <v>1</v>
      </c>
    </row>
    <row r="634" spans="1:8" x14ac:dyDescent="0.3">
      <c r="A634" t="s">
        <v>750</v>
      </c>
      <c r="B634" t="s">
        <v>6</v>
      </c>
      <c r="C634" t="s">
        <v>79</v>
      </c>
      <c r="D634" t="s">
        <v>737</v>
      </c>
      <c r="F634" s="11">
        <v>8.3227779999999996</v>
      </c>
      <c r="G634" s="11">
        <v>56.721666999999997</v>
      </c>
      <c r="H634" s="11">
        <v>1</v>
      </c>
    </row>
    <row r="635" spans="1:8" x14ac:dyDescent="0.3">
      <c r="A635" t="s">
        <v>7</v>
      </c>
      <c r="B635" t="s">
        <v>6</v>
      </c>
      <c r="C635" t="s">
        <v>81</v>
      </c>
      <c r="D635" t="s">
        <v>737</v>
      </c>
      <c r="F635" s="11">
        <v>8.2530560000000008</v>
      </c>
      <c r="G635" s="11">
        <v>56.741388999999998</v>
      </c>
      <c r="H635" s="11">
        <v>1</v>
      </c>
    </row>
    <row r="636" spans="1:8" x14ac:dyDescent="0.3">
      <c r="A636" t="s">
        <v>751</v>
      </c>
      <c r="B636" t="s">
        <v>6</v>
      </c>
      <c r="C636" t="s">
        <v>83</v>
      </c>
      <c r="D636" t="s">
        <v>737</v>
      </c>
      <c r="F636" s="11">
        <v>8.2363890000000008</v>
      </c>
      <c r="G636" s="11">
        <v>56.731110999999999</v>
      </c>
      <c r="H636" s="11">
        <v>1</v>
      </c>
    </row>
    <row r="637" spans="1:8" x14ac:dyDescent="0.3">
      <c r="A637" t="s">
        <v>752</v>
      </c>
      <c r="B637" t="s">
        <v>11</v>
      </c>
      <c r="C637" t="s">
        <v>85</v>
      </c>
      <c r="D637" t="s">
        <v>737</v>
      </c>
      <c r="F637" s="11">
        <v>8.2563890000000004</v>
      </c>
      <c r="G637" s="11">
        <v>56.822778</v>
      </c>
      <c r="H637" s="11">
        <v>1</v>
      </c>
    </row>
    <row r="638" spans="1:8" x14ac:dyDescent="0.3">
      <c r="A638" t="s">
        <v>753</v>
      </c>
      <c r="B638" t="s">
        <v>11</v>
      </c>
      <c r="C638" t="s">
        <v>87</v>
      </c>
      <c r="D638" t="s">
        <v>737</v>
      </c>
      <c r="F638" s="11">
        <v>8.3247219999999995</v>
      </c>
      <c r="G638" s="11">
        <v>56.891388999999997</v>
      </c>
      <c r="H638" s="11">
        <v>1</v>
      </c>
    </row>
    <row r="639" spans="1:8" x14ac:dyDescent="0.3">
      <c r="A639" t="s">
        <v>754</v>
      </c>
      <c r="B639" t="s">
        <v>11</v>
      </c>
      <c r="C639" t="s">
        <v>89</v>
      </c>
      <c r="D639" t="s">
        <v>737</v>
      </c>
      <c r="F639" s="11">
        <v>8.3952779999999994</v>
      </c>
      <c r="G639" s="11">
        <v>56.958055999999999</v>
      </c>
      <c r="H639" s="11">
        <v>1</v>
      </c>
    </row>
    <row r="640" spans="1:8" x14ac:dyDescent="0.3">
      <c r="A640" t="s">
        <v>755</v>
      </c>
      <c r="B640" t="s">
        <v>11</v>
      </c>
      <c r="C640" t="s">
        <v>302</v>
      </c>
      <c r="D640" t="s">
        <v>737</v>
      </c>
      <c r="F640" s="11">
        <v>8.4777780000000007</v>
      </c>
      <c r="G640" s="11">
        <v>57.017778</v>
      </c>
      <c r="H640" s="11">
        <v>1</v>
      </c>
    </row>
    <row r="641" spans="1:8" x14ac:dyDescent="0.3">
      <c r="A641" t="s">
        <v>756</v>
      </c>
      <c r="B641" t="s">
        <v>11</v>
      </c>
      <c r="C641" t="s">
        <v>304</v>
      </c>
      <c r="D641" t="s">
        <v>737</v>
      </c>
      <c r="F641" s="11">
        <v>8.5594439999999992</v>
      </c>
      <c r="G641" s="11">
        <v>57.077778000000002</v>
      </c>
      <c r="H641" s="11">
        <v>1</v>
      </c>
    </row>
    <row r="642" spans="1:8" x14ac:dyDescent="0.3">
      <c r="A642" t="s">
        <v>757</v>
      </c>
      <c r="B642" t="s">
        <v>11</v>
      </c>
      <c r="C642" t="s">
        <v>327</v>
      </c>
      <c r="D642" t="s">
        <v>737</v>
      </c>
      <c r="F642" s="11">
        <v>8.668056</v>
      </c>
      <c r="G642" s="11">
        <v>57.099443999999998</v>
      </c>
      <c r="H642" s="11">
        <v>1</v>
      </c>
    </row>
    <row r="643" spans="1:8" x14ac:dyDescent="0.3">
      <c r="A643" t="s">
        <v>758</v>
      </c>
      <c r="B643" t="s">
        <v>11</v>
      </c>
      <c r="C643" t="s">
        <v>369</v>
      </c>
      <c r="D643" t="s">
        <v>737</v>
      </c>
      <c r="F643" s="11">
        <v>8.8233329999999999</v>
      </c>
      <c r="G643" s="11">
        <v>57.096666999999997</v>
      </c>
      <c r="H643" s="11">
        <v>1</v>
      </c>
    </row>
    <row r="644" spans="1:8" x14ac:dyDescent="0.3">
      <c r="A644" t="s">
        <v>759</v>
      </c>
      <c r="B644" t="s">
        <v>11</v>
      </c>
      <c r="C644" t="s">
        <v>389</v>
      </c>
      <c r="D644" t="s">
        <v>737</v>
      </c>
      <c r="F644" s="11">
        <v>8.9388889999999996</v>
      </c>
      <c r="G644" s="11">
        <v>57.134999999999998</v>
      </c>
      <c r="H644" s="11">
        <v>1</v>
      </c>
    </row>
    <row r="645" spans="1:8" x14ac:dyDescent="0.3">
      <c r="A645" t="s">
        <v>760</v>
      </c>
      <c r="B645" t="s">
        <v>11</v>
      </c>
      <c r="C645" t="s">
        <v>407</v>
      </c>
      <c r="D645" t="s">
        <v>737</v>
      </c>
      <c r="H645" s="11">
        <v>1</v>
      </c>
    </row>
    <row r="646" spans="1:8" x14ac:dyDescent="0.3">
      <c r="A646" t="s">
        <v>761</v>
      </c>
      <c r="B646" t="s">
        <v>37</v>
      </c>
      <c r="C646" t="s">
        <v>51</v>
      </c>
      <c r="D646" t="s">
        <v>762</v>
      </c>
      <c r="F646" s="11">
        <v>8.8436109999999992</v>
      </c>
      <c r="G646" s="11">
        <v>54.633333</v>
      </c>
      <c r="H646" s="11">
        <v>1</v>
      </c>
    </row>
    <row r="647" spans="1:8" x14ac:dyDescent="0.3">
      <c r="A647" t="s">
        <v>763</v>
      </c>
      <c r="B647" t="s">
        <v>37</v>
      </c>
      <c r="C647" t="s">
        <v>54</v>
      </c>
      <c r="D647" t="s">
        <v>762</v>
      </c>
      <c r="F647" s="11">
        <v>8.8208330000000004</v>
      </c>
      <c r="G647" s="11">
        <v>54.603889000000002</v>
      </c>
      <c r="H647" s="11">
        <v>1</v>
      </c>
    </row>
    <row r="648" spans="1:8" x14ac:dyDescent="0.3">
      <c r="A648" t="s">
        <v>764</v>
      </c>
      <c r="B648" t="s">
        <v>499</v>
      </c>
      <c r="C648" t="s">
        <v>56</v>
      </c>
      <c r="D648" t="s">
        <v>762</v>
      </c>
      <c r="F648" s="11">
        <v>8.8761109999999999</v>
      </c>
      <c r="G648" s="11">
        <v>54.603889000000002</v>
      </c>
      <c r="H648" s="11">
        <v>1</v>
      </c>
    </row>
    <row r="649" spans="1:8" x14ac:dyDescent="0.3">
      <c r="A649" t="s">
        <v>765</v>
      </c>
      <c r="B649" t="s">
        <v>499</v>
      </c>
      <c r="C649" t="s">
        <v>58</v>
      </c>
      <c r="D649" t="s">
        <v>762</v>
      </c>
      <c r="F649" s="11">
        <v>8.9086110000000005</v>
      </c>
      <c r="G649" s="11">
        <v>54.571944000000002</v>
      </c>
      <c r="H649" s="11">
        <v>1</v>
      </c>
    </row>
    <row r="650" spans="1:8" x14ac:dyDescent="0.3">
      <c r="A650" t="s">
        <v>766</v>
      </c>
      <c r="B650" t="s">
        <v>499</v>
      </c>
      <c r="C650" t="s">
        <v>60</v>
      </c>
      <c r="D650" t="s">
        <v>762</v>
      </c>
      <c r="F650" s="11">
        <v>8.9511109999999992</v>
      </c>
      <c r="G650" s="11">
        <v>54.545278000000003</v>
      </c>
      <c r="H650" s="11">
        <v>1</v>
      </c>
    </row>
    <row r="651" spans="1:8" x14ac:dyDescent="0.3">
      <c r="A651" t="s">
        <v>767</v>
      </c>
      <c r="B651" t="s">
        <v>499</v>
      </c>
      <c r="C651" t="s">
        <v>62</v>
      </c>
      <c r="D651" t="s">
        <v>762</v>
      </c>
      <c r="F651" s="11">
        <v>8.9927779999999995</v>
      </c>
      <c r="G651" s="11">
        <v>54.518332999999998</v>
      </c>
      <c r="H651" s="11">
        <v>1</v>
      </c>
    </row>
    <row r="652" spans="1:8" x14ac:dyDescent="0.3">
      <c r="A652" t="s">
        <v>768</v>
      </c>
      <c r="B652" t="s">
        <v>502</v>
      </c>
      <c r="C652" t="s">
        <v>64</v>
      </c>
      <c r="D652" t="s">
        <v>762</v>
      </c>
      <c r="F652" s="11">
        <v>8.9947219999999994</v>
      </c>
      <c r="G652" s="11">
        <v>54.451943999999997</v>
      </c>
      <c r="H652" s="11">
        <v>1</v>
      </c>
    </row>
    <row r="653" spans="1:8" x14ac:dyDescent="0.3">
      <c r="A653" t="s">
        <v>769</v>
      </c>
      <c r="B653" t="s">
        <v>502</v>
      </c>
      <c r="C653" t="s">
        <v>66</v>
      </c>
      <c r="D653" t="s">
        <v>762</v>
      </c>
      <c r="F653" s="11">
        <v>8.9433330000000009</v>
      </c>
      <c r="G653" s="11">
        <v>54.443333000000003</v>
      </c>
      <c r="H653" s="11">
        <v>1</v>
      </c>
    </row>
    <row r="654" spans="1:8" x14ac:dyDescent="0.3">
      <c r="A654" t="s">
        <v>770</v>
      </c>
      <c r="B654" t="s">
        <v>6</v>
      </c>
      <c r="C654" t="s">
        <v>68</v>
      </c>
      <c r="D654" t="s">
        <v>762</v>
      </c>
      <c r="F654" s="11">
        <v>8.8977780000000006</v>
      </c>
      <c r="G654" s="11">
        <v>54.418332999999997</v>
      </c>
      <c r="H654" s="11">
        <v>1</v>
      </c>
    </row>
    <row r="655" spans="1:8" x14ac:dyDescent="0.3">
      <c r="A655" t="s">
        <v>771</v>
      </c>
      <c r="B655" t="s">
        <v>6</v>
      </c>
      <c r="C655" t="s">
        <v>71</v>
      </c>
      <c r="D655" t="s">
        <v>762</v>
      </c>
      <c r="F655" s="11">
        <v>8.8377780000000001</v>
      </c>
      <c r="G655" s="11">
        <v>54.406666999999999</v>
      </c>
      <c r="H655" s="11">
        <v>1</v>
      </c>
    </row>
    <row r="656" spans="1:8" x14ac:dyDescent="0.3">
      <c r="A656" t="s">
        <v>772</v>
      </c>
      <c r="B656" t="s">
        <v>6</v>
      </c>
      <c r="C656" t="s">
        <v>73</v>
      </c>
      <c r="D656" t="s">
        <v>762</v>
      </c>
      <c r="F656" s="11">
        <v>8.7733329999999992</v>
      </c>
      <c r="G656" s="11">
        <v>54.411389</v>
      </c>
      <c r="H656" s="11">
        <v>1</v>
      </c>
    </row>
    <row r="657" spans="1:8" x14ac:dyDescent="0.3">
      <c r="A657" t="s">
        <v>773</v>
      </c>
      <c r="B657" t="s">
        <v>6</v>
      </c>
      <c r="C657" t="s">
        <v>75</v>
      </c>
      <c r="D657" t="s">
        <v>762</v>
      </c>
      <c r="F657" s="11">
        <v>8.7063889999999997</v>
      </c>
      <c r="G657" s="11">
        <v>54.401111</v>
      </c>
      <c r="H657" s="11">
        <v>1</v>
      </c>
    </row>
    <row r="658" spans="1:8" x14ac:dyDescent="0.3">
      <c r="A658" t="s">
        <v>774</v>
      </c>
      <c r="B658" t="s">
        <v>6</v>
      </c>
      <c r="C658" t="s">
        <v>77</v>
      </c>
      <c r="D658" t="s">
        <v>762</v>
      </c>
      <c r="F658" s="11">
        <v>8.6508330000000004</v>
      </c>
      <c r="G658" s="11">
        <v>54.399721999999997</v>
      </c>
      <c r="H658" s="11">
        <v>1</v>
      </c>
    </row>
    <row r="659" spans="1:8" x14ac:dyDescent="0.3">
      <c r="A659" t="s">
        <v>775</v>
      </c>
      <c r="B659" t="s">
        <v>6</v>
      </c>
      <c r="C659" t="s">
        <v>79</v>
      </c>
      <c r="D659" t="s">
        <v>762</v>
      </c>
      <c r="F659" s="11">
        <v>8.6258330000000001</v>
      </c>
      <c r="G659" s="11">
        <v>54.368889000000003</v>
      </c>
      <c r="H659" s="11">
        <v>1</v>
      </c>
    </row>
    <row r="660" spans="1:8" x14ac:dyDescent="0.3">
      <c r="A660" t="s">
        <v>776</v>
      </c>
      <c r="B660" t="s">
        <v>6</v>
      </c>
      <c r="C660" t="s">
        <v>81</v>
      </c>
      <c r="D660" t="s">
        <v>762</v>
      </c>
      <c r="F660" s="11">
        <v>8.6747219999999992</v>
      </c>
      <c r="G660" s="11">
        <v>54.368333</v>
      </c>
      <c r="H660" s="11">
        <v>1</v>
      </c>
    </row>
    <row r="661" spans="1:8" x14ac:dyDescent="0.3">
      <c r="A661" t="s">
        <v>777</v>
      </c>
      <c r="B661" t="s">
        <v>6</v>
      </c>
      <c r="C661" t="s">
        <v>83</v>
      </c>
      <c r="D661" t="s">
        <v>762</v>
      </c>
      <c r="F661" s="11">
        <v>8.6597220000000004</v>
      </c>
      <c r="G661" s="11">
        <v>54.350833000000002</v>
      </c>
      <c r="H661" s="11">
        <v>1</v>
      </c>
    </row>
    <row r="662" spans="1:8" x14ac:dyDescent="0.3">
      <c r="A662" t="s">
        <v>778</v>
      </c>
      <c r="B662" t="s">
        <v>11</v>
      </c>
      <c r="C662" t="s">
        <v>85</v>
      </c>
      <c r="D662" t="s">
        <v>762</v>
      </c>
      <c r="F662" s="11">
        <v>8.6008329999999997</v>
      </c>
      <c r="G662" s="11">
        <v>54.336666999999998</v>
      </c>
      <c r="H662" s="11">
        <v>1</v>
      </c>
    </row>
    <row r="663" spans="1:8" x14ac:dyDescent="0.3">
      <c r="A663" t="s">
        <v>779</v>
      </c>
      <c r="B663" t="s">
        <v>11</v>
      </c>
      <c r="C663" t="s">
        <v>87</v>
      </c>
      <c r="D663" t="s">
        <v>762</v>
      </c>
      <c r="F663" s="11">
        <v>8.6161110000000001</v>
      </c>
      <c r="G663" s="11">
        <v>54.297221999999998</v>
      </c>
      <c r="H663" s="11">
        <v>1</v>
      </c>
    </row>
    <row r="664" spans="1:8" x14ac:dyDescent="0.3">
      <c r="A664" t="s">
        <v>780</v>
      </c>
      <c r="B664" t="s">
        <v>11</v>
      </c>
      <c r="C664" t="s">
        <v>302</v>
      </c>
      <c r="D664" t="s">
        <v>762</v>
      </c>
      <c r="F664" s="11">
        <v>8.6555560000000007</v>
      </c>
      <c r="G664" s="11">
        <v>54.269444</v>
      </c>
      <c r="H664" s="11">
        <v>1</v>
      </c>
    </row>
    <row r="665" spans="1:8" x14ac:dyDescent="0.3">
      <c r="A665" t="s">
        <v>781</v>
      </c>
      <c r="B665" t="s">
        <v>11</v>
      </c>
      <c r="C665" t="s">
        <v>304</v>
      </c>
      <c r="D665" t="s">
        <v>762</v>
      </c>
      <c r="F665" s="11">
        <v>8.7072219999999998</v>
      </c>
      <c r="G665" s="11">
        <v>54.283056000000002</v>
      </c>
      <c r="H665" s="11">
        <v>1</v>
      </c>
    </row>
    <row r="666" spans="1:8" x14ac:dyDescent="0.3">
      <c r="A666" t="s">
        <v>782</v>
      </c>
      <c r="B666" t="s">
        <v>11</v>
      </c>
      <c r="C666" t="s">
        <v>327</v>
      </c>
      <c r="D666" t="s">
        <v>762</v>
      </c>
      <c r="F666" s="11">
        <v>8.7705559999999991</v>
      </c>
      <c r="G666" s="11">
        <v>54.287778000000003</v>
      </c>
      <c r="H666" s="11">
        <v>1</v>
      </c>
    </row>
    <row r="667" spans="1:8" x14ac:dyDescent="0.3">
      <c r="A667" t="s">
        <v>783</v>
      </c>
      <c r="B667" t="s">
        <v>11</v>
      </c>
      <c r="C667" t="s">
        <v>369</v>
      </c>
      <c r="D667" t="s">
        <v>762</v>
      </c>
      <c r="F667" s="11">
        <v>8.8330559999999991</v>
      </c>
      <c r="G667" s="11">
        <v>54.295000000000002</v>
      </c>
      <c r="H667" s="11">
        <v>1</v>
      </c>
    </row>
    <row r="668" spans="1:8" x14ac:dyDescent="0.3">
      <c r="A668" t="s">
        <v>784</v>
      </c>
      <c r="B668" t="s">
        <v>11</v>
      </c>
      <c r="C668" t="s">
        <v>389</v>
      </c>
      <c r="D668" t="s">
        <v>762</v>
      </c>
      <c r="F668" s="11">
        <v>8.8836110000000001</v>
      </c>
      <c r="G668" s="11">
        <v>54.294167000000002</v>
      </c>
      <c r="H668" s="11">
        <v>1</v>
      </c>
    </row>
    <row r="669" spans="1:8" x14ac:dyDescent="0.3">
      <c r="A669" t="s">
        <v>785</v>
      </c>
      <c r="B669" t="s">
        <v>11</v>
      </c>
      <c r="C669" t="s">
        <v>407</v>
      </c>
      <c r="D669" t="s">
        <v>762</v>
      </c>
      <c r="F669" s="11">
        <v>8.9258330000000008</v>
      </c>
      <c r="G669" s="11">
        <v>54.301389</v>
      </c>
      <c r="H669" s="11">
        <v>1</v>
      </c>
    </row>
    <row r="670" spans="1:8" x14ac:dyDescent="0.3">
      <c r="A670" t="s">
        <v>786</v>
      </c>
      <c r="B670" t="s">
        <v>36</v>
      </c>
      <c r="C670" t="s">
        <v>51</v>
      </c>
      <c r="D670" t="s">
        <v>787</v>
      </c>
      <c r="F670" s="11">
        <v>8.9586109999999994</v>
      </c>
      <c r="G670" s="11">
        <v>54.304721999999998</v>
      </c>
      <c r="H670" s="11">
        <v>1</v>
      </c>
    </row>
    <row r="671" spans="1:8" x14ac:dyDescent="0.3">
      <c r="A671" t="s">
        <v>788</v>
      </c>
      <c r="B671" t="s">
        <v>36</v>
      </c>
      <c r="C671" t="s">
        <v>54</v>
      </c>
      <c r="D671" t="s">
        <v>787</v>
      </c>
      <c r="F671" s="11">
        <v>8.9194440000000004</v>
      </c>
      <c r="G671" s="11">
        <v>54.275832999999999</v>
      </c>
      <c r="H671" s="11">
        <v>1</v>
      </c>
    </row>
    <row r="672" spans="1:8" x14ac:dyDescent="0.3">
      <c r="A672" t="s">
        <v>789</v>
      </c>
      <c r="B672" t="s">
        <v>36</v>
      </c>
      <c r="C672" t="s">
        <v>56</v>
      </c>
      <c r="D672" t="s">
        <v>787</v>
      </c>
      <c r="F672" s="11">
        <v>8.8630560000000003</v>
      </c>
      <c r="G672" s="11">
        <v>54.258056000000003</v>
      </c>
      <c r="H672" s="11">
        <v>1</v>
      </c>
    </row>
    <row r="673" spans="1:8" x14ac:dyDescent="0.3">
      <c r="A673" t="s">
        <v>790</v>
      </c>
      <c r="B673" t="s">
        <v>35</v>
      </c>
      <c r="C673" t="s">
        <v>58</v>
      </c>
      <c r="D673" t="s">
        <v>787</v>
      </c>
      <c r="F673" s="11">
        <v>8.8455560000000002</v>
      </c>
      <c r="G673" s="11">
        <v>54.225278000000003</v>
      </c>
      <c r="H673" s="11">
        <v>1</v>
      </c>
    </row>
    <row r="674" spans="1:8" x14ac:dyDescent="0.3">
      <c r="A674" t="s">
        <v>791</v>
      </c>
      <c r="B674" t="s">
        <v>792</v>
      </c>
      <c r="C674" t="s">
        <v>60</v>
      </c>
      <c r="D674" t="s">
        <v>787</v>
      </c>
      <c r="F674" s="11">
        <v>8.8163889999999991</v>
      </c>
      <c r="G674" s="11">
        <v>54.19</v>
      </c>
      <c r="H674" s="11">
        <v>1</v>
      </c>
    </row>
    <row r="675" spans="1:8" x14ac:dyDescent="0.3">
      <c r="A675" t="s">
        <v>793</v>
      </c>
      <c r="B675" t="s">
        <v>794</v>
      </c>
      <c r="C675" t="s">
        <v>62</v>
      </c>
      <c r="D675" t="s">
        <v>787</v>
      </c>
      <c r="F675" s="11">
        <v>8.8283330000000007</v>
      </c>
      <c r="G675" s="11">
        <v>54.150278</v>
      </c>
      <c r="H675" s="11">
        <v>1</v>
      </c>
    </row>
    <row r="676" spans="1:8" x14ac:dyDescent="0.3">
      <c r="A676" t="s">
        <v>795</v>
      </c>
      <c r="B676" t="s">
        <v>794</v>
      </c>
      <c r="C676" t="s">
        <v>64</v>
      </c>
      <c r="D676" t="s">
        <v>787</v>
      </c>
      <c r="F676" s="11">
        <v>8.8663889999999999</v>
      </c>
      <c r="G676" s="11">
        <v>54.124721999999998</v>
      </c>
      <c r="H676" s="11">
        <v>1</v>
      </c>
    </row>
    <row r="677" spans="1:8" x14ac:dyDescent="0.3">
      <c r="A677" t="s">
        <v>796</v>
      </c>
      <c r="B677" t="s">
        <v>794</v>
      </c>
      <c r="C677" t="s">
        <v>66</v>
      </c>
      <c r="D677" t="s">
        <v>787</v>
      </c>
      <c r="F677" s="11">
        <v>8.9263890000000004</v>
      </c>
      <c r="G677" s="11">
        <v>54.14</v>
      </c>
      <c r="H677" s="11">
        <v>1</v>
      </c>
    </row>
    <row r="678" spans="1:8" x14ac:dyDescent="0.3">
      <c r="A678" t="s">
        <v>797</v>
      </c>
      <c r="B678" t="s">
        <v>794</v>
      </c>
      <c r="C678" t="s">
        <v>68</v>
      </c>
      <c r="D678" t="s">
        <v>787</v>
      </c>
      <c r="F678" s="11">
        <v>8.9752779999999994</v>
      </c>
      <c r="G678" s="11">
        <v>54.136389000000001</v>
      </c>
      <c r="H678" s="11">
        <v>1</v>
      </c>
    </row>
    <row r="679" spans="1:8" x14ac:dyDescent="0.3">
      <c r="A679" t="s">
        <v>798</v>
      </c>
      <c r="B679" t="s">
        <v>794</v>
      </c>
      <c r="C679" t="s">
        <v>71</v>
      </c>
      <c r="D679" t="s">
        <v>787</v>
      </c>
      <c r="F679" s="11">
        <v>8.9986110000000004</v>
      </c>
      <c r="G679" s="11">
        <v>54.103889000000002</v>
      </c>
      <c r="H679" s="11">
        <v>1</v>
      </c>
    </row>
    <row r="680" spans="1:8" x14ac:dyDescent="0.3">
      <c r="A680" t="s">
        <v>799</v>
      </c>
      <c r="B680" t="s">
        <v>14</v>
      </c>
      <c r="C680" t="s">
        <v>73</v>
      </c>
      <c r="D680" t="s">
        <v>787</v>
      </c>
      <c r="F680" s="11">
        <v>8.9963890000000006</v>
      </c>
      <c r="G680" s="11">
        <v>54.025278</v>
      </c>
      <c r="H680" s="11">
        <v>1</v>
      </c>
    </row>
    <row r="681" spans="1:8" x14ac:dyDescent="0.3">
      <c r="A681" t="s">
        <v>800</v>
      </c>
      <c r="B681" t="s">
        <v>14</v>
      </c>
      <c r="C681" t="s">
        <v>75</v>
      </c>
      <c r="D681" t="s">
        <v>787</v>
      </c>
      <c r="F681" s="11">
        <v>8.9483329999999999</v>
      </c>
      <c r="G681" s="11">
        <v>54.028888999999999</v>
      </c>
      <c r="H681" s="11">
        <v>1</v>
      </c>
    </row>
    <row r="682" spans="1:8" x14ac:dyDescent="0.3">
      <c r="A682" t="s">
        <v>801</v>
      </c>
      <c r="B682" t="s">
        <v>794</v>
      </c>
      <c r="C682" t="s">
        <v>77</v>
      </c>
      <c r="D682" t="s">
        <v>787</v>
      </c>
      <c r="F682" s="11">
        <v>8.8852779999999996</v>
      </c>
      <c r="G682" s="11">
        <v>54.044722</v>
      </c>
      <c r="H682" s="11">
        <v>1</v>
      </c>
    </row>
    <row r="683" spans="1:8" x14ac:dyDescent="0.3">
      <c r="A683" t="s">
        <v>802</v>
      </c>
      <c r="B683" t="s">
        <v>794</v>
      </c>
      <c r="C683" t="s">
        <v>79</v>
      </c>
      <c r="D683" t="s">
        <v>787</v>
      </c>
      <c r="F683" s="11">
        <v>8.84</v>
      </c>
      <c r="G683" s="11">
        <v>54.026389000000002</v>
      </c>
      <c r="H683" s="11">
        <v>1</v>
      </c>
    </row>
    <row r="684" spans="1:8" x14ac:dyDescent="0.3">
      <c r="A684" t="s">
        <v>803</v>
      </c>
      <c r="B684" t="s">
        <v>794</v>
      </c>
      <c r="C684" t="s">
        <v>81</v>
      </c>
      <c r="D684" t="s">
        <v>787</v>
      </c>
      <c r="F684" s="11">
        <v>8.8677779999999995</v>
      </c>
      <c r="G684" s="11">
        <v>53.992221999999998</v>
      </c>
      <c r="H684" s="11">
        <v>1</v>
      </c>
    </row>
    <row r="685" spans="1:8" x14ac:dyDescent="0.3">
      <c r="A685" t="s">
        <v>804</v>
      </c>
      <c r="B685" t="s">
        <v>6</v>
      </c>
      <c r="C685" t="s">
        <v>83</v>
      </c>
      <c r="D685" t="s">
        <v>787</v>
      </c>
      <c r="F685" s="11">
        <v>8.8877780000000008</v>
      </c>
      <c r="G685" s="11">
        <v>53.957222000000002</v>
      </c>
      <c r="H685" s="11">
        <v>1</v>
      </c>
    </row>
    <row r="686" spans="1:8" x14ac:dyDescent="0.3">
      <c r="A686" t="s">
        <v>805</v>
      </c>
      <c r="B686" t="s">
        <v>11</v>
      </c>
      <c r="C686" t="s">
        <v>85</v>
      </c>
      <c r="D686" t="s">
        <v>787</v>
      </c>
      <c r="F686" s="11">
        <v>8.9194440000000004</v>
      </c>
      <c r="G686" s="11">
        <v>53.924999999999997</v>
      </c>
      <c r="H686" s="11">
        <v>1</v>
      </c>
    </row>
    <row r="687" spans="1:8" x14ac:dyDescent="0.3">
      <c r="A687" t="s">
        <v>806</v>
      </c>
      <c r="B687" t="s">
        <v>11</v>
      </c>
      <c r="C687" t="s">
        <v>87</v>
      </c>
      <c r="D687" t="s">
        <v>787</v>
      </c>
      <c r="F687" s="11">
        <v>8.9619440000000008</v>
      </c>
      <c r="G687" s="11">
        <v>53.898611000000002</v>
      </c>
      <c r="H687" s="11">
        <v>1</v>
      </c>
    </row>
    <row r="688" spans="1:8" x14ac:dyDescent="0.3">
      <c r="A688" t="s">
        <v>807</v>
      </c>
      <c r="B688" t="s">
        <v>11</v>
      </c>
      <c r="C688" t="s">
        <v>89</v>
      </c>
      <c r="D688" t="s">
        <v>787</v>
      </c>
      <c r="F688" s="11">
        <v>8.9752779999999994</v>
      </c>
      <c r="G688" s="11">
        <v>53.841667000000001</v>
      </c>
      <c r="H688" s="11">
        <v>1</v>
      </c>
    </row>
    <row r="689" spans="1:8" x14ac:dyDescent="0.3">
      <c r="A689" t="s">
        <v>808</v>
      </c>
      <c r="B689" t="s">
        <v>11</v>
      </c>
      <c r="C689" t="s">
        <v>302</v>
      </c>
      <c r="D689" t="s">
        <v>787</v>
      </c>
      <c r="F689" s="11">
        <v>8.9122219999999999</v>
      </c>
      <c r="G689" s="11">
        <v>53.828611000000002</v>
      </c>
      <c r="H689" s="11">
        <v>1</v>
      </c>
    </row>
    <row r="690" spans="1:8" x14ac:dyDescent="0.3">
      <c r="A690" t="s">
        <v>809</v>
      </c>
      <c r="B690" t="s">
        <v>11</v>
      </c>
      <c r="C690" t="s">
        <v>304</v>
      </c>
      <c r="D690" t="s">
        <v>787</v>
      </c>
      <c r="F690" s="11">
        <v>8.8327779999999994</v>
      </c>
      <c r="G690" s="11">
        <v>53.831944</v>
      </c>
      <c r="H690" s="11">
        <v>1</v>
      </c>
    </row>
    <row r="691" spans="1:8" x14ac:dyDescent="0.3">
      <c r="A691" t="s">
        <v>810</v>
      </c>
      <c r="B691" t="s">
        <v>11</v>
      </c>
      <c r="C691" t="s">
        <v>327</v>
      </c>
      <c r="D691" t="s">
        <v>787</v>
      </c>
      <c r="F691" s="11">
        <v>8.7636109999999992</v>
      </c>
      <c r="G691" s="11">
        <v>53.844166999999999</v>
      </c>
      <c r="H691" s="11">
        <v>1</v>
      </c>
    </row>
    <row r="692" spans="1:8" x14ac:dyDescent="0.3">
      <c r="A692" t="s">
        <v>811</v>
      </c>
      <c r="B692" t="s">
        <v>11</v>
      </c>
      <c r="C692" t="s">
        <v>369</v>
      </c>
      <c r="D692" t="s">
        <v>787</v>
      </c>
      <c r="F692" s="11">
        <v>8.7130559999999999</v>
      </c>
      <c r="G692" s="11">
        <v>53.866110999999997</v>
      </c>
      <c r="H692" s="11">
        <v>1</v>
      </c>
    </row>
    <row r="693" spans="1:8" x14ac:dyDescent="0.3">
      <c r="A693" t="s">
        <v>812</v>
      </c>
      <c r="B693" t="s">
        <v>11</v>
      </c>
      <c r="C693" t="s">
        <v>389</v>
      </c>
      <c r="D693" t="s">
        <v>787</v>
      </c>
      <c r="F693" s="11">
        <v>8.6747219999999992</v>
      </c>
      <c r="G693" s="11">
        <v>53.894722000000002</v>
      </c>
      <c r="H693" s="11">
        <v>1</v>
      </c>
    </row>
    <row r="694" spans="1:8" x14ac:dyDescent="0.3">
      <c r="A694" t="s">
        <v>813</v>
      </c>
      <c r="B694" t="s">
        <v>11</v>
      </c>
      <c r="C694" t="s">
        <v>407</v>
      </c>
      <c r="D694" t="s">
        <v>787</v>
      </c>
      <c r="F694" s="11">
        <v>8.6119439999999994</v>
      </c>
      <c r="G694" s="11">
        <v>53.881667</v>
      </c>
      <c r="H694" s="11">
        <v>1</v>
      </c>
    </row>
    <row r="695" spans="1:8" x14ac:dyDescent="0.3">
      <c r="A695" t="s">
        <v>814</v>
      </c>
      <c r="B695" t="s">
        <v>36</v>
      </c>
      <c r="C695" t="s">
        <v>51</v>
      </c>
      <c r="D695" t="s">
        <v>815</v>
      </c>
      <c r="F695" s="11">
        <v>8.5744439999999997</v>
      </c>
      <c r="G695" s="11">
        <v>53.851388999999998</v>
      </c>
      <c r="H695" s="11">
        <v>1</v>
      </c>
    </row>
    <row r="696" spans="1:8" x14ac:dyDescent="0.3">
      <c r="A696" t="s">
        <v>816</v>
      </c>
      <c r="B696" t="s">
        <v>36</v>
      </c>
      <c r="C696" t="s">
        <v>54</v>
      </c>
      <c r="D696" t="s">
        <v>815</v>
      </c>
      <c r="F696" s="11">
        <v>8.5466669999999993</v>
      </c>
      <c r="G696" s="11">
        <v>53.815556000000001</v>
      </c>
      <c r="H696" s="11">
        <v>1</v>
      </c>
    </row>
    <row r="697" spans="1:8" x14ac:dyDescent="0.3">
      <c r="A697" t="s">
        <v>817</v>
      </c>
      <c r="B697" t="s">
        <v>36</v>
      </c>
      <c r="C697" t="s">
        <v>56</v>
      </c>
      <c r="D697" t="s">
        <v>815</v>
      </c>
      <c r="F697" s="11">
        <v>8.5333330000000007</v>
      </c>
      <c r="G697" s="11">
        <v>53.769444</v>
      </c>
      <c r="H697" s="11">
        <v>1</v>
      </c>
    </row>
    <row r="698" spans="1:8" x14ac:dyDescent="0.3">
      <c r="A698" t="s">
        <v>818</v>
      </c>
      <c r="B698" t="s">
        <v>36</v>
      </c>
      <c r="C698" t="s">
        <v>58</v>
      </c>
      <c r="D698" t="s">
        <v>815</v>
      </c>
      <c r="F698" s="11">
        <v>8.5072220000000005</v>
      </c>
      <c r="G698" s="11">
        <v>53.732500000000002</v>
      </c>
      <c r="H698" s="11">
        <v>1</v>
      </c>
    </row>
    <row r="699" spans="1:8" x14ac:dyDescent="0.3">
      <c r="A699" t="s">
        <v>819</v>
      </c>
      <c r="B699" t="s">
        <v>36</v>
      </c>
      <c r="C699" t="s">
        <v>60</v>
      </c>
      <c r="D699" t="s">
        <v>815</v>
      </c>
      <c r="F699" s="11">
        <v>8.4841669999999993</v>
      </c>
      <c r="G699" s="11">
        <v>53.693333000000003</v>
      </c>
      <c r="H699" s="11">
        <v>1</v>
      </c>
    </row>
    <row r="700" spans="1:8" x14ac:dyDescent="0.3">
      <c r="A700" t="s">
        <v>820</v>
      </c>
      <c r="B700" t="s">
        <v>794</v>
      </c>
      <c r="C700" t="s">
        <v>62</v>
      </c>
      <c r="D700" t="s">
        <v>815</v>
      </c>
      <c r="F700" s="11">
        <v>8.49</v>
      </c>
      <c r="G700" s="11">
        <v>53.649444000000003</v>
      </c>
      <c r="H700" s="11">
        <v>1</v>
      </c>
    </row>
    <row r="701" spans="1:8" x14ac:dyDescent="0.3">
      <c r="A701" t="s">
        <v>821</v>
      </c>
      <c r="B701" t="s">
        <v>794</v>
      </c>
      <c r="C701" t="s">
        <v>64</v>
      </c>
      <c r="D701" t="s">
        <v>815</v>
      </c>
      <c r="F701" s="11">
        <v>8.5141670000000005</v>
      </c>
      <c r="G701" s="11">
        <v>53.613332999999997</v>
      </c>
      <c r="H701" s="11">
        <v>1</v>
      </c>
    </row>
    <row r="702" spans="1:8" x14ac:dyDescent="0.3">
      <c r="A702" t="s">
        <v>822</v>
      </c>
      <c r="B702" t="s">
        <v>794</v>
      </c>
      <c r="C702" t="s">
        <v>66</v>
      </c>
      <c r="D702" t="s">
        <v>815</v>
      </c>
      <c r="F702" s="11">
        <v>8.5413890000000006</v>
      </c>
      <c r="G702" s="11">
        <v>53.578888999999997</v>
      </c>
      <c r="H702" s="11">
        <v>1</v>
      </c>
    </row>
    <row r="703" spans="1:8" x14ac:dyDescent="0.3">
      <c r="A703" t="s">
        <v>823</v>
      </c>
      <c r="B703" t="s">
        <v>794</v>
      </c>
      <c r="C703" t="s">
        <v>68</v>
      </c>
      <c r="D703" t="s">
        <v>815</v>
      </c>
      <c r="F703" s="11">
        <v>8.5608330000000006</v>
      </c>
      <c r="G703" s="11">
        <v>53.545555999999998</v>
      </c>
      <c r="H703" s="11">
        <v>1</v>
      </c>
    </row>
    <row r="704" spans="1:8" x14ac:dyDescent="0.3">
      <c r="A704" t="s">
        <v>824</v>
      </c>
      <c r="B704" t="s">
        <v>794</v>
      </c>
      <c r="C704" t="s">
        <v>71</v>
      </c>
      <c r="D704" t="s">
        <v>815</v>
      </c>
      <c r="F704" s="11">
        <v>8.5525000000000002</v>
      </c>
      <c r="G704" s="11">
        <v>53.508611000000002</v>
      </c>
      <c r="H704" s="11">
        <v>1</v>
      </c>
    </row>
    <row r="705" spans="1:8" x14ac:dyDescent="0.3">
      <c r="A705" t="s">
        <v>825</v>
      </c>
      <c r="B705" t="s">
        <v>14</v>
      </c>
      <c r="C705" t="s">
        <v>73</v>
      </c>
      <c r="D705" t="s">
        <v>815</v>
      </c>
      <c r="F705" s="11">
        <v>8.5050000000000008</v>
      </c>
      <c r="G705" s="11">
        <v>53.485556000000003</v>
      </c>
      <c r="H705" s="11">
        <v>1</v>
      </c>
    </row>
    <row r="706" spans="1:8" x14ac:dyDescent="0.3">
      <c r="A706" t="s">
        <v>826</v>
      </c>
      <c r="B706" t="s">
        <v>14</v>
      </c>
      <c r="C706" t="s">
        <v>75</v>
      </c>
      <c r="D706" t="s">
        <v>815</v>
      </c>
      <c r="F706" s="11">
        <v>8.5022219999999997</v>
      </c>
      <c r="G706" s="11">
        <v>53.442777999999997</v>
      </c>
      <c r="H706" s="11">
        <v>1</v>
      </c>
    </row>
    <row r="707" spans="1:8" x14ac:dyDescent="0.3">
      <c r="A707" t="s">
        <v>827</v>
      </c>
      <c r="B707" t="s">
        <v>794</v>
      </c>
      <c r="C707" t="s">
        <v>77</v>
      </c>
      <c r="D707" t="s">
        <v>815</v>
      </c>
      <c r="F707" s="11">
        <v>8.5030560000000008</v>
      </c>
      <c r="G707" s="11">
        <v>53.395833000000003</v>
      </c>
      <c r="H707" s="11">
        <v>1</v>
      </c>
    </row>
    <row r="708" spans="1:8" x14ac:dyDescent="0.3">
      <c r="A708" t="s">
        <v>828</v>
      </c>
      <c r="B708" t="s">
        <v>794</v>
      </c>
      <c r="C708" t="s">
        <v>79</v>
      </c>
      <c r="D708" t="s">
        <v>815</v>
      </c>
      <c r="F708" s="11">
        <v>8.5013889999999996</v>
      </c>
      <c r="G708" s="11">
        <v>53.355832999999997</v>
      </c>
      <c r="H708" s="11">
        <v>1</v>
      </c>
    </row>
    <row r="709" spans="1:8" x14ac:dyDescent="0.3">
      <c r="A709" t="s">
        <v>829</v>
      </c>
      <c r="B709" t="s">
        <v>794</v>
      </c>
      <c r="C709" t="s">
        <v>81</v>
      </c>
      <c r="D709" t="s">
        <v>815</v>
      </c>
      <c r="F709" s="11">
        <v>8.4869439999999994</v>
      </c>
      <c r="G709" s="11">
        <v>53.397221999999999</v>
      </c>
      <c r="H709" s="11">
        <v>1</v>
      </c>
    </row>
    <row r="710" spans="1:8" x14ac:dyDescent="0.3">
      <c r="A710" t="s">
        <v>830</v>
      </c>
      <c r="B710" t="s">
        <v>794</v>
      </c>
      <c r="C710" t="s">
        <v>83</v>
      </c>
      <c r="D710" t="s">
        <v>815</v>
      </c>
      <c r="F710" s="11">
        <v>8.4838889999999996</v>
      </c>
      <c r="G710" s="11">
        <v>53.444443999999997</v>
      </c>
      <c r="H710" s="11">
        <v>1</v>
      </c>
    </row>
    <row r="711" spans="1:8" x14ac:dyDescent="0.3">
      <c r="A711" t="s">
        <v>831</v>
      </c>
      <c r="B711" t="s">
        <v>11</v>
      </c>
      <c r="C711" t="s">
        <v>85</v>
      </c>
      <c r="D711" t="s">
        <v>815</v>
      </c>
      <c r="F711" s="11">
        <v>8.4944439999999997</v>
      </c>
      <c r="G711" s="11">
        <v>53.489443999999999</v>
      </c>
      <c r="H711" s="11">
        <v>1</v>
      </c>
    </row>
    <row r="712" spans="1:8" x14ac:dyDescent="0.3">
      <c r="A712" t="s">
        <v>832</v>
      </c>
      <c r="B712" t="s">
        <v>11</v>
      </c>
      <c r="C712" t="s">
        <v>87</v>
      </c>
      <c r="D712" t="s">
        <v>815</v>
      </c>
      <c r="F712" s="11">
        <v>8.5302779999999991</v>
      </c>
      <c r="G712" s="11">
        <v>53.52</v>
      </c>
      <c r="H712" s="11">
        <v>1</v>
      </c>
    </row>
    <row r="713" spans="1:8" x14ac:dyDescent="0.3">
      <c r="A713" t="s">
        <v>833</v>
      </c>
      <c r="B713" t="s">
        <v>11</v>
      </c>
      <c r="C713" t="s">
        <v>89</v>
      </c>
      <c r="D713" t="s">
        <v>815</v>
      </c>
      <c r="F713" s="11">
        <v>8.5244440000000008</v>
      </c>
      <c r="G713" s="11">
        <v>53.545555999999998</v>
      </c>
      <c r="H713" s="11">
        <v>1</v>
      </c>
    </row>
    <row r="714" spans="1:8" x14ac:dyDescent="0.3">
      <c r="A714" t="s">
        <v>834</v>
      </c>
      <c r="B714" t="s">
        <v>11</v>
      </c>
      <c r="C714" t="s">
        <v>302</v>
      </c>
      <c r="D714" t="s">
        <v>815</v>
      </c>
      <c r="F714" s="11">
        <v>8.4583329999999997</v>
      </c>
      <c r="G714" s="11">
        <v>53.558889000000001</v>
      </c>
      <c r="H714" s="11">
        <v>1</v>
      </c>
    </row>
    <row r="715" spans="1:8" x14ac:dyDescent="0.3">
      <c r="A715" t="s">
        <v>835</v>
      </c>
      <c r="B715" t="s">
        <v>11</v>
      </c>
      <c r="C715" t="s">
        <v>304</v>
      </c>
      <c r="D715" t="s">
        <v>815</v>
      </c>
      <c r="F715" s="11">
        <v>8.3947219999999998</v>
      </c>
      <c r="G715" s="11">
        <v>53.573611</v>
      </c>
      <c r="H715" s="11">
        <v>1</v>
      </c>
    </row>
    <row r="716" spans="1:8" x14ac:dyDescent="0.3">
      <c r="A716" t="s">
        <v>836</v>
      </c>
      <c r="B716" t="s">
        <v>11</v>
      </c>
      <c r="C716" t="s">
        <v>327</v>
      </c>
      <c r="D716" t="s">
        <v>815</v>
      </c>
      <c r="F716" s="11">
        <v>8.358333</v>
      </c>
      <c r="G716" s="11">
        <v>53.603332999999999</v>
      </c>
      <c r="H716" s="11">
        <v>1</v>
      </c>
    </row>
    <row r="717" spans="1:8" x14ac:dyDescent="0.3">
      <c r="A717" t="s">
        <v>837</v>
      </c>
      <c r="B717" t="s">
        <v>11</v>
      </c>
      <c r="C717" t="s">
        <v>369</v>
      </c>
      <c r="D717" t="s">
        <v>815</v>
      </c>
      <c r="F717" s="11">
        <v>8.2963889999999996</v>
      </c>
      <c r="G717" s="11">
        <v>53.616110999999997</v>
      </c>
      <c r="H717" s="11">
        <v>1</v>
      </c>
    </row>
    <row r="718" spans="1:8" x14ac:dyDescent="0.3">
      <c r="A718" t="s">
        <v>838</v>
      </c>
      <c r="B718" t="s">
        <v>11</v>
      </c>
      <c r="C718" t="s">
        <v>389</v>
      </c>
      <c r="D718" t="s">
        <v>815</v>
      </c>
      <c r="F718" s="11">
        <v>8.25</v>
      </c>
      <c r="G718" s="11">
        <v>53.592500000000001</v>
      </c>
      <c r="H718" s="11">
        <v>1</v>
      </c>
    </row>
    <row r="719" spans="1:8" x14ac:dyDescent="0.3">
      <c r="A719" t="s">
        <v>839</v>
      </c>
      <c r="B719" t="s">
        <v>11</v>
      </c>
      <c r="C719" t="s">
        <v>407</v>
      </c>
      <c r="D719" t="s">
        <v>815</v>
      </c>
      <c r="F719" s="11">
        <v>8.2355560000000008</v>
      </c>
      <c r="G719" s="11">
        <v>53.547778000000001</v>
      </c>
      <c r="H719" s="11">
        <v>1</v>
      </c>
    </row>
    <row r="720" spans="1:8" x14ac:dyDescent="0.3">
      <c r="A720" t="s">
        <v>840</v>
      </c>
      <c r="B720" t="s">
        <v>36</v>
      </c>
      <c r="C720" t="s">
        <v>51</v>
      </c>
      <c r="D720" t="s">
        <v>841</v>
      </c>
      <c r="F720" s="11">
        <v>8.2636109999999992</v>
      </c>
      <c r="G720" s="11">
        <v>53.519722000000002</v>
      </c>
      <c r="H720" s="11">
        <v>1</v>
      </c>
    </row>
    <row r="721" spans="1:8" x14ac:dyDescent="0.3">
      <c r="A721" t="s">
        <v>842</v>
      </c>
      <c r="B721" t="s">
        <v>36</v>
      </c>
      <c r="C721" t="s">
        <v>54</v>
      </c>
      <c r="D721" t="s">
        <v>841</v>
      </c>
      <c r="F721" s="11">
        <v>8.3197220000000005</v>
      </c>
      <c r="G721" s="11">
        <v>53.515278000000002</v>
      </c>
      <c r="H721" s="11">
        <v>1</v>
      </c>
    </row>
    <row r="722" spans="1:8" x14ac:dyDescent="0.3">
      <c r="A722" t="s">
        <v>843</v>
      </c>
      <c r="B722" t="s">
        <v>36</v>
      </c>
      <c r="C722" t="s">
        <v>56</v>
      </c>
      <c r="D722" t="s">
        <v>841</v>
      </c>
      <c r="F722" s="11">
        <v>8.3149999999999995</v>
      </c>
      <c r="G722" s="11">
        <v>53.466110999999998</v>
      </c>
      <c r="H722" s="11">
        <v>1</v>
      </c>
    </row>
    <row r="723" spans="1:8" x14ac:dyDescent="0.3">
      <c r="A723" t="s">
        <v>844</v>
      </c>
      <c r="B723" t="s">
        <v>36</v>
      </c>
      <c r="C723" t="s">
        <v>58</v>
      </c>
      <c r="D723" t="s">
        <v>841</v>
      </c>
      <c r="F723" s="11">
        <v>8.2927780000000002</v>
      </c>
      <c r="G723" s="11">
        <v>53.427222</v>
      </c>
      <c r="H723" s="11">
        <v>1</v>
      </c>
    </row>
    <row r="724" spans="1:8" x14ac:dyDescent="0.3">
      <c r="A724" t="s">
        <v>845</v>
      </c>
      <c r="B724" t="s">
        <v>36</v>
      </c>
      <c r="C724" t="s">
        <v>60</v>
      </c>
      <c r="D724" t="s">
        <v>841</v>
      </c>
      <c r="F724" s="11">
        <v>8.2483330000000006</v>
      </c>
      <c r="G724" s="11">
        <v>53.402222000000002</v>
      </c>
      <c r="H724" s="11">
        <v>1</v>
      </c>
    </row>
    <row r="725" spans="1:8" x14ac:dyDescent="0.3">
      <c r="A725" t="s">
        <v>846</v>
      </c>
      <c r="B725" t="s">
        <v>794</v>
      </c>
      <c r="C725" t="s">
        <v>62</v>
      </c>
      <c r="D725" t="s">
        <v>841</v>
      </c>
      <c r="F725" s="11">
        <v>8.1913889999999991</v>
      </c>
      <c r="G725" s="11">
        <v>53.416389000000002</v>
      </c>
      <c r="H725" s="11">
        <v>1</v>
      </c>
    </row>
    <row r="726" spans="1:8" x14ac:dyDescent="0.3">
      <c r="A726" t="s">
        <v>847</v>
      </c>
      <c r="B726" t="s">
        <v>794</v>
      </c>
      <c r="C726" t="s">
        <v>64</v>
      </c>
      <c r="D726" t="s">
        <v>841</v>
      </c>
      <c r="F726" s="11">
        <v>8.1561109999999992</v>
      </c>
      <c r="G726" s="11">
        <v>53.446666999999998</v>
      </c>
      <c r="H726" s="11">
        <v>1</v>
      </c>
    </row>
    <row r="727" spans="1:8" x14ac:dyDescent="0.3">
      <c r="A727" t="s">
        <v>848</v>
      </c>
      <c r="B727" t="s">
        <v>794</v>
      </c>
      <c r="C727" t="s">
        <v>66</v>
      </c>
      <c r="D727" t="s">
        <v>841</v>
      </c>
      <c r="F727" s="11">
        <v>8.1052780000000002</v>
      </c>
      <c r="G727" s="11">
        <v>53.438611000000002</v>
      </c>
      <c r="H727" s="11">
        <v>1</v>
      </c>
    </row>
    <row r="728" spans="1:8" x14ac:dyDescent="0.3">
      <c r="A728" t="s">
        <v>849</v>
      </c>
      <c r="B728" t="s">
        <v>794</v>
      </c>
      <c r="C728" t="s">
        <v>68</v>
      </c>
      <c r="D728" t="s">
        <v>841</v>
      </c>
      <c r="F728" s="11">
        <v>8.0744439999999997</v>
      </c>
      <c r="G728" s="11">
        <v>53.464722000000002</v>
      </c>
      <c r="H728" s="11">
        <v>1</v>
      </c>
    </row>
    <row r="729" spans="1:8" x14ac:dyDescent="0.3">
      <c r="A729" t="s">
        <v>850</v>
      </c>
      <c r="B729" t="s">
        <v>794</v>
      </c>
      <c r="C729" t="s">
        <v>71</v>
      </c>
      <c r="D729" t="s">
        <v>841</v>
      </c>
      <c r="F729" s="11">
        <v>8.0683330000000009</v>
      </c>
      <c r="G729" s="11">
        <v>53.503056000000001</v>
      </c>
      <c r="H729" s="11">
        <v>1</v>
      </c>
    </row>
    <row r="730" spans="1:8" x14ac:dyDescent="0.3">
      <c r="A730" t="s">
        <v>851</v>
      </c>
      <c r="B730" t="s">
        <v>14</v>
      </c>
      <c r="C730" t="s">
        <v>73</v>
      </c>
      <c r="D730" t="s">
        <v>841</v>
      </c>
      <c r="F730" s="11">
        <v>8.1352779999999996</v>
      </c>
      <c r="G730" s="11">
        <v>53.511389000000001</v>
      </c>
      <c r="H730" s="11">
        <v>1</v>
      </c>
    </row>
    <row r="731" spans="1:8" x14ac:dyDescent="0.3">
      <c r="A731" t="s">
        <v>852</v>
      </c>
      <c r="B731" t="s">
        <v>14</v>
      </c>
      <c r="C731" t="s">
        <v>75</v>
      </c>
      <c r="D731" t="s">
        <v>841</v>
      </c>
      <c r="F731" s="11">
        <v>8.1544439999999998</v>
      </c>
      <c r="G731" s="11">
        <v>53.519722000000002</v>
      </c>
      <c r="H731" s="11">
        <v>1</v>
      </c>
    </row>
    <row r="732" spans="1:8" x14ac:dyDescent="0.3">
      <c r="A732" t="s">
        <v>853</v>
      </c>
      <c r="B732" t="s">
        <v>794</v>
      </c>
      <c r="C732" t="s">
        <v>77</v>
      </c>
      <c r="D732" t="s">
        <v>841</v>
      </c>
      <c r="F732" s="11">
        <v>8.1633329999999997</v>
      </c>
      <c r="G732" s="11">
        <v>53.555</v>
      </c>
      <c r="H732" s="11">
        <v>1</v>
      </c>
    </row>
    <row r="733" spans="1:8" x14ac:dyDescent="0.3">
      <c r="A733" t="s">
        <v>854</v>
      </c>
      <c r="B733" t="s">
        <v>794</v>
      </c>
      <c r="C733" t="s">
        <v>79</v>
      </c>
      <c r="D733" t="s">
        <v>841</v>
      </c>
      <c r="F733" s="11">
        <v>8.1199999999999992</v>
      </c>
      <c r="G733" s="11">
        <v>53.568610999999997</v>
      </c>
      <c r="H733" s="11">
        <v>1</v>
      </c>
    </row>
    <row r="734" spans="1:8" x14ac:dyDescent="0.3">
      <c r="A734" t="s">
        <v>855</v>
      </c>
      <c r="B734" t="s">
        <v>794</v>
      </c>
      <c r="C734" t="s">
        <v>81</v>
      </c>
      <c r="D734" t="s">
        <v>841</v>
      </c>
      <c r="F734" s="11">
        <v>8.0997219999999999</v>
      </c>
      <c r="G734" s="11">
        <v>53.599722</v>
      </c>
      <c r="H734" s="11">
        <v>1</v>
      </c>
    </row>
    <row r="735" spans="1:8" x14ac:dyDescent="0.3">
      <c r="A735" t="s">
        <v>856</v>
      </c>
      <c r="B735" t="s">
        <v>794</v>
      </c>
      <c r="C735" t="s">
        <v>83</v>
      </c>
      <c r="D735" t="s">
        <v>841</v>
      </c>
      <c r="F735" s="11">
        <v>8.0580560000000006</v>
      </c>
      <c r="G735" s="11">
        <v>53.626389000000003</v>
      </c>
      <c r="H735" s="11">
        <v>1</v>
      </c>
    </row>
    <row r="736" spans="1:8" x14ac:dyDescent="0.3">
      <c r="A736" t="s">
        <v>857</v>
      </c>
      <c r="B736" t="s">
        <v>11</v>
      </c>
      <c r="C736" t="s">
        <v>85</v>
      </c>
      <c r="D736" t="s">
        <v>841</v>
      </c>
      <c r="F736" s="11">
        <v>8.0311109999999992</v>
      </c>
      <c r="G736" s="11">
        <v>53.661110999999998</v>
      </c>
      <c r="H736" s="11">
        <v>1</v>
      </c>
    </row>
    <row r="737" spans="1:8" x14ac:dyDescent="0.3">
      <c r="A737" t="s">
        <v>858</v>
      </c>
      <c r="B737" t="s">
        <v>11</v>
      </c>
      <c r="C737" t="s">
        <v>87</v>
      </c>
      <c r="D737" t="s">
        <v>841</v>
      </c>
      <c r="F737" s="11">
        <v>8.0286109999999997</v>
      </c>
      <c r="G737" s="11">
        <v>53.701388999999999</v>
      </c>
      <c r="H737" s="11">
        <v>1</v>
      </c>
    </row>
    <row r="738" spans="1:8" x14ac:dyDescent="0.3">
      <c r="A738" t="s">
        <v>859</v>
      </c>
      <c r="B738" t="s">
        <v>11</v>
      </c>
      <c r="C738" t="s">
        <v>89</v>
      </c>
      <c r="D738" t="s">
        <v>841</v>
      </c>
      <c r="F738" s="11">
        <v>7.9658329999999999</v>
      </c>
      <c r="G738" s="11">
        <v>53.716667000000001</v>
      </c>
      <c r="H738" s="11">
        <v>1</v>
      </c>
    </row>
    <row r="739" spans="1:8" x14ac:dyDescent="0.3">
      <c r="A739" t="s">
        <v>860</v>
      </c>
      <c r="B739" t="s">
        <v>11</v>
      </c>
      <c r="C739" t="s">
        <v>302</v>
      </c>
      <c r="D739" t="s">
        <v>841</v>
      </c>
      <c r="F739" s="11">
        <v>7.887778</v>
      </c>
      <c r="G739" s="11">
        <v>53.717778000000003</v>
      </c>
      <c r="H739" s="11">
        <v>1</v>
      </c>
    </row>
    <row r="740" spans="1:8" x14ac:dyDescent="0.3">
      <c r="A740" t="s">
        <v>861</v>
      </c>
      <c r="B740" t="s">
        <v>11</v>
      </c>
      <c r="C740" t="s">
        <v>304</v>
      </c>
      <c r="D740" t="s">
        <v>841</v>
      </c>
      <c r="F740" s="11">
        <v>7.816389</v>
      </c>
      <c r="G740" s="11">
        <v>53.709443999999998</v>
      </c>
      <c r="H740" s="11">
        <v>1</v>
      </c>
    </row>
    <row r="741" spans="1:8" x14ac:dyDescent="0.3">
      <c r="A741" t="s">
        <v>862</v>
      </c>
      <c r="B741" t="s">
        <v>11</v>
      </c>
      <c r="C741" t="s">
        <v>327</v>
      </c>
      <c r="D741" t="s">
        <v>841</v>
      </c>
      <c r="F741" s="11">
        <v>7.7480560000000001</v>
      </c>
      <c r="G741" s="11">
        <v>53.699722000000001</v>
      </c>
      <c r="H741" s="11">
        <v>1</v>
      </c>
    </row>
    <row r="742" spans="1:8" x14ac:dyDescent="0.3">
      <c r="A742" t="s">
        <v>863</v>
      </c>
      <c r="B742" t="s">
        <v>11</v>
      </c>
      <c r="C742" t="s">
        <v>369</v>
      </c>
      <c r="D742" t="s">
        <v>841</v>
      </c>
      <c r="F742" s="11">
        <v>7.670833</v>
      </c>
      <c r="G742" s="11">
        <v>53.696389000000003</v>
      </c>
      <c r="H742" s="11">
        <v>1</v>
      </c>
    </row>
    <row r="743" spans="1:8" x14ac:dyDescent="0.3">
      <c r="A743" t="s">
        <v>864</v>
      </c>
      <c r="B743" t="s">
        <v>11</v>
      </c>
      <c r="C743" t="s">
        <v>389</v>
      </c>
      <c r="D743" t="s">
        <v>841</v>
      </c>
      <c r="F743" s="11">
        <v>7.6041670000000003</v>
      </c>
      <c r="G743" s="11">
        <v>53.685277999999997</v>
      </c>
      <c r="H743" s="11">
        <v>1</v>
      </c>
    </row>
    <row r="744" spans="1:8" x14ac:dyDescent="0.3">
      <c r="A744" t="s">
        <v>865</v>
      </c>
      <c r="B744" t="s">
        <v>11</v>
      </c>
      <c r="C744" t="s">
        <v>407</v>
      </c>
      <c r="D744" t="s">
        <v>841</v>
      </c>
      <c r="F744" s="11">
        <v>7.5355559999999997</v>
      </c>
      <c r="G744" s="11">
        <v>53.675277999999999</v>
      </c>
      <c r="H744" s="11">
        <v>1</v>
      </c>
    </row>
    <row r="745" spans="1:8" x14ac:dyDescent="0.3">
      <c r="A745" t="s">
        <v>866</v>
      </c>
      <c r="B745" t="s">
        <v>36</v>
      </c>
      <c r="C745" t="s">
        <v>51</v>
      </c>
      <c r="D745" t="s">
        <v>867</v>
      </c>
      <c r="F745" s="11">
        <v>7.476667</v>
      </c>
      <c r="G745" s="11">
        <v>53.685277999999997</v>
      </c>
      <c r="H745" s="11">
        <v>1</v>
      </c>
    </row>
    <row r="746" spans="1:8" x14ac:dyDescent="0.3">
      <c r="A746" t="s">
        <v>868</v>
      </c>
      <c r="B746" t="s">
        <v>36</v>
      </c>
      <c r="C746" t="s">
        <v>54</v>
      </c>
      <c r="D746" t="s">
        <v>867</v>
      </c>
      <c r="F746" s="11">
        <v>7.3966669999999999</v>
      </c>
      <c r="G746" s="11">
        <v>53.686110999999997</v>
      </c>
      <c r="H746" s="11">
        <v>1</v>
      </c>
    </row>
    <row r="747" spans="1:8" x14ac:dyDescent="0.3">
      <c r="A747" t="s">
        <v>869</v>
      </c>
      <c r="B747" t="s">
        <v>36</v>
      </c>
      <c r="C747" t="s">
        <v>56</v>
      </c>
      <c r="D747" t="s">
        <v>867</v>
      </c>
      <c r="F747" s="11">
        <v>7.3161110000000003</v>
      </c>
      <c r="G747" s="11">
        <v>53.686667</v>
      </c>
      <c r="H747" s="11">
        <v>1</v>
      </c>
    </row>
    <row r="748" spans="1:8" x14ac:dyDescent="0.3">
      <c r="A748" t="s">
        <v>870</v>
      </c>
      <c r="B748" t="s">
        <v>36</v>
      </c>
      <c r="C748" t="s">
        <v>58</v>
      </c>
      <c r="D748" t="s">
        <v>867</v>
      </c>
      <c r="F748" s="11">
        <v>7.2525000000000004</v>
      </c>
      <c r="G748" s="11">
        <v>53.673889000000003</v>
      </c>
      <c r="H748" s="11">
        <v>1</v>
      </c>
    </row>
    <row r="749" spans="1:8" x14ac:dyDescent="0.3">
      <c r="A749" t="s">
        <v>871</v>
      </c>
      <c r="B749" t="s">
        <v>36</v>
      </c>
      <c r="C749" t="s">
        <v>60</v>
      </c>
      <c r="D749" t="s">
        <v>867</v>
      </c>
      <c r="F749" s="11">
        <v>7.2061109999999999</v>
      </c>
      <c r="G749" s="11">
        <v>53.65</v>
      </c>
      <c r="H749" s="11">
        <v>1</v>
      </c>
    </row>
    <row r="750" spans="1:8" x14ac:dyDescent="0.3">
      <c r="A750" t="s">
        <v>872</v>
      </c>
      <c r="B750" t="s">
        <v>794</v>
      </c>
      <c r="C750" t="s">
        <v>62</v>
      </c>
      <c r="D750" t="s">
        <v>867</v>
      </c>
      <c r="F750" s="11">
        <v>7.1619440000000001</v>
      </c>
      <c r="G750" s="11">
        <v>53.624721999999998</v>
      </c>
      <c r="H750" s="11">
        <v>1</v>
      </c>
    </row>
    <row r="751" spans="1:8" x14ac:dyDescent="0.3">
      <c r="A751" t="s">
        <v>873</v>
      </c>
      <c r="B751" t="s">
        <v>794</v>
      </c>
      <c r="C751" t="s">
        <v>64</v>
      </c>
      <c r="D751" t="s">
        <v>867</v>
      </c>
      <c r="F751" s="11">
        <v>7.1166669999999996</v>
      </c>
      <c r="G751" s="11">
        <v>53.6</v>
      </c>
      <c r="H751" s="11">
        <v>1</v>
      </c>
    </row>
    <row r="752" spans="1:8" x14ac:dyDescent="0.3">
      <c r="A752" t="s">
        <v>874</v>
      </c>
      <c r="B752" t="s">
        <v>794</v>
      </c>
      <c r="C752" t="s">
        <v>66</v>
      </c>
      <c r="D752" t="s">
        <v>867</v>
      </c>
      <c r="F752" s="11">
        <v>7.0908329999999999</v>
      </c>
      <c r="G752" s="11">
        <v>53.568888999999999</v>
      </c>
      <c r="H752" s="11">
        <v>1</v>
      </c>
    </row>
    <row r="753" spans="1:8" x14ac:dyDescent="0.3">
      <c r="A753" t="s">
        <v>875</v>
      </c>
      <c r="B753" t="s">
        <v>794</v>
      </c>
      <c r="C753" t="s">
        <v>68</v>
      </c>
      <c r="D753" t="s">
        <v>867</v>
      </c>
      <c r="F753" s="11">
        <v>7.1388889999999998</v>
      </c>
      <c r="G753" s="11">
        <v>53.545833000000002</v>
      </c>
      <c r="H753" s="11">
        <v>1</v>
      </c>
    </row>
    <row r="754" spans="1:8" x14ac:dyDescent="0.3">
      <c r="A754" t="s">
        <v>876</v>
      </c>
      <c r="B754" t="s">
        <v>794</v>
      </c>
      <c r="C754" t="s">
        <v>71</v>
      </c>
      <c r="D754" t="s">
        <v>867</v>
      </c>
      <c r="F754" s="11">
        <v>7.1136109999999997</v>
      </c>
      <c r="G754" s="11">
        <v>53.522221999999999</v>
      </c>
      <c r="H754" s="11">
        <v>1</v>
      </c>
    </row>
    <row r="755" spans="1:8" x14ac:dyDescent="0.3">
      <c r="A755" t="s">
        <v>877</v>
      </c>
      <c r="B755" t="s">
        <v>794</v>
      </c>
      <c r="C755" t="s">
        <v>73</v>
      </c>
      <c r="D755" t="s">
        <v>867</v>
      </c>
      <c r="F755" s="11">
        <v>7.0883330000000004</v>
      </c>
      <c r="G755" s="11">
        <v>53.515555999999997</v>
      </c>
      <c r="H755" s="11">
        <v>1</v>
      </c>
    </row>
    <row r="756" spans="1:8" x14ac:dyDescent="0.3">
      <c r="A756" t="s">
        <v>878</v>
      </c>
      <c r="B756" t="s">
        <v>794</v>
      </c>
      <c r="C756" t="s">
        <v>75</v>
      </c>
      <c r="D756" t="s">
        <v>867</v>
      </c>
      <c r="F756" s="11">
        <v>7.0455560000000004</v>
      </c>
      <c r="G756" s="11">
        <v>53.498610999999997</v>
      </c>
      <c r="H756" s="11">
        <v>1</v>
      </c>
    </row>
    <row r="757" spans="1:8" x14ac:dyDescent="0.3">
      <c r="A757" t="s">
        <v>879</v>
      </c>
      <c r="B757" t="s">
        <v>794</v>
      </c>
      <c r="C757" t="s">
        <v>77</v>
      </c>
      <c r="D757" t="s">
        <v>867</v>
      </c>
      <c r="F757" s="11">
        <v>7.0277779999999996</v>
      </c>
      <c r="G757" s="11">
        <v>53.456389000000001</v>
      </c>
      <c r="H757" s="11">
        <v>1</v>
      </c>
    </row>
    <row r="758" spans="1:8" x14ac:dyDescent="0.3">
      <c r="A758" t="s">
        <v>880</v>
      </c>
      <c r="B758" t="s">
        <v>794</v>
      </c>
      <c r="C758" t="s">
        <v>81</v>
      </c>
      <c r="D758" t="s">
        <v>867</v>
      </c>
      <c r="F758" s="11">
        <v>7.0155560000000001</v>
      </c>
      <c r="G758" s="11">
        <v>53.411389</v>
      </c>
      <c r="H758" s="11">
        <v>1</v>
      </c>
    </row>
    <row r="759" spans="1:8" x14ac:dyDescent="0.3">
      <c r="A759" t="s">
        <v>881</v>
      </c>
      <c r="B759" t="s">
        <v>794</v>
      </c>
      <c r="C759" t="s">
        <v>83</v>
      </c>
      <c r="D759" t="s">
        <v>867</v>
      </c>
      <c r="F759" s="11">
        <v>7.0225</v>
      </c>
      <c r="G759" s="11">
        <v>53.3675</v>
      </c>
      <c r="H759" s="11">
        <v>1</v>
      </c>
    </row>
    <row r="760" spans="1:8" x14ac:dyDescent="0.3">
      <c r="A760" t="s">
        <v>882</v>
      </c>
      <c r="B760" t="s">
        <v>11</v>
      </c>
      <c r="C760" t="s">
        <v>85</v>
      </c>
      <c r="D760" t="s">
        <v>867</v>
      </c>
      <c r="F760" s="11">
        <v>7.0580559999999997</v>
      </c>
      <c r="G760" s="11">
        <v>53.337221999999997</v>
      </c>
      <c r="H760" s="11">
        <v>1</v>
      </c>
    </row>
    <row r="761" spans="1:8" x14ac:dyDescent="0.3">
      <c r="A761" t="s">
        <v>883</v>
      </c>
      <c r="B761" t="s">
        <v>11</v>
      </c>
      <c r="C761" t="s">
        <v>87</v>
      </c>
      <c r="D761" t="s">
        <v>867</v>
      </c>
      <c r="F761" s="11">
        <v>7.1322219999999996</v>
      </c>
      <c r="G761" s="11">
        <v>53.339722000000002</v>
      </c>
      <c r="H761" s="11">
        <v>1</v>
      </c>
    </row>
    <row r="762" spans="1:8" x14ac:dyDescent="0.3">
      <c r="A762" t="s">
        <v>884</v>
      </c>
      <c r="B762" t="s">
        <v>11</v>
      </c>
      <c r="C762" t="s">
        <v>89</v>
      </c>
      <c r="D762" t="s">
        <v>867</v>
      </c>
      <c r="F762" s="11">
        <v>7.2</v>
      </c>
      <c r="G762" s="11">
        <v>53.338056000000002</v>
      </c>
      <c r="H762" s="11">
        <v>1</v>
      </c>
    </row>
    <row r="763" spans="1:8" x14ac:dyDescent="0.3">
      <c r="A763" t="s">
        <v>885</v>
      </c>
      <c r="B763" t="s">
        <v>11</v>
      </c>
      <c r="C763" t="s">
        <v>302</v>
      </c>
      <c r="D763" t="s">
        <v>867</v>
      </c>
      <c r="F763" s="11">
        <v>7.2688889999999997</v>
      </c>
      <c r="G763" s="11">
        <v>53.326667</v>
      </c>
      <c r="H763" s="11">
        <v>1</v>
      </c>
    </row>
    <row r="764" spans="1:8" x14ac:dyDescent="0.3">
      <c r="A764" t="s">
        <v>886</v>
      </c>
      <c r="B764" t="s">
        <v>11</v>
      </c>
      <c r="C764" t="s">
        <v>304</v>
      </c>
      <c r="D764" t="s">
        <v>867</v>
      </c>
      <c r="F764" s="11">
        <v>7.3449999999999998</v>
      </c>
      <c r="G764" s="11">
        <v>53.320833</v>
      </c>
      <c r="H764" s="11">
        <v>1</v>
      </c>
    </row>
    <row r="765" spans="1:8" x14ac:dyDescent="0.3">
      <c r="A765" t="s">
        <v>887</v>
      </c>
      <c r="B765" t="s">
        <v>11</v>
      </c>
      <c r="C765" t="s">
        <v>327</v>
      </c>
      <c r="D765" t="s">
        <v>867</v>
      </c>
      <c r="F765" s="11">
        <v>7.3463890000000003</v>
      </c>
      <c r="G765" s="11">
        <v>53.305556000000003</v>
      </c>
      <c r="H765" s="11">
        <v>1</v>
      </c>
    </row>
    <row r="766" spans="1:8" x14ac:dyDescent="0.3">
      <c r="A766" t="s">
        <v>888</v>
      </c>
      <c r="B766" t="s">
        <v>11</v>
      </c>
      <c r="C766" t="s">
        <v>369</v>
      </c>
      <c r="D766" t="s">
        <v>867</v>
      </c>
      <c r="F766" s="11">
        <v>7.2827780000000004</v>
      </c>
      <c r="G766" s="11">
        <v>53.318610999999997</v>
      </c>
      <c r="H766" s="11">
        <v>1</v>
      </c>
    </row>
    <row r="767" spans="1:8" x14ac:dyDescent="0.3">
      <c r="A767" t="s">
        <v>889</v>
      </c>
      <c r="B767" t="s">
        <v>11</v>
      </c>
      <c r="C767" t="s">
        <v>389</v>
      </c>
      <c r="D767" t="s">
        <v>867</v>
      </c>
      <c r="F767" s="11">
        <v>7.2338889999999996</v>
      </c>
      <c r="G767" s="11">
        <v>53.297221999999998</v>
      </c>
      <c r="H767" s="11">
        <v>1</v>
      </c>
    </row>
    <row r="768" spans="1:8" x14ac:dyDescent="0.3">
      <c r="A768" t="s">
        <v>890</v>
      </c>
      <c r="B768" t="s">
        <v>11</v>
      </c>
      <c r="C768" t="s">
        <v>407</v>
      </c>
      <c r="D768" t="s">
        <v>891</v>
      </c>
      <c r="F768" s="11">
        <v>7.2255560000000001</v>
      </c>
      <c r="G768" s="11">
        <v>53.256110999999997</v>
      </c>
      <c r="H768" s="11">
        <v>1</v>
      </c>
    </row>
    <row r="769" spans="1:8" x14ac:dyDescent="0.3">
      <c r="A769" t="s">
        <v>892</v>
      </c>
      <c r="B769" t="s">
        <v>893</v>
      </c>
      <c r="C769" t="s">
        <v>51</v>
      </c>
      <c r="D769" t="s">
        <v>894</v>
      </c>
      <c r="F769" s="11">
        <v>7.1744440000000003</v>
      </c>
      <c r="G769" s="11">
        <v>53.244722000000003</v>
      </c>
      <c r="H769" s="11">
        <v>1</v>
      </c>
    </row>
    <row r="770" spans="1:8" x14ac:dyDescent="0.3">
      <c r="A770" t="s">
        <v>895</v>
      </c>
      <c r="B770" t="s">
        <v>893</v>
      </c>
      <c r="C770" t="s">
        <v>54</v>
      </c>
      <c r="D770" t="s">
        <v>894</v>
      </c>
      <c r="F770" s="11">
        <v>7.1061110000000003</v>
      </c>
      <c r="G770" s="11">
        <v>53.253332999999998</v>
      </c>
      <c r="H770" s="11">
        <v>1</v>
      </c>
    </row>
    <row r="771" spans="1:8" x14ac:dyDescent="0.3">
      <c r="A771" t="s">
        <v>896</v>
      </c>
      <c r="B771" t="s">
        <v>893</v>
      </c>
      <c r="C771" t="s">
        <v>56</v>
      </c>
      <c r="D771" t="s">
        <v>894</v>
      </c>
      <c r="F771" s="11">
        <v>7.0750000000000002</v>
      </c>
      <c r="G771" s="11">
        <v>53.285277999999998</v>
      </c>
      <c r="H771" s="11">
        <v>1</v>
      </c>
    </row>
    <row r="772" spans="1:8" x14ac:dyDescent="0.3">
      <c r="A772" t="s">
        <v>897</v>
      </c>
      <c r="B772" t="s">
        <v>893</v>
      </c>
      <c r="C772" t="s">
        <v>58</v>
      </c>
      <c r="D772" t="s">
        <v>894</v>
      </c>
      <c r="F772" s="11">
        <v>7.0658329999999996</v>
      </c>
      <c r="G772" s="11">
        <v>53.298889000000003</v>
      </c>
      <c r="H772" s="11">
        <v>1</v>
      </c>
    </row>
    <row r="773" spans="1:8" x14ac:dyDescent="0.3">
      <c r="A773" t="s">
        <v>898</v>
      </c>
      <c r="B773" t="s">
        <v>893</v>
      </c>
      <c r="C773" t="s">
        <v>60</v>
      </c>
      <c r="D773" t="s">
        <v>894</v>
      </c>
      <c r="F773" s="11">
        <v>7.0022219999999997</v>
      </c>
      <c r="G773" s="11">
        <v>53.31</v>
      </c>
      <c r="H773" s="11">
        <v>1</v>
      </c>
    </row>
    <row r="774" spans="1:8" x14ac:dyDescent="0.3">
      <c r="A774" t="s">
        <v>899</v>
      </c>
      <c r="B774" t="s">
        <v>794</v>
      </c>
      <c r="C774" t="s">
        <v>62</v>
      </c>
      <c r="D774" t="s">
        <v>894</v>
      </c>
      <c r="F774" s="11">
        <v>6.9397219999999997</v>
      </c>
      <c r="G774" s="11">
        <v>53.324722000000001</v>
      </c>
      <c r="H774" s="11">
        <v>1</v>
      </c>
    </row>
    <row r="775" spans="1:8" x14ac:dyDescent="0.3">
      <c r="A775" t="s">
        <v>900</v>
      </c>
      <c r="B775" t="s">
        <v>794</v>
      </c>
      <c r="C775" t="s">
        <v>64</v>
      </c>
      <c r="D775" t="s">
        <v>894</v>
      </c>
      <c r="F775" s="11">
        <v>6.9011110000000002</v>
      </c>
      <c r="G775" s="11">
        <v>53.352499999999999</v>
      </c>
      <c r="H775" s="11">
        <v>1</v>
      </c>
    </row>
    <row r="776" spans="1:8" x14ac:dyDescent="0.3">
      <c r="A776" t="s">
        <v>901</v>
      </c>
      <c r="B776" t="s">
        <v>794</v>
      </c>
      <c r="C776" t="s">
        <v>66</v>
      </c>
      <c r="D776" t="s">
        <v>894</v>
      </c>
      <c r="F776" s="11">
        <v>6.8869439999999997</v>
      </c>
      <c r="G776" s="11">
        <v>53.394722000000002</v>
      </c>
      <c r="H776" s="11">
        <v>1</v>
      </c>
    </row>
    <row r="777" spans="1:8" x14ac:dyDescent="0.3">
      <c r="A777" t="s">
        <v>902</v>
      </c>
      <c r="B777" t="s">
        <v>794</v>
      </c>
      <c r="C777" t="s">
        <v>68</v>
      </c>
      <c r="D777" t="s">
        <v>894</v>
      </c>
      <c r="F777" s="11">
        <v>6.869167</v>
      </c>
      <c r="G777" s="11">
        <v>53.433889000000001</v>
      </c>
      <c r="H777" s="11">
        <v>1</v>
      </c>
    </row>
    <row r="778" spans="1:8" x14ac:dyDescent="0.3">
      <c r="A778" t="s">
        <v>903</v>
      </c>
      <c r="B778" t="s">
        <v>794</v>
      </c>
      <c r="C778" t="s">
        <v>71</v>
      </c>
      <c r="D778" t="s">
        <v>894</v>
      </c>
      <c r="F778" s="11">
        <v>6.8063890000000002</v>
      </c>
      <c r="G778" s="11">
        <v>53.448611</v>
      </c>
      <c r="H778" s="11">
        <v>1</v>
      </c>
    </row>
    <row r="779" spans="1:8" x14ac:dyDescent="0.3">
      <c r="A779" t="s">
        <v>904</v>
      </c>
      <c r="B779" t="s">
        <v>794</v>
      </c>
      <c r="C779" t="s">
        <v>73</v>
      </c>
      <c r="D779" t="s">
        <v>894</v>
      </c>
      <c r="F779" s="11">
        <v>6.7466670000000004</v>
      </c>
      <c r="G779" s="11">
        <v>53.465000000000003</v>
      </c>
      <c r="H779" s="11">
        <v>1</v>
      </c>
    </row>
    <row r="780" spans="1:8" x14ac:dyDescent="0.3">
      <c r="A780" t="s">
        <v>905</v>
      </c>
      <c r="B780" t="s">
        <v>794</v>
      </c>
      <c r="C780" t="s">
        <v>75</v>
      </c>
      <c r="D780" t="s">
        <v>894</v>
      </c>
      <c r="F780" s="11">
        <v>6.6761109999999997</v>
      </c>
      <c r="G780" s="11">
        <v>53.457777999999998</v>
      </c>
      <c r="H780" s="11">
        <v>1</v>
      </c>
    </row>
    <row r="781" spans="1:8" x14ac:dyDescent="0.3">
      <c r="A781" t="s">
        <v>906</v>
      </c>
      <c r="B781" t="s">
        <v>794</v>
      </c>
      <c r="C781" t="s">
        <v>81</v>
      </c>
      <c r="D781" t="s">
        <v>894</v>
      </c>
      <c r="F781" s="11">
        <v>6.612222</v>
      </c>
      <c r="G781" s="11">
        <v>53.444443999999997</v>
      </c>
      <c r="H781" s="11">
        <v>1</v>
      </c>
    </row>
    <row r="782" spans="1:8" x14ac:dyDescent="0.3">
      <c r="A782" t="s">
        <v>907</v>
      </c>
      <c r="B782" t="s">
        <v>794</v>
      </c>
      <c r="C782" t="s">
        <v>83</v>
      </c>
      <c r="D782" t="s">
        <v>894</v>
      </c>
      <c r="F782" s="11">
        <v>6.5444440000000004</v>
      </c>
      <c r="G782" s="11">
        <v>53.434722000000001</v>
      </c>
      <c r="H782" s="11">
        <v>1</v>
      </c>
    </row>
    <row r="783" spans="1:8" x14ac:dyDescent="0.3">
      <c r="A783" t="s">
        <v>908</v>
      </c>
      <c r="B783" t="s">
        <v>909</v>
      </c>
      <c r="C783" t="s">
        <v>85</v>
      </c>
      <c r="D783" t="s">
        <v>894</v>
      </c>
      <c r="F783" s="11">
        <v>6.4733330000000002</v>
      </c>
      <c r="G783" s="11">
        <v>53.426389</v>
      </c>
      <c r="H783" s="11">
        <v>1</v>
      </c>
    </row>
    <row r="784" spans="1:8" x14ac:dyDescent="0.3">
      <c r="A784" t="s">
        <v>910</v>
      </c>
      <c r="B784" t="s">
        <v>909</v>
      </c>
      <c r="C784" t="s">
        <v>87</v>
      </c>
      <c r="D784" t="s">
        <v>894</v>
      </c>
      <c r="F784" s="11">
        <v>6.4027779999999996</v>
      </c>
      <c r="G784" s="11">
        <v>53.417499999999997</v>
      </c>
      <c r="H784" s="11">
        <v>1</v>
      </c>
    </row>
    <row r="785" spans="1:8" x14ac:dyDescent="0.3">
      <c r="A785" t="s">
        <v>911</v>
      </c>
      <c r="B785" t="s">
        <v>909</v>
      </c>
      <c r="C785" t="s">
        <v>89</v>
      </c>
      <c r="D785" t="s">
        <v>894</v>
      </c>
      <c r="F785" s="11">
        <v>6.3391669999999998</v>
      </c>
      <c r="G785" s="11">
        <v>53.404722</v>
      </c>
      <c r="H785" s="11">
        <v>1</v>
      </c>
    </row>
    <row r="786" spans="1:8" x14ac:dyDescent="0.3">
      <c r="A786" t="s">
        <v>912</v>
      </c>
      <c r="B786" t="s">
        <v>909</v>
      </c>
      <c r="C786" t="s">
        <v>302</v>
      </c>
      <c r="D786" t="s">
        <v>894</v>
      </c>
      <c r="F786" s="11">
        <v>6.286111</v>
      </c>
      <c r="G786" s="11">
        <v>53.405833000000001</v>
      </c>
      <c r="H786" s="11">
        <v>1</v>
      </c>
    </row>
    <row r="787" spans="1:8" x14ac:dyDescent="0.3">
      <c r="A787" t="s">
        <v>913</v>
      </c>
      <c r="B787" t="s">
        <v>909</v>
      </c>
      <c r="C787" t="s">
        <v>304</v>
      </c>
      <c r="D787" t="s">
        <v>894</v>
      </c>
      <c r="F787" s="11">
        <v>6.2225000000000001</v>
      </c>
      <c r="G787" s="11">
        <v>53.412222</v>
      </c>
      <c r="H787" s="11">
        <v>1</v>
      </c>
    </row>
    <row r="788" spans="1:8" x14ac:dyDescent="0.3">
      <c r="A788" t="s">
        <v>914</v>
      </c>
      <c r="B788" t="s">
        <v>909</v>
      </c>
      <c r="C788" t="s">
        <v>327</v>
      </c>
      <c r="D788" t="s">
        <v>894</v>
      </c>
      <c r="F788" s="11">
        <v>6.1574999999999998</v>
      </c>
      <c r="G788" s="11">
        <v>53.408889000000002</v>
      </c>
      <c r="H788" s="11">
        <v>1</v>
      </c>
    </row>
    <row r="789" spans="1:8" x14ac:dyDescent="0.3">
      <c r="A789" t="s">
        <v>915</v>
      </c>
      <c r="B789" t="s">
        <v>909</v>
      </c>
      <c r="C789" t="s">
        <v>369</v>
      </c>
      <c r="D789" t="s">
        <v>894</v>
      </c>
      <c r="F789" s="11">
        <v>6.0877780000000001</v>
      </c>
      <c r="G789" s="11">
        <v>53.410277999999998</v>
      </c>
      <c r="H789" s="11">
        <v>1</v>
      </c>
    </row>
    <row r="790" spans="1:8" x14ac:dyDescent="0.3">
      <c r="A790" t="s">
        <v>916</v>
      </c>
      <c r="B790" t="s">
        <v>909</v>
      </c>
      <c r="C790" t="s">
        <v>389</v>
      </c>
      <c r="D790" t="s">
        <v>894</v>
      </c>
      <c r="F790" s="11">
        <v>6.0158329999999998</v>
      </c>
      <c r="G790" s="11">
        <v>53.402222000000002</v>
      </c>
      <c r="H790" s="11">
        <v>1</v>
      </c>
    </row>
    <row r="791" spans="1:8" x14ac:dyDescent="0.3">
      <c r="A791" t="s">
        <v>917</v>
      </c>
      <c r="B791" t="s">
        <v>909</v>
      </c>
      <c r="C791" t="s">
        <v>407</v>
      </c>
      <c r="D791" t="s">
        <v>894</v>
      </c>
      <c r="F791" s="11">
        <v>5.9469440000000002</v>
      </c>
      <c r="G791" s="11">
        <v>53.392221999999997</v>
      </c>
      <c r="H791" s="11">
        <v>1</v>
      </c>
    </row>
    <row r="792" spans="1:8" x14ac:dyDescent="0.3">
      <c r="A792" t="s">
        <v>918</v>
      </c>
      <c r="B792" t="s">
        <v>909</v>
      </c>
      <c r="C792" t="s">
        <v>467</v>
      </c>
      <c r="D792" t="s">
        <v>894</v>
      </c>
      <c r="H792" s="11">
        <v>1</v>
      </c>
    </row>
    <row r="793" spans="1:8" x14ac:dyDescent="0.3">
      <c r="A793" t="s">
        <v>919</v>
      </c>
      <c r="B793" t="s">
        <v>893</v>
      </c>
      <c r="C793" t="s">
        <v>51</v>
      </c>
      <c r="D793" t="s">
        <v>920</v>
      </c>
      <c r="F793" s="11">
        <v>8.4305559999999993</v>
      </c>
      <c r="G793" s="11">
        <v>62.978611000000001</v>
      </c>
      <c r="H793" s="11">
        <v>1</v>
      </c>
    </row>
    <row r="794" spans="1:8" x14ac:dyDescent="0.3">
      <c r="A794" t="s">
        <v>921</v>
      </c>
      <c r="B794" t="s">
        <v>893</v>
      </c>
      <c r="C794" t="s">
        <v>54</v>
      </c>
      <c r="D794" t="s">
        <v>920</v>
      </c>
      <c r="F794" s="11">
        <v>8.5427780000000002</v>
      </c>
      <c r="G794" s="11">
        <v>62.975555999999997</v>
      </c>
      <c r="H794" s="11">
        <v>1</v>
      </c>
    </row>
    <row r="795" spans="1:8" x14ac:dyDescent="0.3">
      <c r="A795" t="s">
        <v>922</v>
      </c>
      <c r="B795" t="s">
        <v>893</v>
      </c>
      <c r="C795" t="s">
        <v>56</v>
      </c>
      <c r="D795" t="s">
        <v>920</v>
      </c>
      <c r="F795" s="11">
        <v>8.634722</v>
      </c>
      <c r="G795" s="11">
        <v>62.963056000000002</v>
      </c>
      <c r="H795" s="11">
        <v>1</v>
      </c>
    </row>
    <row r="796" spans="1:8" x14ac:dyDescent="0.3">
      <c r="A796" t="s">
        <v>923</v>
      </c>
      <c r="B796" t="s">
        <v>893</v>
      </c>
      <c r="C796" t="s">
        <v>58</v>
      </c>
      <c r="D796" t="s">
        <v>920</v>
      </c>
      <c r="F796" s="11">
        <v>8.4344439999999992</v>
      </c>
      <c r="G796" s="11">
        <v>62.957777999999998</v>
      </c>
      <c r="H796" s="11">
        <v>1</v>
      </c>
    </row>
    <row r="797" spans="1:8" x14ac:dyDescent="0.3">
      <c r="A797" t="s">
        <v>924</v>
      </c>
      <c r="B797" t="s">
        <v>893</v>
      </c>
      <c r="C797" t="s">
        <v>60</v>
      </c>
      <c r="D797" t="s">
        <v>920</v>
      </c>
      <c r="F797" s="11">
        <v>8.4822220000000002</v>
      </c>
      <c r="G797" s="11">
        <v>62.897221999999999</v>
      </c>
      <c r="H797" s="11">
        <v>1</v>
      </c>
    </row>
    <row r="798" spans="1:8" x14ac:dyDescent="0.3">
      <c r="A798" t="s">
        <v>925</v>
      </c>
      <c r="B798" t="s">
        <v>794</v>
      </c>
      <c r="C798" t="s">
        <v>62</v>
      </c>
      <c r="D798" t="s">
        <v>920</v>
      </c>
      <c r="F798" s="11">
        <v>8.6369439999999997</v>
      </c>
      <c r="G798" s="11">
        <v>62.864722</v>
      </c>
      <c r="H798" s="11">
        <v>1</v>
      </c>
    </row>
    <row r="799" spans="1:8" x14ac:dyDescent="0.3">
      <c r="A799" t="s">
        <v>926</v>
      </c>
      <c r="B799" t="s">
        <v>794</v>
      </c>
      <c r="C799" t="s">
        <v>64</v>
      </c>
      <c r="D799" t="s">
        <v>920</v>
      </c>
      <c r="F799" s="11">
        <v>8.6691669999999998</v>
      </c>
      <c r="G799" s="11">
        <v>62.828333000000001</v>
      </c>
      <c r="H799" s="11">
        <v>1</v>
      </c>
    </row>
    <row r="800" spans="1:8" x14ac:dyDescent="0.3">
      <c r="A800" t="s">
        <v>927</v>
      </c>
      <c r="B800" t="s">
        <v>794</v>
      </c>
      <c r="C800" t="s">
        <v>66</v>
      </c>
      <c r="D800" t="s">
        <v>920</v>
      </c>
      <c r="F800" s="11">
        <v>8.5397219999999994</v>
      </c>
      <c r="G800" s="11">
        <v>62.872777999999997</v>
      </c>
      <c r="H800" s="11">
        <v>1</v>
      </c>
    </row>
    <row r="801" spans="1:8" x14ac:dyDescent="0.3">
      <c r="A801" t="s">
        <v>928</v>
      </c>
      <c r="B801" t="s">
        <v>794</v>
      </c>
      <c r="C801" t="s">
        <v>68</v>
      </c>
      <c r="D801" t="s">
        <v>920</v>
      </c>
      <c r="F801" s="11">
        <v>8.4752779999999994</v>
      </c>
      <c r="G801" s="11">
        <v>62.875833</v>
      </c>
      <c r="H801" s="11">
        <v>1</v>
      </c>
    </row>
    <row r="802" spans="1:8" x14ac:dyDescent="0.3">
      <c r="A802" t="s">
        <v>929</v>
      </c>
      <c r="B802" t="s">
        <v>794</v>
      </c>
      <c r="C802" t="s">
        <v>71</v>
      </c>
      <c r="D802" t="s">
        <v>920</v>
      </c>
      <c r="F802" s="11">
        <v>8.48</v>
      </c>
      <c r="G802" s="11">
        <v>62.852221999999998</v>
      </c>
      <c r="H802" s="11">
        <v>1</v>
      </c>
    </row>
    <row r="803" spans="1:8" x14ac:dyDescent="0.3">
      <c r="A803" t="s">
        <v>930</v>
      </c>
      <c r="B803" t="s">
        <v>794</v>
      </c>
      <c r="C803" t="s">
        <v>73</v>
      </c>
      <c r="D803" t="s">
        <v>920</v>
      </c>
      <c r="F803" s="11">
        <v>8.3511109999999995</v>
      </c>
      <c r="G803" s="11">
        <v>62.876666999999998</v>
      </c>
      <c r="H803" s="11">
        <v>1</v>
      </c>
    </row>
    <row r="804" spans="1:8" x14ac:dyDescent="0.3">
      <c r="A804" t="s">
        <v>931</v>
      </c>
      <c r="B804" t="s">
        <v>794</v>
      </c>
      <c r="C804" t="s">
        <v>75</v>
      </c>
      <c r="D804" t="s">
        <v>920</v>
      </c>
      <c r="F804" s="11">
        <v>8.3086110000000009</v>
      </c>
      <c r="G804" s="11">
        <v>62.943333000000003</v>
      </c>
      <c r="H804" s="11">
        <v>1</v>
      </c>
    </row>
    <row r="805" spans="1:8" x14ac:dyDescent="0.3">
      <c r="A805" t="s">
        <v>932</v>
      </c>
      <c r="B805" t="s">
        <v>794</v>
      </c>
      <c r="C805" t="s">
        <v>77</v>
      </c>
      <c r="D805" t="s">
        <v>920</v>
      </c>
      <c r="F805" s="11">
        <v>8.2613889999999994</v>
      </c>
      <c r="G805" s="11">
        <v>62.994166999999997</v>
      </c>
      <c r="H805" s="11">
        <v>1</v>
      </c>
    </row>
    <row r="806" spans="1:8" x14ac:dyDescent="0.3">
      <c r="A806" t="s">
        <v>933</v>
      </c>
      <c r="B806" t="s">
        <v>794</v>
      </c>
      <c r="C806" t="s">
        <v>79</v>
      </c>
      <c r="D806" t="s">
        <v>920</v>
      </c>
      <c r="F806" s="11">
        <v>7.878889</v>
      </c>
      <c r="G806" s="11">
        <v>62.998888999999998</v>
      </c>
      <c r="H806" s="11">
        <v>1</v>
      </c>
    </row>
    <row r="807" spans="1:8" x14ac:dyDescent="0.3">
      <c r="A807" t="s">
        <v>934</v>
      </c>
      <c r="B807" t="s">
        <v>794</v>
      </c>
      <c r="C807" t="s">
        <v>81</v>
      </c>
      <c r="D807" t="s">
        <v>920</v>
      </c>
      <c r="F807" s="11">
        <v>8.0733329999999999</v>
      </c>
      <c r="G807" s="11">
        <v>62.970556000000002</v>
      </c>
      <c r="H807" s="11">
        <v>1</v>
      </c>
    </row>
    <row r="808" spans="1:8" x14ac:dyDescent="0.3">
      <c r="A808" t="s">
        <v>935</v>
      </c>
      <c r="B808" t="s">
        <v>794</v>
      </c>
      <c r="C808" t="s">
        <v>83</v>
      </c>
      <c r="D808" t="s">
        <v>920</v>
      </c>
      <c r="F808" s="11">
        <v>8.1758330000000008</v>
      </c>
      <c r="G808" s="11">
        <v>62.914444000000003</v>
      </c>
      <c r="H808" s="11">
        <v>1</v>
      </c>
    </row>
    <row r="809" spans="1:8" x14ac:dyDescent="0.3">
      <c r="A809" t="s">
        <v>936</v>
      </c>
      <c r="B809" t="s">
        <v>909</v>
      </c>
      <c r="C809" t="s">
        <v>85</v>
      </c>
      <c r="D809" t="s">
        <v>920</v>
      </c>
      <c r="F809" s="11">
        <v>8.1766670000000001</v>
      </c>
      <c r="G809" s="11">
        <v>62.850555999999997</v>
      </c>
      <c r="H809" s="11">
        <v>1</v>
      </c>
    </row>
    <row r="810" spans="1:8" x14ac:dyDescent="0.3">
      <c r="A810" t="s">
        <v>937</v>
      </c>
      <c r="B810" t="s">
        <v>909</v>
      </c>
      <c r="C810" t="s">
        <v>87</v>
      </c>
      <c r="D810" t="s">
        <v>920</v>
      </c>
      <c r="F810" s="11">
        <v>8.3127779999999998</v>
      </c>
      <c r="G810" s="11">
        <v>62.807499999999997</v>
      </c>
      <c r="H810" s="11">
        <v>1</v>
      </c>
    </row>
    <row r="811" spans="1:8" x14ac:dyDescent="0.3">
      <c r="A811" t="s">
        <v>938</v>
      </c>
      <c r="B811" t="s">
        <v>909</v>
      </c>
      <c r="C811" t="s">
        <v>89</v>
      </c>
      <c r="D811" t="s">
        <v>920</v>
      </c>
      <c r="F811" s="11">
        <v>8.4352780000000003</v>
      </c>
      <c r="G811" s="11">
        <v>62.759444000000002</v>
      </c>
      <c r="H811" s="11">
        <v>1</v>
      </c>
    </row>
    <row r="812" spans="1:8" x14ac:dyDescent="0.3">
      <c r="A812" t="s">
        <v>939</v>
      </c>
      <c r="B812" t="s">
        <v>909</v>
      </c>
      <c r="C812" t="s">
        <v>302</v>
      </c>
      <c r="D812" t="s">
        <v>920</v>
      </c>
      <c r="F812" s="11">
        <v>8.5594439999999992</v>
      </c>
      <c r="G812" s="11">
        <v>62.713056000000002</v>
      </c>
      <c r="H812" s="11">
        <v>1</v>
      </c>
    </row>
    <row r="813" spans="1:8" x14ac:dyDescent="0.3">
      <c r="A813" t="s">
        <v>940</v>
      </c>
      <c r="B813" t="s">
        <v>909</v>
      </c>
      <c r="C813" t="s">
        <v>304</v>
      </c>
      <c r="D813" t="s">
        <v>920</v>
      </c>
      <c r="F813" s="11">
        <v>8.5447220000000002</v>
      </c>
      <c r="G813" s="11">
        <v>62.674722000000003</v>
      </c>
      <c r="H813" s="11">
        <v>1</v>
      </c>
    </row>
    <row r="814" spans="1:8" x14ac:dyDescent="0.3">
      <c r="A814" t="s">
        <v>941</v>
      </c>
      <c r="B814" t="s">
        <v>909</v>
      </c>
      <c r="C814" t="s">
        <v>327</v>
      </c>
      <c r="D814" t="s">
        <v>920</v>
      </c>
      <c r="F814" s="11">
        <v>8.4319439999999997</v>
      </c>
      <c r="G814" s="11">
        <v>62.716667000000001</v>
      </c>
      <c r="H814" s="11">
        <v>1</v>
      </c>
    </row>
    <row r="815" spans="1:8" x14ac:dyDescent="0.3">
      <c r="A815" t="s">
        <v>942</v>
      </c>
      <c r="B815" t="s">
        <v>909</v>
      </c>
      <c r="C815" t="s">
        <v>369</v>
      </c>
      <c r="D815" t="s">
        <v>920</v>
      </c>
      <c r="F815" s="11">
        <v>8.3241669999999992</v>
      </c>
      <c r="G815" s="11">
        <v>62.770555999999999</v>
      </c>
      <c r="H815" s="11">
        <v>1</v>
      </c>
    </row>
    <row r="816" spans="1:8" x14ac:dyDescent="0.3">
      <c r="A816" t="s">
        <v>943</v>
      </c>
      <c r="B816" t="s">
        <v>909</v>
      </c>
      <c r="C816" t="s">
        <v>389</v>
      </c>
      <c r="D816" t="s">
        <v>920</v>
      </c>
      <c r="F816" s="11">
        <v>8.1686110000000003</v>
      </c>
      <c r="G816" s="11">
        <v>62.806111000000001</v>
      </c>
      <c r="H816" s="11">
        <v>1</v>
      </c>
    </row>
    <row r="817" spans="1:8" x14ac:dyDescent="0.3">
      <c r="A817" t="s">
        <v>944</v>
      </c>
      <c r="B817" t="s">
        <v>909</v>
      </c>
      <c r="C817" t="s">
        <v>407</v>
      </c>
      <c r="D817" t="s">
        <v>920</v>
      </c>
      <c r="F817" s="11">
        <v>8.1216670000000004</v>
      </c>
      <c r="G817" s="11">
        <v>62.883889000000003</v>
      </c>
      <c r="H817" s="11">
        <v>1</v>
      </c>
    </row>
    <row r="818" spans="1:8" x14ac:dyDescent="0.3">
      <c r="A818" t="s">
        <v>945</v>
      </c>
      <c r="B818" t="s">
        <v>909</v>
      </c>
      <c r="C818" t="s">
        <v>467</v>
      </c>
      <c r="D818" t="s">
        <v>920</v>
      </c>
      <c r="F818" s="11">
        <v>8.0563889999999994</v>
      </c>
      <c r="G818" s="11">
        <v>62.951667</v>
      </c>
      <c r="H818" s="11">
        <v>1</v>
      </c>
    </row>
    <row r="819" spans="1:8" x14ac:dyDescent="0.3">
      <c r="A819" t="s">
        <v>946</v>
      </c>
      <c r="B819" t="s">
        <v>893</v>
      </c>
      <c r="C819" t="s">
        <v>51</v>
      </c>
      <c r="D819" t="s">
        <v>947</v>
      </c>
      <c r="F819" s="11">
        <v>7.9083329999999998</v>
      </c>
      <c r="G819" s="11">
        <v>62.957777999999998</v>
      </c>
      <c r="H819" s="11">
        <v>1</v>
      </c>
    </row>
    <row r="820" spans="1:8" x14ac:dyDescent="0.3">
      <c r="A820" t="s">
        <v>948</v>
      </c>
      <c r="B820" t="s">
        <v>893</v>
      </c>
      <c r="C820" t="s">
        <v>54</v>
      </c>
      <c r="D820" t="s">
        <v>947</v>
      </c>
      <c r="F820" s="11">
        <v>7.76</v>
      </c>
      <c r="G820" s="11">
        <v>62.924166999999997</v>
      </c>
      <c r="H820" s="11">
        <v>1</v>
      </c>
    </row>
    <row r="821" spans="1:8" x14ac:dyDescent="0.3">
      <c r="A821" t="s">
        <v>949</v>
      </c>
      <c r="B821" t="s">
        <v>893</v>
      </c>
      <c r="C821" t="s">
        <v>56</v>
      </c>
      <c r="D821" t="s">
        <v>947</v>
      </c>
      <c r="F821" s="11">
        <v>7.713889</v>
      </c>
      <c r="G821" s="11">
        <v>62.930556000000003</v>
      </c>
      <c r="H821" s="11">
        <v>1</v>
      </c>
    </row>
    <row r="822" spans="1:8" x14ac:dyDescent="0.3">
      <c r="A822" t="s">
        <v>950</v>
      </c>
      <c r="B822" t="s">
        <v>893</v>
      </c>
      <c r="C822" t="s">
        <v>58</v>
      </c>
      <c r="D822" t="s">
        <v>947</v>
      </c>
      <c r="F822" s="11">
        <v>7.7322220000000002</v>
      </c>
      <c r="G822" s="11">
        <v>62.977499999999999</v>
      </c>
      <c r="H822" s="11">
        <v>1</v>
      </c>
    </row>
    <row r="823" spans="1:8" x14ac:dyDescent="0.3">
      <c r="A823" t="s">
        <v>951</v>
      </c>
      <c r="B823" t="s">
        <v>893</v>
      </c>
      <c r="C823" t="s">
        <v>60</v>
      </c>
      <c r="D823" t="s">
        <v>947</v>
      </c>
      <c r="F823" s="11">
        <v>7.5883330000000004</v>
      </c>
      <c r="G823" s="11">
        <v>62.941667000000002</v>
      </c>
      <c r="H823" s="11">
        <v>1</v>
      </c>
    </row>
    <row r="824" spans="1:8" x14ac:dyDescent="0.3">
      <c r="A824" t="s">
        <v>952</v>
      </c>
      <c r="B824" t="s">
        <v>893</v>
      </c>
      <c r="C824" t="s">
        <v>62</v>
      </c>
      <c r="D824" t="s">
        <v>947</v>
      </c>
      <c r="F824" s="11">
        <v>7.4416669999999998</v>
      </c>
      <c r="G824" s="11">
        <v>62.916666999999997</v>
      </c>
      <c r="H824" s="11">
        <v>1</v>
      </c>
    </row>
    <row r="825" spans="1:8" x14ac:dyDescent="0.3">
      <c r="A825" t="s">
        <v>953</v>
      </c>
      <c r="B825" t="s">
        <v>893</v>
      </c>
      <c r="C825" t="s">
        <v>64</v>
      </c>
      <c r="D825" t="s">
        <v>947</v>
      </c>
      <c r="F825" s="11">
        <v>7.3475000000000001</v>
      </c>
      <c r="G825" s="11">
        <v>62.976111000000003</v>
      </c>
      <c r="H825" s="11">
        <v>1</v>
      </c>
    </row>
    <row r="826" spans="1:8" x14ac:dyDescent="0.3">
      <c r="A826" t="s">
        <v>954</v>
      </c>
      <c r="B826" t="s">
        <v>893</v>
      </c>
      <c r="C826" t="s">
        <v>66</v>
      </c>
      <c r="D826" t="s">
        <v>947</v>
      </c>
      <c r="F826" s="11">
        <v>7.0744439999999997</v>
      </c>
      <c r="G826" s="11">
        <v>62.969721999999997</v>
      </c>
      <c r="H826" s="11">
        <v>1</v>
      </c>
    </row>
    <row r="827" spans="1:8" x14ac:dyDescent="0.3">
      <c r="A827" t="s">
        <v>955</v>
      </c>
      <c r="B827" t="s">
        <v>893</v>
      </c>
      <c r="C827" t="s">
        <v>68</v>
      </c>
      <c r="D827" t="s">
        <v>947</v>
      </c>
      <c r="F827" s="11">
        <v>6.9522219999999999</v>
      </c>
      <c r="G827" s="11">
        <v>62.931111000000001</v>
      </c>
      <c r="H827" s="11">
        <v>1</v>
      </c>
    </row>
    <row r="828" spans="1:8" x14ac:dyDescent="0.3">
      <c r="A828" t="s">
        <v>956</v>
      </c>
      <c r="B828" t="s">
        <v>909</v>
      </c>
      <c r="C828" t="s">
        <v>71</v>
      </c>
      <c r="D828" t="s">
        <v>947</v>
      </c>
      <c r="F828" s="11">
        <v>6.9383330000000001</v>
      </c>
      <c r="G828" s="11">
        <v>62.906111000000003</v>
      </c>
      <c r="H828" s="11">
        <v>1</v>
      </c>
    </row>
    <row r="829" spans="1:8" x14ac:dyDescent="0.3">
      <c r="A829" t="s">
        <v>957</v>
      </c>
      <c r="B829" t="s">
        <v>909</v>
      </c>
      <c r="C829" t="s">
        <v>73</v>
      </c>
      <c r="D829" t="s">
        <v>947</v>
      </c>
      <c r="F829" s="11">
        <v>7.0033329999999996</v>
      </c>
      <c r="G829" s="11">
        <v>62.838611</v>
      </c>
      <c r="H829" s="11">
        <v>1</v>
      </c>
    </row>
    <row r="830" spans="1:8" x14ac:dyDescent="0.3">
      <c r="A830" t="s">
        <v>958</v>
      </c>
      <c r="B830" t="s">
        <v>909</v>
      </c>
      <c r="C830" t="s">
        <v>75</v>
      </c>
      <c r="D830" t="s">
        <v>947</v>
      </c>
      <c r="F830" s="11">
        <v>7.1630560000000001</v>
      </c>
      <c r="G830" s="11">
        <v>62.835278000000002</v>
      </c>
      <c r="H830" s="11">
        <v>1</v>
      </c>
    </row>
    <row r="831" spans="1:8" x14ac:dyDescent="0.3">
      <c r="A831" t="s">
        <v>959</v>
      </c>
      <c r="B831" t="s">
        <v>909</v>
      </c>
      <c r="C831" t="s">
        <v>77</v>
      </c>
      <c r="D831" t="s">
        <v>947</v>
      </c>
      <c r="F831" s="11">
        <v>7.1255559999999996</v>
      </c>
      <c r="G831" s="11">
        <v>62.814999999999998</v>
      </c>
      <c r="H831" s="11">
        <v>1</v>
      </c>
    </row>
    <row r="832" spans="1:8" x14ac:dyDescent="0.3">
      <c r="A832" t="s">
        <v>960</v>
      </c>
      <c r="B832" t="s">
        <v>909</v>
      </c>
      <c r="C832" t="s">
        <v>79</v>
      </c>
      <c r="D832" t="s">
        <v>947</v>
      </c>
      <c r="F832" s="11">
        <v>6.9752780000000003</v>
      </c>
      <c r="G832" s="11">
        <v>62.799444000000001</v>
      </c>
      <c r="H832" s="11">
        <v>1</v>
      </c>
    </row>
    <row r="833" spans="1:8" x14ac:dyDescent="0.3">
      <c r="A833" t="s">
        <v>961</v>
      </c>
      <c r="B833" t="s">
        <v>909</v>
      </c>
      <c r="C833" t="s">
        <v>81</v>
      </c>
      <c r="D833" t="s">
        <v>947</v>
      </c>
      <c r="F833" s="11">
        <v>6.9661109999999997</v>
      </c>
      <c r="G833" s="11">
        <v>62.731943999999999</v>
      </c>
      <c r="H833" s="11">
        <v>1</v>
      </c>
    </row>
    <row r="834" spans="1:8" x14ac:dyDescent="0.3">
      <c r="A834" t="s">
        <v>962</v>
      </c>
      <c r="B834" t="s">
        <v>909</v>
      </c>
      <c r="C834" t="s">
        <v>83</v>
      </c>
      <c r="D834" t="s">
        <v>947</v>
      </c>
      <c r="F834" s="11">
        <v>7.085</v>
      </c>
      <c r="G834" s="11">
        <v>62.730556</v>
      </c>
      <c r="H834" s="11">
        <v>1</v>
      </c>
    </row>
    <row r="835" spans="1:8" x14ac:dyDescent="0.3">
      <c r="A835" t="s">
        <v>963</v>
      </c>
      <c r="B835" t="s">
        <v>909</v>
      </c>
      <c r="C835" t="s">
        <v>85</v>
      </c>
      <c r="D835" t="s">
        <v>947</v>
      </c>
      <c r="F835" s="11">
        <v>7.276389</v>
      </c>
      <c r="G835" s="11">
        <v>62.741388999999998</v>
      </c>
      <c r="H835" s="11">
        <v>1</v>
      </c>
    </row>
    <row r="836" spans="1:8" x14ac:dyDescent="0.3">
      <c r="A836" t="s">
        <v>964</v>
      </c>
      <c r="B836" t="s">
        <v>909</v>
      </c>
      <c r="C836" t="s">
        <v>87</v>
      </c>
      <c r="D836" t="s">
        <v>947</v>
      </c>
      <c r="F836" s="11">
        <v>7.4372220000000002</v>
      </c>
      <c r="G836" s="11">
        <v>62.768332999999998</v>
      </c>
      <c r="H836" s="11">
        <v>1</v>
      </c>
    </row>
    <row r="837" spans="1:8" x14ac:dyDescent="0.3">
      <c r="A837" t="s">
        <v>965</v>
      </c>
      <c r="B837" t="s">
        <v>909</v>
      </c>
      <c r="C837" t="s">
        <v>89</v>
      </c>
      <c r="D837" t="s">
        <v>947</v>
      </c>
      <c r="F837" s="11">
        <v>7.6041670000000003</v>
      </c>
      <c r="G837" s="11">
        <v>62.791944000000001</v>
      </c>
      <c r="H837" s="11">
        <v>1</v>
      </c>
    </row>
    <row r="838" spans="1:8" x14ac:dyDescent="0.3">
      <c r="A838" t="s">
        <v>966</v>
      </c>
      <c r="B838" t="s">
        <v>909</v>
      </c>
      <c r="C838" t="s">
        <v>302</v>
      </c>
      <c r="D838" t="s">
        <v>947</v>
      </c>
      <c r="F838" s="11">
        <v>7.5777780000000003</v>
      </c>
      <c r="G838" s="11">
        <v>62.778888999999999</v>
      </c>
      <c r="H838" s="11">
        <v>1</v>
      </c>
    </row>
    <row r="839" spans="1:8" x14ac:dyDescent="0.3">
      <c r="A839" t="s">
        <v>967</v>
      </c>
      <c r="B839" t="s">
        <v>909</v>
      </c>
      <c r="C839" t="s">
        <v>304</v>
      </c>
      <c r="D839" t="s">
        <v>947</v>
      </c>
      <c r="F839" s="11">
        <v>7.4280559999999998</v>
      </c>
      <c r="G839" s="11">
        <v>62.746389000000001</v>
      </c>
      <c r="H839" s="11">
        <v>1</v>
      </c>
    </row>
    <row r="840" spans="1:8" x14ac:dyDescent="0.3">
      <c r="A840" t="s">
        <v>968</v>
      </c>
      <c r="B840" t="s">
        <v>909</v>
      </c>
      <c r="C840" t="s">
        <v>327</v>
      </c>
      <c r="D840" t="s">
        <v>947</v>
      </c>
      <c r="F840" s="11">
        <v>7.398333</v>
      </c>
      <c r="G840" s="11">
        <v>62.699722000000001</v>
      </c>
      <c r="H840" s="11">
        <v>1</v>
      </c>
    </row>
    <row r="841" spans="1:8" x14ac:dyDescent="0.3">
      <c r="A841" t="s">
        <v>969</v>
      </c>
      <c r="B841" t="s">
        <v>909</v>
      </c>
      <c r="C841" t="s">
        <v>369</v>
      </c>
      <c r="D841" t="s">
        <v>947</v>
      </c>
      <c r="F841" s="11">
        <v>7.4558330000000002</v>
      </c>
      <c r="G841" s="11">
        <v>62.681389000000003</v>
      </c>
      <c r="H841" s="11">
        <v>1</v>
      </c>
    </row>
    <row r="842" spans="1:8" x14ac:dyDescent="0.3">
      <c r="A842" t="s">
        <v>970</v>
      </c>
      <c r="B842" t="s">
        <v>909</v>
      </c>
      <c r="C842" t="s">
        <v>389</v>
      </c>
      <c r="D842" t="s">
        <v>947</v>
      </c>
      <c r="F842" s="11">
        <v>7.6036109999999999</v>
      </c>
      <c r="G842" s="11">
        <v>62.711666999999998</v>
      </c>
      <c r="H842" s="11">
        <v>1</v>
      </c>
    </row>
    <row r="843" spans="1:8" x14ac:dyDescent="0.3">
      <c r="A843" t="s">
        <v>971</v>
      </c>
      <c r="B843" t="s">
        <v>909</v>
      </c>
      <c r="C843" t="s">
        <v>407</v>
      </c>
      <c r="D843" t="s">
        <v>947</v>
      </c>
      <c r="F843" s="11">
        <v>7.7658329999999998</v>
      </c>
      <c r="G843" s="11">
        <v>62.737499999999997</v>
      </c>
      <c r="H843" s="11">
        <v>1</v>
      </c>
    </row>
    <row r="844" spans="1:8" x14ac:dyDescent="0.3">
      <c r="A844" t="s">
        <v>972</v>
      </c>
      <c r="B844" t="s">
        <v>909</v>
      </c>
      <c r="C844" t="s">
        <v>467</v>
      </c>
      <c r="D844" t="s">
        <v>947</v>
      </c>
      <c r="F844" s="11">
        <v>7.9286110000000001</v>
      </c>
      <c r="G844" s="11">
        <v>62.762777999999997</v>
      </c>
      <c r="H844" s="11">
        <v>1</v>
      </c>
    </row>
    <row r="845" spans="1:8" x14ac:dyDescent="0.3">
      <c r="A845" t="s">
        <v>973</v>
      </c>
      <c r="B845" t="s">
        <v>909</v>
      </c>
      <c r="C845" t="s">
        <v>469</v>
      </c>
      <c r="D845" t="s">
        <v>947</v>
      </c>
      <c r="F845" s="11">
        <v>8.0649999999999995</v>
      </c>
      <c r="G845" s="11">
        <v>62.766388999999997</v>
      </c>
      <c r="H845" s="11">
        <v>1</v>
      </c>
    </row>
    <row r="846" spans="1:8" x14ac:dyDescent="0.3">
      <c r="A846" t="s">
        <v>974</v>
      </c>
      <c r="B846" t="s">
        <v>909</v>
      </c>
      <c r="C846" t="s">
        <v>443</v>
      </c>
      <c r="D846" t="s">
        <v>947</v>
      </c>
      <c r="F846" s="11">
        <v>8.1338889999999999</v>
      </c>
      <c r="G846" s="11">
        <v>62.711388999999997</v>
      </c>
      <c r="H846" s="11">
        <v>1</v>
      </c>
    </row>
    <row r="847" spans="1:8" x14ac:dyDescent="0.3">
      <c r="A847" t="s">
        <v>975</v>
      </c>
      <c r="B847" t="s">
        <v>893</v>
      </c>
      <c r="C847" t="s">
        <v>60</v>
      </c>
      <c r="D847" t="s">
        <v>976</v>
      </c>
      <c r="F847" s="11">
        <v>8.0569439999999997</v>
      </c>
      <c r="G847" s="11">
        <v>62.719444000000003</v>
      </c>
      <c r="H847" s="11">
        <v>1</v>
      </c>
    </row>
    <row r="848" spans="1:8" x14ac:dyDescent="0.3">
      <c r="A848" t="s">
        <v>977</v>
      </c>
      <c r="B848" t="s">
        <v>893</v>
      </c>
      <c r="C848" t="s">
        <v>62</v>
      </c>
      <c r="D848" t="s">
        <v>976</v>
      </c>
      <c r="F848" s="11">
        <v>7.9288889999999999</v>
      </c>
      <c r="G848" s="11">
        <v>62.728332999999999</v>
      </c>
      <c r="H848" s="11">
        <v>1</v>
      </c>
    </row>
    <row r="849" spans="1:8" x14ac:dyDescent="0.3">
      <c r="A849" t="s">
        <v>978</v>
      </c>
      <c r="B849" t="s">
        <v>893</v>
      </c>
      <c r="C849" t="s">
        <v>64</v>
      </c>
      <c r="D849" t="s">
        <v>976</v>
      </c>
      <c r="F849" s="11">
        <v>7.7491669999999999</v>
      </c>
      <c r="G849" s="11">
        <v>62.718055999999997</v>
      </c>
      <c r="H849" s="11">
        <v>1</v>
      </c>
    </row>
    <row r="850" spans="1:8" x14ac:dyDescent="0.3">
      <c r="A850" t="s">
        <v>979</v>
      </c>
      <c r="B850" t="s">
        <v>893</v>
      </c>
      <c r="C850" t="s">
        <v>66</v>
      </c>
      <c r="D850" t="s">
        <v>976</v>
      </c>
      <c r="F850" s="11">
        <v>7.5938889999999999</v>
      </c>
      <c r="G850" s="11">
        <v>62.688611000000002</v>
      </c>
      <c r="H850" s="11">
        <v>1</v>
      </c>
    </row>
    <row r="851" spans="1:8" x14ac:dyDescent="0.3">
      <c r="A851" t="s">
        <v>980</v>
      </c>
      <c r="B851" t="s">
        <v>893</v>
      </c>
      <c r="C851" t="s">
        <v>68</v>
      </c>
      <c r="D851" t="s">
        <v>976</v>
      </c>
      <c r="F851" s="11">
        <v>7.5133330000000003</v>
      </c>
      <c r="G851" s="11">
        <v>62.634721999999996</v>
      </c>
      <c r="H851" s="11">
        <v>1</v>
      </c>
    </row>
    <row r="852" spans="1:8" x14ac:dyDescent="0.3">
      <c r="A852" t="s">
        <v>981</v>
      </c>
      <c r="B852" t="s">
        <v>909</v>
      </c>
      <c r="C852" t="s">
        <v>71</v>
      </c>
      <c r="D852" t="s">
        <v>976</v>
      </c>
      <c r="F852" s="11">
        <v>7.5005559999999996</v>
      </c>
      <c r="G852" s="11">
        <v>62.599722</v>
      </c>
      <c r="H852" s="11">
        <v>1</v>
      </c>
    </row>
    <row r="853" spans="1:8" x14ac:dyDescent="0.3">
      <c r="A853" t="s">
        <v>982</v>
      </c>
      <c r="B853" t="s">
        <v>909</v>
      </c>
      <c r="C853" t="s">
        <v>73</v>
      </c>
      <c r="D853" t="s">
        <v>976</v>
      </c>
      <c r="F853" s="11">
        <v>7.4086109999999996</v>
      </c>
      <c r="G853" s="11">
        <v>62.617221999999998</v>
      </c>
      <c r="H853" s="11">
        <v>1</v>
      </c>
    </row>
    <row r="854" spans="1:8" x14ac:dyDescent="0.3">
      <c r="A854" t="s">
        <v>983</v>
      </c>
      <c r="B854" t="s">
        <v>909</v>
      </c>
      <c r="C854" t="s">
        <v>75</v>
      </c>
      <c r="D854" t="s">
        <v>976</v>
      </c>
      <c r="F854" s="11">
        <v>7.5111109999999996</v>
      </c>
      <c r="G854" s="11">
        <v>62.561388999999998</v>
      </c>
      <c r="H854" s="11">
        <v>1</v>
      </c>
    </row>
    <row r="855" spans="1:8" x14ac:dyDescent="0.3">
      <c r="A855" t="s">
        <v>984</v>
      </c>
      <c r="B855" t="s">
        <v>909</v>
      </c>
      <c r="C855" t="s">
        <v>77</v>
      </c>
      <c r="D855" t="s">
        <v>976</v>
      </c>
      <c r="F855" s="11">
        <v>7.6888889999999996</v>
      </c>
      <c r="G855" s="11">
        <v>62.575555999999999</v>
      </c>
      <c r="H855" s="11">
        <v>1</v>
      </c>
    </row>
    <row r="856" spans="1:8" x14ac:dyDescent="0.3">
      <c r="A856" t="s">
        <v>985</v>
      </c>
      <c r="B856" t="s">
        <v>909</v>
      </c>
      <c r="C856" t="s">
        <v>79</v>
      </c>
      <c r="D856" t="s">
        <v>976</v>
      </c>
      <c r="F856" s="11">
        <v>7.6961110000000001</v>
      </c>
      <c r="G856" s="11">
        <v>62.564444000000002</v>
      </c>
      <c r="H856" s="11">
        <v>1</v>
      </c>
    </row>
    <row r="857" spans="1:8" x14ac:dyDescent="0.3">
      <c r="A857" t="s">
        <v>986</v>
      </c>
      <c r="B857" t="s">
        <v>909</v>
      </c>
      <c r="C857" t="s">
        <v>81</v>
      </c>
      <c r="D857" t="s">
        <v>976</v>
      </c>
      <c r="F857" s="11">
        <v>7.5636109999999999</v>
      </c>
      <c r="G857" s="11">
        <v>62.523055999999997</v>
      </c>
      <c r="H857" s="11">
        <v>1</v>
      </c>
    </row>
    <row r="858" spans="1:8" x14ac:dyDescent="0.3">
      <c r="A858" t="s">
        <v>987</v>
      </c>
      <c r="B858" t="s">
        <v>909</v>
      </c>
      <c r="C858" t="s">
        <v>83</v>
      </c>
      <c r="D858" t="s">
        <v>976</v>
      </c>
      <c r="F858" s="11">
        <v>7.4950000000000001</v>
      </c>
      <c r="G858" s="11">
        <v>62.544722</v>
      </c>
      <c r="H858" s="11">
        <v>1</v>
      </c>
    </row>
    <row r="859" spans="1:8" x14ac:dyDescent="0.3">
      <c r="A859" t="s">
        <v>988</v>
      </c>
      <c r="B859" t="s">
        <v>909</v>
      </c>
      <c r="C859" t="s">
        <v>85</v>
      </c>
      <c r="D859" t="s">
        <v>976</v>
      </c>
      <c r="F859" s="11">
        <v>7.3741669999999999</v>
      </c>
      <c r="G859" s="11">
        <v>62.577500000000001</v>
      </c>
      <c r="H859" s="11">
        <v>1</v>
      </c>
    </row>
    <row r="860" spans="1:8" x14ac:dyDescent="0.3">
      <c r="A860" t="s">
        <v>989</v>
      </c>
      <c r="B860" t="s">
        <v>909</v>
      </c>
      <c r="C860" t="s">
        <v>87</v>
      </c>
      <c r="D860" t="s">
        <v>976</v>
      </c>
      <c r="F860" s="11">
        <v>7.2424999999999997</v>
      </c>
      <c r="G860" s="11">
        <v>62.611389000000003</v>
      </c>
      <c r="H860" s="11">
        <v>1</v>
      </c>
    </row>
    <row r="861" spans="1:8" x14ac:dyDescent="0.3">
      <c r="A861" t="s">
        <v>990</v>
      </c>
      <c r="B861" t="s">
        <v>909</v>
      </c>
      <c r="C861" t="s">
        <v>89</v>
      </c>
      <c r="D861" t="s">
        <v>976</v>
      </c>
      <c r="F861" s="11">
        <v>7.1319439999999998</v>
      </c>
      <c r="G861" s="11">
        <v>62.592500000000001</v>
      </c>
      <c r="H861" s="11">
        <v>1</v>
      </c>
    </row>
    <row r="862" spans="1:8" x14ac:dyDescent="0.3">
      <c r="A862" t="s">
        <v>991</v>
      </c>
      <c r="B862" t="s">
        <v>909</v>
      </c>
      <c r="C862" t="s">
        <v>302</v>
      </c>
      <c r="D862" t="s">
        <v>976</v>
      </c>
      <c r="F862" s="11">
        <v>7.125</v>
      </c>
      <c r="G862" s="11">
        <v>62.543610999999999</v>
      </c>
      <c r="H862" s="11">
        <v>1</v>
      </c>
    </row>
    <row r="863" spans="1:8" x14ac:dyDescent="0.3">
      <c r="A863" t="s">
        <v>992</v>
      </c>
      <c r="B863" t="s">
        <v>909</v>
      </c>
      <c r="C863" t="s">
        <v>304</v>
      </c>
      <c r="D863" t="s">
        <v>976</v>
      </c>
      <c r="F863" s="11">
        <v>7.0674999999999999</v>
      </c>
      <c r="G863" s="11">
        <v>62.604722000000002</v>
      </c>
      <c r="H863" s="11">
        <v>1</v>
      </c>
    </row>
    <row r="864" spans="1:8" x14ac:dyDescent="0.3">
      <c r="A864" t="s">
        <v>993</v>
      </c>
      <c r="B864" t="s">
        <v>909</v>
      </c>
      <c r="C864" t="s">
        <v>327</v>
      </c>
      <c r="D864" t="s">
        <v>976</v>
      </c>
      <c r="F864" s="11">
        <v>7.0616669999999999</v>
      </c>
      <c r="G864" s="11">
        <v>62.647778000000002</v>
      </c>
      <c r="H864" s="11">
        <v>1</v>
      </c>
    </row>
    <row r="865" spans="1:8" x14ac:dyDescent="0.3">
      <c r="A865" t="s">
        <v>994</v>
      </c>
      <c r="B865" t="s">
        <v>909</v>
      </c>
      <c r="C865" t="s">
        <v>369</v>
      </c>
      <c r="D865" t="s">
        <v>976</v>
      </c>
      <c r="F865" s="11">
        <v>6.8941670000000004</v>
      </c>
      <c r="G865" s="11">
        <v>62.631943999999997</v>
      </c>
      <c r="H865" s="11">
        <v>1</v>
      </c>
    </row>
    <row r="866" spans="1:8" x14ac:dyDescent="0.3">
      <c r="A866" t="s">
        <v>995</v>
      </c>
      <c r="B866" t="s">
        <v>909</v>
      </c>
      <c r="C866" t="s">
        <v>389</v>
      </c>
      <c r="D866" t="s">
        <v>976</v>
      </c>
      <c r="F866" s="11">
        <v>6.9022220000000001</v>
      </c>
      <c r="G866" s="11">
        <v>62.567500000000003</v>
      </c>
      <c r="H866" s="11">
        <v>1</v>
      </c>
    </row>
    <row r="867" spans="1:8" x14ac:dyDescent="0.3">
      <c r="A867" t="s">
        <v>996</v>
      </c>
      <c r="B867" t="s">
        <v>909</v>
      </c>
      <c r="C867" t="s">
        <v>407</v>
      </c>
      <c r="D867" t="s">
        <v>976</v>
      </c>
      <c r="F867" s="11">
        <v>6.8213889999999999</v>
      </c>
      <c r="G867" s="11">
        <v>62.626944000000002</v>
      </c>
      <c r="H867" s="11">
        <v>1</v>
      </c>
    </row>
    <row r="868" spans="1:8" x14ac:dyDescent="0.3">
      <c r="A868" t="s">
        <v>997</v>
      </c>
      <c r="B868" t="s">
        <v>909</v>
      </c>
      <c r="C868" t="s">
        <v>467</v>
      </c>
      <c r="D868" t="s">
        <v>976</v>
      </c>
      <c r="F868" s="11">
        <v>6.6974999999999998</v>
      </c>
      <c r="G868" s="11">
        <v>62.6325</v>
      </c>
      <c r="H868" s="11">
        <v>1</v>
      </c>
    </row>
    <row r="869" spans="1:8" x14ac:dyDescent="0.3">
      <c r="A869" t="s">
        <v>998</v>
      </c>
      <c r="B869" t="s">
        <v>909</v>
      </c>
      <c r="C869" t="s">
        <v>469</v>
      </c>
      <c r="D869" t="s">
        <v>976</v>
      </c>
      <c r="F869" s="11">
        <v>6.6188890000000002</v>
      </c>
      <c r="G869" s="11">
        <v>62.602778000000001</v>
      </c>
      <c r="H869" s="11">
        <v>1</v>
      </c>
    </row>
    <row r="870" spans="1:8" x14ac:dyDescent="0.3">
      <c r="A870" t="s">
        <v>999</v>
      </c>
      <c r="B870" t="s">
        <v>909</v>
      </c>
      <c r="C870" t="s">
        <v>443</v>
      </c>
      <c r="D870" t="s">
        <v>976</v>
      </c>
      <c r="F870" s="11">
        <v>6.5758330000000003</v>
      </c>
      <c r="G870" s="11">
        <v>62.592778000000003</v>
      </c>
      <c r="H870" s="11">
        <v>1</v>
      </c>
    </row>
    <row r="871" spans="1:8" x14ac:dyDescent="0.3">
      <c r="A871" t="s">
        <v>1000</v>
      </c>
      <c r="B871" t="s">
        <v>909</v>
      </c>
      <c r="C871" t="s">
        <v>446</v>
      </c>
      <c r="D871" t="s">
        <v>976</v>
      </c>
      <c r="F871" s="11">
        <v>6.4330559999999997</v>
      </c>
      <c r="G871" s="11">
        <v>62.603332999999999</v>
      </c>
      <c r="H871" s="11">
        <v>1</v>
      </c>
    </row>
    <row r="872" spans="1:8" x14ac:dyDescent="0.3">
      <c r="A872" t="s">
        <v>1001</v>
      </c>
      <c r="B872" s="6" t="s">
        <v>893</v>
      </c>
      <c r="C872" t="s">
        <v>60</v>
      </c>
      <c r="D872" t="s">
        <v>1002</v>
      </c>
      <c r="F872" s="11">
        <v>6.2883329999999997</v>
      </c>
      <c r="G872" s="11">
        <v>62.597222000000002</v>
      </c>
      <c r="H872" s="11">
        <v>1</v>
      </c>
    </row>
    <row r="873" spans="1:8" x14ac:dyDescent="0.3">
      <c r="A873" t="s">
        <v>1003</v>
      </c>
      <c r="B873" s="6" t="s">
        <v>893</v>
      </c>
      <c r="C873" t="s">
        <v>62</v>
      </c>
      <c r="D873" t="s">
        <v>1002</v>
      </c>
      <c r="F873" s="11">
        <v>6.2675000000000001</v>
      </c>
      <c r="G873" s="11">
        <v>62.529443999999998</v>
      </c>
      <c r="H873" s="11">
        <v>1</v>
      </c>
    </row>
    <row r="874" spans="1:8" x14ac:dyDescent="0.3">
      <c r="A874" t="s">
        <v>1004</v>
      </c>
      <c r="B874" s="6" t="s">
        <v>893</v>
      </c>
      <c r="C874" t="s">
        <v>64</v>
      </c>
      <c r="D874" t="s">
        <v>1002</v>
      </c>
      <c r="F874" s="11">
        <v>6.4333330000000002</v>
      </c>
      <c r="G874" s="11">
        <v>62.528888999999999</v>
      </c>
      <c r="H874" s="11">
        <v>1</v>
      </c>
    </row>
    <row r="875" spans="1:8" x14ac:dyDescent="0.3">
      <c r="A875" t="s">
        <v>1005</v>
      </c>
      <c r="B875" s="6" t="s">
        <v>893</v>
      </c>
      <c r="C875" t="s">
        <v>66</v>
      </c>
      <c r="D875" t="s">
        <v>1002</v>
      </c>
      <c r="F875" s="11">
        <v>6.51</v>
      </c>
      <c r="G875" s="11">
        <v>62.518611</v>
      </c>
      <c r="H875" s="11">
        <v>1</v>
      </c>
    </row>
    <row r="876" spans="1:8" x14ac:dyDescent="0.3">
      <c r="A876" t="s">
        <v>1006</v>
      </c>
      <c r="B876" s="6" t="s">
        <v>893</v>
      </c>
      <c r="C876" t="s">
        <v>68</v>
      </c>
      <c r="D876" t="s">
        <v>1002</v>
      </c>
      <c r="F876" s="11">
        <v>6.6216670000000004</v>
      </c>
      <c r="G876" s="11">
        <v>62.515000000000001</v>
      </c>
      <c r="H876" s="11">
        <v>1</v>
      </c>
    </row>
    <row r="877" spans="1:8" x14ac:dyDescent="0.3">
      <c r="A877" t="s">
        <v>1007</v>
      </c>
      <c r="B877" t="s">
        <v>909</v>
      </c>
      <c r="C877" t="s">
        <v>71</v>
      </c>
      <c r="D877" t="s">
        <v>1002</v>
      </c>
      <c r="F877" s="11">
        <v>6.588889</v>
      </c>
      <c r="G877" s="11">
        <v>62.4925</v>
      </c>
      <c r="H877" s="11">
        <v>1</v>
      </c>
    </row>
    <row r="878" spans="1:8" x14ac:dyDescent="0.3">
      <c r="A878" t="s">
        <v>1008</v>
      </c>
      <c r="B878" t="s">
        <v>909</v>
      </c>
      <c r="C878" t="s">
        <v>73</v>
      </c>
      <c r="D878" t="s">
        <v>1002</v>
      </c>
      <c r="F878" s="11">
        <v>6.4047219999999996</v>
      </c>
      <c r="G878" s="11">
        <v>62.488056</v>
      </c>
      <c r="H878" s="11">
        <v>1</v>
      </c>
    </row>
    <row r="879" spans="1:8" x14ac:dyDescent="0.3">
      <c r="A879" t="s">
        <v>1009</v>
      </c>
      <c r="B879" t="s">
        <v>909</v>
      </c>
      <c r="C879" t="s">
        <v>75</v>
      </c>
      <c r="D879" t="s">
        <v>1002</v>
      </c>
      <c r="F879" s="11">
        <v>6.2422219999999999</v>
      </c>
      <c r="G879" s="11">
        <v>62.462221999999997</v>
      </c>
      <c r="H879" s="11">
        <v>1</v>
      </c>
    </row>
    <row r="880" spans="1:8" x14ac:dyDescent="0.3">
      <c r="A880" t="s">
        <v>1010</v>
      </c>
      <c r="B880" t="s">
        <v>909</v>
      </c>
      <c r="C880" t="s">
        <v>77</v>
      </c>
      <c r="D880" t="s">
        <v>1002</v>
      </c>
      <c r="F880" s="11">
        <v>6.338889</v>
      </c>
      <c r="G880" s="11">
        <v>62.434443999999999</v>
      </c>
      <c r="H880" s="11">
        <v>1</v>
      </c>
    </row>
    <row r="881" spans="1:8" x14ac:dyDescent="0.3">
      <c r="A881" t="s">
        <v>1011</v>
      </c>
      <c r="B881" t="s">
        <v>909</v>
      </c>
      <c r="C881" t="s">
        <v>79</v>
      </c>
      <c r="D881" t="s">
        <v>1002</v>
      </c>
      <c r="F881" s="11">
        <v>6.503889</v>
      </c>
      <c r="G881" s="11">
        <v>62.429167</v>
      </c>
      <c r="H881" s="11">
        <v>1</v>
      </c>
    </row>
    <row r="882" spans="1:8" x14ac:dyDescent="0.3">
      <c r="A882" t="s">
        <v>1012</v>
      </c>
      <c r="B882" t="s">
        <v>909</v>
      </c>
      <c r="C882" t="s">
        <v>81</v>
      </c>
      <c r="D882" t="s">
        <v>1002</v>
      </c>
      <c r="F882" s="11">
        <v>6.6524999999999999</v>
      </c>
      <c r="G882" s="11">
        <v>62.461666999999998</v>
      </c>
      <c r="H882" s="11">
        <v>1</v>
      </c>
    </row>
    <row r="883" spans="1:8" x14ac:dyDescent="0.3">
      <c r="A883" t="s">
        <v>1013</v>
      </c>
      <c r="B883" t="s">
        <v>909</v>
      </c>
      <c r="C883" t="s">
        <v>83</v>
      </c>
      <c r="D883" t="s">
        <v>1002</v>
      </c>
      <c r="F883" s="11">
        <v>6.7916670000000003</v>
      </c>
      <c r="G883" s="11">
        <v>62.476111000000003</v>
      </c>
      <c r="H883" s="11">
        <v>1</v>
      </c>
    </row>
    <row r="884" spans="1:8" x14ac:dyDescent="0.3">
      <c r="A884" t="s">
        <v>1014</v>
      </c>
      <c r="B884" t="s">
        <v>909</v>
      </c>
      <c r="C884" t="s">
        <v>85</v>
      </c>
      <c r="D884" t="s">
        <v>1002</v>
      </c>
      <c r="F884" s="11">
        <v>6.8574999999999999</v>
      </c>
      <c r="G884" s="11">
        <v>62.443888999999999</v>
      </c>
      <c r="H884" s="11">
        <v>1</v>
      </c>
    </row>
    <row r="885" spans="1:8" x14ac:dyDescent="0.3">
      <c r="A885" t="s">
        <v>1015</v>
      </c>
      <c r="B885" t="s">
        <v>909</v>
      </c>
      <c r="C885" t="s">
        <v>87</v>
      </c>
      <c r="D885" t="s">
        <v>1002</v>
      </c>
      <c r="F885" s="11">
        <v>6.954167</v>
      </c>
      <c r="G885" s="11">
        <v>62.385832999999998</v>
      </c>
      <c r="H885" s="11">
        <v>1</v>
      </c>
    </row>
    <row r="886" spans="1:8" x14ac:dyDescent="0.3">
      <c r="A886" t="s">
        <v>1016</v>
      </c>
      <c r="B886" t="s">
        <v>909</v>
      </c>
      <c r="C886" t="s">
        <v>89</v>
      </c>
      <c r="D886" t="s">
        <v>1002</v>
      </c>
      <c r="F886" s="11">
        <v>6.9444439999999998</v>
      </c>
      <c r="G886" s="11">
        <v>62.335000000000001</v>
      </c>
      <c r="H886" s="11">
        <v>1</v>
      </c>
    </row>
    <row r="887" spans="1:8" x14ac:dyDescent="0.3">
      <c r="A887" t="s">
        <v>1017</v>
      </c>
      <c r="B887" t="s">
        <v>909</v>
      </c>
      <c r="C887" t="s">
        <v>302</v>
      </c>
      <c r="D887" t="s">
        <v>1002</v>
      </c>
      <c r="F887" s="11">
        <v>7.0833329999999997</v>
      </c>
      <c r="G887" s="11">
        <v>62.295833000000002</v>
      </c>
      <c r="H887" s="11">
        <v>1</v>
      </c>
    </row>
    <row r="888" spans="1:8" x14ac:dyDescent="0.3">
      <c r="A888" t="s">
        <v>1018</v>
      </c>
      <c r="B888" t="s">
        <v>909</v>
      </c>
      <c r="C888" t="s">
        <v>304</v>
      </c>
      <c r="D888" t="s">
        <v>1002</v>
      </c>
      <c r="F888" s="11">
        <v>7.2555560000000003</v>
      </c>
      <c r="G888" s="11">
        <v>62.285832999999997</v>
      </c>
      <c r="H888" s="11">
        <v>1</v>
      </c>
    </row>
    <row r="889" spans="1:8" x14ac:dyDescent="0.3">
      <c r="A889" t="s">
        <v>1019</v>
      </c>
      <c r="B889" t="s">
        <v>909</v>
      </c>
      <c r="C889" t="s">
        <v>327</v>
      </c>
      <c r="D889" t="s">
        <v>1002</v>
      </c>
      <c r="F889" s="11">
        <v>7.3938889999999997</v>
      </c>
      <c r="G889" s="11">
        <v>62.255833000000003</v>
      </c>
      <c r="H889" s="11">
        <v>1</v>
      </c>
    </row>
    <row r="890" spans="1:8" x14ac:dyDescent="0.3">
      <c r="A890" t="s">
        <v>1020</v>
      </c>
      <c r="B890" t="s">
        <v>909</v>
      </c>
      <c r="C890" t="s">
        <v>369</v>
      </c>
      <c r="D890" t="s">
        <v>1002</v>
      </c>
      <c r="F890" s="11">
        <v>7.355556</v>
      </c>
      <c r="G890" s="11">
        <v>62.258333</v>
      </c>
      <c r="H890" s="11">
        <v>1</v>
      </c>
    </row>
    <row r="891" spans="1:8" x14ac:dyDescent="0.3">
      <c r="A891" t="s">
        <v>1021</v>
      </c>
      <c r="B891" t="s">
        <v>909</v>
      </c>
      <c r="C891" t="s">
        <v>389</v>
      </c>
      <c r="D891" t="s">
        <v>1002</v>
      </c>
      <c r="F891" s="11">
        <v>7.2316669999999998</v>
      </c>
      <c r="G891" s="11">
        <v>62.251944000000002</v>
      </c>
      <c r="H891" s="11">
        <v>1</v>
      </c>
    </row>
    <row r="892" spans="1:8" x14ac:dyDescent="0.3">
      <c r="A892" t="s">
        <v>1022</v>
      </c>
      <c r="B892" t="s">
        <v>909</v>
      </c>
      <c r="C892" t="s">
        <v>407</v>
      </c>
      <c r="D892" t="s">
        <v>1002</v>
      </c>
      <c r="F892" s="11">
        <v>7.0666669999999998</v>
      </c>
      <c r="G892" s="11">
        <v>62.271388999999999</v>
      </c>
      <c r="H892" s="11">
        <v>1</v>
      </c>
    </row>
    <row r="893" spans="1:8" x14ac:dyDescent="0.3">
      <c r="A893" t="s">
        <v>1023</v>
      </c>
      <c r="B893" t="s">
        <v>909</v>
      </c>
      <c r="C893" t="s">
        <v>467</v>
      </c>
      <c r="D893" t="s">
        <v>1002</v>
      </c>
      <c r="F893" s="11">
        <v>7.0377780000000003</v>
      </c>
      <c r="G893" s="11">
        <v>62.199722000000001</v>
      </c>
      <c r="H893" s="11">
        <v>1</v>
      </c>
    </row>
    <row r="894" spans="1:8" x14ac:dyDescent="0.3">
      <c r="A894" t="s">
        <v>1024</v>
      </c>
      <c r="B894" t="s">
        <v>909</v>
      </c>
      <c r="C894" t="s">
        <v>469</v>
      </c>
      <c r="D894" t="s">
        <v>1002</v>
      </c>
      <c r="F894" s="11">
        <v>6.9688889999999999</v>
      </c>
      <c r="G894" s="11">
        <v>62.126666999999998</v>
      </c>
      <c r="H894" s="11">
        <v>1</v>
      </c>
    </row>
    <row r="895" spans="1:8" x14ac:dyDescent="0.3">
      <c r="A895" t="s">
        <v>1025</v>
      </c>
      <c r="B895" t="s">
        <v>909</v>
      </c>
      <c r="C895" t="s">
        <v>443</v>
      </c>
      <c r="D895" t="s">
        <v>1002</v>
      </c>
      <c r="F895" s="11">
        <v>7.0911109999999997</v>
      </c>
      <c r="G895" s="11">
        <v>62.114722</v>
      </c>
      <c r="H895" s="11">
        <v>1</v>
      </c>
    </row>
    <row r="896" spans="1:8" x14ac:dyDescent="0.3">
      <c r="A896" t="s">
        <v>1026</v>
      </c>
      <c r="B896" t="s">
        <v>909</v>
      </c>
      <c r="C896" t="s">
        <v>446</v>
      </c>
      <c r="D896" t="s">
        <v>1002</v>
      </c>
      <c r="F896" s="11">
        <v>7.1766670000000001</v>
      </c>
      <c r="G896" s="11">
        <v>62.102499999999999</v>
      </c>
      <c r="H896" s="11">
        <v>1</v>
      </c>
    </row>
    <row r="897" spans="1:8" x14ac:dyDescent="0.3">
      <c r="A897" t="s">
        <v>1027</v>
      </c>
      <c r="B897" s="6" t="s">
        <v>893</v>
      </c>
      <c r="C897" t="s">
        <v>60</v>
      </c>
      <c r="D897" t="s">
        <v>1028</v>
      </c>
      <c r="F897" s="11">
        <v>7.043056</v>
      </c>
      <c r="G897" s="11">
        <v>62.086388999999997</v>
      </c>
      <c r="H897" s="11">
        <v>1</v>
      </c>
    </row>
    <row r="898" spans="1:8" x14ac:dyDescent="0.3">
      <c r="A898" t="s">
        <v>1029</v>
      </c>
      <c r="B898" s="6" t="s">
        <v>893</v>
      </c>
      <c r="C898" t="s">
        <v>62</v>
      </c>
      <c r="D898" t="s">
        <v>1028</v>
      </c>
      <c r="F898" s="11">
        <v>6.9405559999999999</v>
      </c>
      <c r="G898" s="11">
        <v>62.135832999999998</v>
      </c>
      <c r="H898" s="11">
        <v>1</v>
      </c>
    </row>
    <row r="899" spans="1:8" x14ac:dyDescent="0.3">
      <c r="A899" t="s">
        <v>1030</v>
      </c>
      <c r="B899" s="6" t="s">
        <v>893</v>
      </c>
      <c r="C899" t="s">
        <v>64</v>
      </c>
      <c r="D899" t="s">
        <v>1028</v>
      </c>
      <c r="F899" s="11">
        <v>7.0088889999999999</v>
      </c>
      <c r="G899" s="11">
        <v>62.205556000000001</v>
      </c>
      <c r="H899" s="11">
        <v>1</v>
      </c>
    </row>
    <row r="900" spans="1:8" x14ac:dyDescent="0.3">
      <c r="A900" t="s">
        <v>1031</v>
      </c>
      <c r="B900" s="6" t="s">
        <v>893</v>
      </c>
      <c r="C900" t="s">
        <v>66</v>
      </c>
      <c r="D900" t="s">
        <v>1028</v>
      </c>
      <c r="F900" s="11">
        <v>6.9741669999999996</v>
      </c>
      <c r="G900" s="11">
        <v>62.288611000000003</v>
      </c>
      <c r="H900" s="11">
        <v>1</v>
      </c>
    </row>
    <row r="901" spans="1:8" x14ac:dyDescent="0.3">
      <c r="A901" t="s">
        <v>1032</v>
      </c>
      <c r="B901" s="6" t="s">
        <v>893</v>
      </c>
      <c r="C901" t="s">
        <v>68</v>
      </c>
      <c r="D901" t="s">
        <v>1028</v>
      </c>
      <c r="F901" s="11">
        <v>6.8791669999999998</v>
      </c>
      <c r="G901" s="11">
        <v>62.347222000000002</v>
      </c>
      <c r="H901" s="11">
        <v>1</v>
      </c>
    </row>
    <row r="902" spans="1:8" x14ac:dyDescent="0.3">
      <c r="A902" t="s">
        <v>1033</v>
      </c>
      <c r="B902" t="s">
        <v>909</v>
      </c>
      <c r="C902" t="s">
        <v>71</v>
      </c>
      <c r="D902" t="s">
        <v>1028</v>
      </c>
      <c r="F902" s="11">
        <v>6.8441669999999997</v>
      </c>
      <c r="G902" s="11">
        <v>62.421388999999998</v>
      </c>
      <c r="H902" s="11">
        <v>1</v>
      </c>
    </row>
    <row r="903" spans="1:8" x14ac:dyDescent="0.3">
      <c r="A903" t="s">
        <v>1034</v>
      </c>
      <c r="B903" t="s">
        <v>909</v>
      </c>
      <c r="C903" t="s">
        <v>73</v>
      </c>
      <c r="D903" t="s">
        <v>1028</v>
      </c>
      <c r="F903" s="11">
        <v>6.6780559999999998</v>
      </c>
      <c r="G903" s="11">
        <v>62.440277999999999</v>
      </c>
      <c r="H903" s="11">
        <v>1</v>
      </c>
    </row>
    <row r="904" spans="1:8" x14ac:dyDescent="0.3">
      <c r="A904" t="s">
        <v>1035</v>
      </c>
      <c r="B904" t="s">
        <v>909</v>
      </c>
      <c r="C904" t="s">
        <v>75</v>
      </c>
      <c r="D904" t="s">
        <v>1028</v>
      </c>
      <c r="F904" s="11">
        <v>6.5466670000000002</v>
      </c>
      <c r="G904" s="11">
        <v>62.400278</v>
      </c>
      <c r="H904" s="11">
        <v>1</v>
      </c>
    </row>
    <row r="905" spans="1:8" x14ac:dyDescent="0.3">
      <c r="A905" t="s">
        <v>1036</v>
      </c>
      <c r="B905" t="s">
        <v>909</v>
      </c>
      <c r="C905" t="s">
        <v>77</v>
      </c>
      <c r="D905" t="s">
        <v>1028</v>
      </c>
      <c r="F905" s="11">
        <v>6.5336109999999996</v>
      </c>
      <c r="G905" s="11">
        <v>62.379167000000002</v>
      </c>
      <c r="H905" s="11">
        <v>1</v>
      </c>
    </row>
    <row r="906" spans="1:8" x14ac:dyDescent="0.3">
      <c r="A906" t="s">
        <v>1037</v>
      </c>
      <c r="B906" t="s">
        <v>909</v>
      </c>
      <c r="C906" t="s">
        <v>79</v>
      </c>
      <c r="D906" t="s">
        <v>1028</v>
      </c>
      <c r="F906" s="11">
        <v>6.3969440000000004</v>
      </c>
      <c r="G906" s="11">
        <v>62.38</v>
      </c>
      <c r="H906" s="11">
        <v>1</v>
      </c>
    </row>
    <row r="907" spans="1:8" x14ac:dyDescent="0.3">
      <c r="A907" t="s">
        <v>1038</v>
      </c>
      <c r="B907" t="s">
        <v>909</v>
      </c>
      <c r="C907" t="s">
        <v>81</v>
      </c>
      <c r="D907" t="s">
        <v>1028</v>
      </c>
      <c r="F907" s="11">
        <v>6.4233330000000004</v>
      </c>
      <c r="G907" s="11">
        <v>62.300556</v>
      </c>
      <c r="H907" s="11">
        <v>1</v>
      </c>
    </row>
    <row r="908" spans="1:8" x14ac:dyDescent="0.3">
      <c r="A908" t="s">
        <v>1039</v>
      </c>
      <c r="B908" t="s">
        <v>909</v>
      </c>
      <c r="C908" t="s">
        <v>83</v>
      </c>
      <c r="D908" t="s">
        <v>1028</v>
      </c>
      <c r="F908" s="11">
        <v>6.5033329999999996</v>
      </c>
      <c r="G908" s="11">
        <v>62.236666999999997</v>
      </c>
      <c r="H908" s="11">
        <v>1</v>
      </c>
    </row>
    <row r="909" spans="1:8" x14ac:dyDescent="0.3">
      <c r="A909" t="s">
        <v>1040</v>
      </c>
      <c r="B909" t="s">
        <v>909</v>
      </c>
      <c r="C909" t="s">
        <v>85</v>
      </c>
      <c r="D909" t="s">
        <v>1028</v>
      </c>
      <c r="F909" s="11">
        <v>6.572222</v>
      </c>
      <c r="G909" s="11">
        <v>62.167222000000002</v>
      </c>
      <c r="H909" s="11">
        <v>1</v>
      </c>
    </row>
    <row r="910" spans="1:8" x14ac:dyDescent="0.3">
      <c r="A910" t="s">
        <v>1041</v>
      </c>
      <c r="B910" t="s">
        <v>909</v>
      </c>
      <c r="C910" t="s">
        <v>87</v>
      </c>
      <c r="D910" t="s">
        <v>1028</v>
      </c>
      <c r="F910" s="11">
        <v>6.5294439999999998</v>
      </c>
      <c r="G910" s="11">
        <v>62.106110999999999</v>
      </c>
      <c r="H910" s="11">
        <v>1</v>
      </c>
    </row>
    <row r="911" spans="1:8" x14ac:dyDescent="0.3">
      <c r="A911" t="s">
        <v>1042</v>
      </c>
      <c r="B911" t="s">
        <v>909</v>
      </c>
      <c r="C911" t="s">
        <v>89</v>
      </c>
      <c r="D911" t="s">
        <v>1028</v>
      </c>
      <c r="F911" s="11">
        <v>6.5319440000000002</v>
      </c>
      <c r="G911" s="11">
        <v>62.177778000000004</v>
      </c>
      <c r="H911" s="11">
        <v>1</v>
      </c>
    </row>
    <row r="912" spans="1:8" x14ac:dyDescent="0.3">
      <c r="A912" t="s">
        <v>1043</v>
      </c>
      <c r="B912" t="s">
        <v>909</v>
      </c>
      <c r="C912" t="s">
        <v>302</v>
      </c>
      <c r="D912" t="s">
        <v>1028</v>
      </c>
      <c r="F912" s="11">
        <v>6.4633330000000004</v>
      </c>
      <c r="G912" s="11">
        <v>62.247222000000001</v>
      </c>
      <c r="H912" s="11">
        <v>1</v>
      </c>
    </row>
    <row r="913" spans="1:8" x14ac:dyDescent="0.3">
      <c r="A913" t="s">
        <v>1044</v>
      </c>
      <c r="B913" t="s">
        <v>909</v>
      </c>
      <c r="C913" t="s">
        <v>304</v>
      </c>
      <c r="D913" t="s">
        <v>1028</v>
      </c>
      <c r="F913" s="11">
        <v>6.3769439999999999</v>
      </c>
      <c r="G913" s="11">
        <v>62.309443999999999</v>
      </c>
      <c r="H913" s="11">
        <v>1</v>
      </c>
    </row>
    <row r="914" spans="1:8" x14ac:dyDescent="0.3">
      <c r="A914" t="s">
        <v>1045</v>
      </c>
      <c r="B914" t="s">
        <v>909</v>
      </c>
      <c r="C914" t="s">
        <v>327</v>
      </c>
      <c r="D914" t="s">
        <v>1028</v>
      </c>
      <c r="F914" s="11">
        <v>6.2947220000000002</v>
      </c>
      <c r="G914" s="11">
        <v>62.370832999999998</v>
      </c>
      <c r="H914" s="11">
        <v>1</v>
      </c>
    </row>
    <row r="915" spans="1:8" x14ac:dyDescent="0.3">
      <c r="A915" t="s">
        <v>1046</v>
      </c>
      <c r="B915" t="s">
        <v>909</v>
      </c>
      <c r="C915" t="s">
        <v>369</v>
      </c>
      <c r="D915" t="s">
        <v>1028</v>
      </c>
      <c r="F915" s="11">
        <v>6.1566669999999997</v>
      </c>
      <c r="G915" s="11">
        <v>62.332500000000003</v>
      </c>
      <c r="H915" s="11">
        <v>1</v>
      </c>
    </row>
    <row r="916" spans="1:8" x14ac:dyDescent="0.3">
      <c r="A916" t="s">
        <v>1047</v>
      </c>
      <c r="B916" t="s">
        <v>909</v>
      </c>
      <c r="C916" t="s">
        <v>389</v>
      </c>
      <c r="D916" t="s">
        <v>1028</v>
      </c>
      <c r="F916" s="11">
        <v>6.0163890000000002</v>
      </c>
      <c r="G916" s="11">
        <v>62.295555999999998</v>
      </c>
      <c r="H916" s="11">
        <v>1</v>
      </c>
    </row>
    <row r="917" spans="1:8" x14ac:dyDescent="0.3">
      <c r="A917" t="s">
        <v>1048</v>
      </c>
      <c r="B917" t="s">
        <v>909</v>
      </c>
      <c r="C917" t="s">
        <v>407</v>
      </c>
      <c r="D917" t="s">
        <v>1028</v>
      </c>
      <c r="F917" s="11">
        <v>5.9749999999999996</v>
      </c>
      <c r="G917" s="11">
        <v>62.237222000000003</v>
      </c>
      <c r="H917" s="11">
        <v>1</v>
      </c>
    </row>
    <row r="918" spans="1:8" x14ac:dyDescent="0.3">
      <c r="A918" t="s">
        <v>1049</v>
      </c>
      <c r="B918" t="s">
        <v>909</v>
      </c>
      <c r="C918" t="s">
        <v>467</v>
      </c>
      <c r="D918" t="s">
        <v>1028</v>
      </c>
      <c r="F918" s="11">
        <v>6.02</v>
      </c>
      <c r="G918" s="11">
        <v>62.199722000000001</v>
      </c>
      <c r="H918" s="11">
        <v>1</v>
      </c>
    </row>
    <row r="919" spans="1:8" x14ac:dyDescent="0.3">
      <c r="A919" t="s">
        <v>1050</v>
      </c>
      <c r="B919" t="s">
        <v>909</v>
      </c>
      <c r="C919" t="s">
        <v>469</v>
      </c>
      <c r="D919" t="s">
        <v>1028</v>
      </c>
      <c r="F919" s="11">
        <v>5.9252779999999996</v>
      </c>
      <c r="G919" s="11">
        <v>62.198889000000001</v>
      </c>
      <c r="H919" s="11">
        <v>1</v>
      </c>
    </row>
    <row r="920" spans="1:8" x14ac:dyDescent="0.3">
      <c r="A920" t="s">
        <v>1051</v>
      </c>
      <c r="B920" t="s">
        <v>909</v>
      </c>
      <c r="C920" t="s">
        <v>443</v>
      </c>
      <c r="D920" t="s">
        <v>1028</v>
      </c>
      <c r="F920" s="11">
        <v>6.032222</v>
      </c>
      <c r="G920" s="11">
        <v>62.145555999999999</v>
      </c>
      <c r="H920" s="11">
        <v>1</v>
      </c>
    </row>
    <row r="921" spans="1:8" x14ac:dyDescent="0.3">
      <c r="A921" t="s">
        <v>1052</v>
      </c>
      <c r="B921" t="s">
        <v>909</v>
      </c>
      <c r="C921" t="s">
        <v>446</v>
      </c>
      <c r="D921" t="s">
        <v>1028</v>
      </c>
      <c r="F921" s="11">
        <v>6.1333330000000004</v>
      </c>
      <c r="G921" s="11">
        <v>62.095832999999999</v>
      </c>
      <c r="H921" s="11">
        <v>1</v>
      </c>
    </row>
    <row r="922" spans="1:8" x14ac:dyDescent="0.3">
      <c r="F922" s="11">
        <v>6.3075000000000001</v>
      </c>
      <c r="G922" s="11">
        <v>62.072499999999998</v>
      </c>
      <c r="H922" s="11">
        <v>1</v>
      </c>
    </row>
    <row r="923" spans="1:8" x14ac:dyDescent="0.3">
      <c r="F923" s="11">
        <v>6.2777779999999996</v>
      </c>
      <c r="G923" s="11">
        <v>62.068888999999999</v>
      </c>
      <c r="H923" s="11">
        <v>1</v>
      </c>
    </row>
    <row r="924" spans="1:8" x14ac:dyDescent="0.3">
      <c r="F924" s="11">
        <v>6.1022220000000003</v>
      </c>
      <c r="G924" s="11">
        <v>62.081389000000001</v>
      </c>
      <c r="H924" s="11">
        <v>1</v>
      </c>
    </row>
    <row r="925" spans="1:8" x14ac:dyDescent="0.3">
      <c r="F925" s="11">
        <v>6.0366669999999996</v>
      </c>
      <c r="G925" s="11">
        <v>62.102778000000001</v>
      </c>
      <c r="H925" s="11">
        <v>1</v>
      </c>
    </row>
    <row r="926" spans="1:8" x14ac:dyDescent="0.3">
      <c r="F926" s="11">
        <v>5.9494439999999997</v>
      </c>
      <c r="G926" s="11">
        <v>62.113056</v>
      </c>
      <c r="H926" s="11">
        <v>1</v>
      </c>
    </row>
    <row r="927" spans="1:8" x14ac:dyDescent="0.3">
      <c r="F927" s="11">
        <v>5.8833330000000004</v>
      </c>
      <c r="G927" s="11">
        <v>62.04</v>
      </c>
      <c r="H927" s="11">
        <v>1</v>
      </c>
    </row>
    <row r="928" spans="1:8" x14ac:dyDescent="0.3">
      <c r="F928" s="11">
        <v>5.8724999999999996</v>
      </c>
      <c r="G928" s="11">
        <v>62.065556000000001</v>
      </c>
      <c r="H928" s="11">
        <v>1</v>
      </c>
    </row>
    <row r="929" spans="6:8" x14ac:dyDescent="0.3">
      <c r="F929" s="11">
        <v>5.924722</v>
      </c>
      <c r="G929" s="11">
        <v>62.147221999999999</v>
      </c>
      <c r="H929" s="11">
        <v>1</v>
      </c>
    </row>
    <row r="930" spans="6:8" x14ac:dyDescent="0.3">
      <c r="F930" s="11">
        <v>5.8258330000000003</v>
      </c>
      <c r="G930" s="11">
        <v>62.193610999999997</v>
      </c>
      <c r="H930" s="11">
        <v>1</v>
      </c>
    </row>
    <row r="931" spans="6:8" x14ac:dyDescent="0.3">
      <c r="F931" s="11">
        <v>5.668056</v>
      </c>
      <c r="G931" s="11">
        <v>62.165556000000002</v>
      </c>
      <c r="H931" s="11">
        <v>1</v>
      </c>
    </row>
    <row r="932" spans="6:8" x14ac:dyDescent="0.3">
      <c r="F932" s="11">
        <v>5.737222</v>
      </c>
      <c r="G932" s="11">
        <v>62.098889</v>
      </c>
      <c r="H932" s="11">
        <v>1</v>
      </c>
    </row>
    <row r="933" spans="6:8" x14ac:dyDescent="0.3">
      <c r="F933" s="11">
        <v>5.6541670000000002</v>
      </c>
      <c r="G933" s="11">
        <v>62.125278000000002</v>
      </c>
      <c r="H933" s="11">
        <v>1</v>
      </c>
    </row>
    <row r="934" spans="6:8" x14ac:dyDescent="0.3">
      <c r="F934" s="11">
        <v>5.5311110000000001</v>
      </c>
      <c r="G934" s="11">
        <v>62.171666999999999</v>
      </c>
      <c r="H934" s="11">
        <v>1</v>
      </c>
    </row>
    <row r="935" spans="6:8" x14ac:dyDescent="0.3">
      <c r="F935" s="11">
        <v>5.41</v>
      </c>
      <c r="G935" s="11">
        <v>62.151111</v>
      </c>
      <c r="H935" s="11">
        <v>1</v>
      </c>
    </row>
    <row r="936" spans="6:8" x14ac:dyDescent="0.3">
      <c r="F936" s="11">
        <v>5.4630559999999999</v>
      </c>
      <c r="G936" s="11">
        <v>62.095832999999999</v>
      </c>
      <c r="H936" s="11">
        <v>1</v>
      </c>
    </row>
    <row r="937" spans="6:8" x14ac:dyDescent="0.3">
      <c r="F937" s="11">
        <v>5.5797220000000003</v>
      </c>
      <c r="G937" s="11">
        <v>62.065277999999999</v>
      </c>
      <c r="H937" s="11">
        <v>1</v>
      </c>
    </row>
    <row r="938" spans="6:8" x14ac:dyDescent="0.3">
      <c r="F938" s="11">
        <v>5.4969440000000001</v>
      </c>
      <c r="G938" s="11">
        <v>62.025556000000002</v>
      </c>
      <c r="H938" s="11">
        <v>1</v>
      </c>
    </row>
    <row r="939" spans="6:8" x14ac:dyDescent="0.3">
      <c r="F939" s="11">
        <v>5.4466669999999997</v>
      </c>
      <c r="G939" s="11">
        <v>62.057499999999997</v>
      </c>
      <c r="H939" s="11">
        <v>1</v>
      </c>
    </row>
    <row r="940" spans="6:8" x14ac:dyDescent="0.3">
      <c r="F940" s="11">
        <v>5.3283329999999998</v>
      </c>
      <c r="G940" s="11">
        <v>62.105556</v>
      </c>
      <c r="H940" s="11">
        <v>1</v>
      </c>
    </row>
    <row r="941" spans="6:8" x14ac:dyDescent="0.3">
      <c r="F941" s="11">
        <v>5.2563890000000004</v>
      </c>
      <c r="G941" s="11">
        <v>62.168889</v>
      </c>
      <c r="H941" s="11">
        <v>1</v>
      </c>
    </row>
    <row r="942" spans="6:8" x14ac:dyDescent="0.3">
      <c r="F942" s="11">
        <v>5.145556</v>
      </c>
      <c r="G942" s="11">
        <v>62.207222000000002</v>
      </c>
      <c r="H942" s="11">
        <v>1</v>
      </c>
    </row>
    <row r="943" spans="6:8" x14ac:dyDescent="0.3">
      <c r="H943" s="11">
        <v>1</v>
      </c>
    </row>
    <row r="944" spans="6:8" x14ac:dyDescent="0.3">
      <c r="F944" s="11">
        <v>5.1180560000000002</v>
      </c>
      <c r="G944" s="11">
        <v>62.1325</v>
      </c>
      <c r="H944" s="11">
        <v>1</v>
      </c>
    </row>
    <row r="945" spans="6:8" x14ac:dyDescent="0.3">
      <c r="F945" s="11">
        <v>5.1966669999999997</v>
      </c>
      <c r="G945" s="11">
        <v>62.098889</v>
      </c>
      <c r="H945" s="11">
        <v>1</v>
      </c>
    </row>
    <row r="946" spans="6:8" x14ac:dyDescent="0.3">
      <c r="F946" s="11">
        <v>5.3136109999999999</v>
      </c>
      <c r="G946" s="11">
        <v>62.05</v>
      </c>
      <c r="H946" s="11">
        <v>1</v>
      </c>
    </row>
    <row r="947" spans="6:8" x14ac:dyDescent="0.3">
      <c r="F947" s="11">
        <v>5.3577779999999997</v>
      </c>
      <c r="G947" s="11">
        <v>62.013610999999997</v>
      </c>
      <c r="H947" s="11">
        <v>1</v>
      </c>
    </row>
    <row r="948" spans="6:8" x14ac:dyDescent="0.3">
      <c r="F948" s="11">
        <v>5.2491669999999999</v>
      </c>
      <c r="G948" s="11">
        <v>61.973889</v>
      </c>
      <c r="H948" s="11">
        <v>1</v>
      </c>
    </row>
    <row r="949" spans="6:8" x14ac:dyDescent="0.3">
      <c r="F949" s="11">
        <v>5.1727780000000001</v>
      </c>
      <c r="G949" s="11">
        <v>61.953888999999997</v>
      </c>
      <c r="H949" s="11">
        <v>1</v>
      </c>
    </row>
    <row r="950" spans="6:8" x14ac:dyDescent="0.3">
      <c r="F950" s="11">
        <v>5.1108330000000004</v>
      </c>
      <c r="G950" s="11">
        <v>61.925277999999999</v>
      </c>
      <c r="H950" s="11">
        <v>1</v>
      </c>
    </row>
    <row r="951" spans="6:8" x14ac:dyDescent="0.3">
      <c r="F951" s="11">
        <v>5.200278</v>
      </c>
      <c r="G951" s="11">
        <v>61.908611000000001</v>
      </c>
      <c r="H951" s="11">
        <v>1</v>
      </c>
    </row>
    <row r="952" spans="6:8" x14ac:dyDescent="0.3">
      <c r="F952" s="11">
        <v>5.3686109999999996</v>
      </c>
      <c r="G952" s="11">
        <v>61.924999999999997</v>
      </c>
      <c r="H952" s="11">
        <v>1</v>
      </c>
    </row>
    <row r="953" spans="6:8" x14ac:dyDescent="0.3">
      <c r="F953" s="11">
        <v>5.519444</v>
      </c>
      <c r="G953" s="11">
        <v>61.927222</v>
      </c>
      <c r="H953" s="11">
        <v>1</v>
      </c>
    </row>
    <row r="954" spans="6:8" x14ac:dyDescent="0.3">
      <c r="F954" s="11">
        <v>5.7055559999999996</v>
      </c>
      <c r="G954" s="11">
        <v>61.911110999999998</v>
      </c>
      <c r="H954" s="11">
        <v>1</v>
      </c>
    </row>
    <row r="955" spans="6:8" x14ac:dyDescent="0.3">
      <c r="F955" s="11">
        <v>5.9080560000000002</v>
      </c>
      <c r="G955" s="11">
        <v>61.913888999999998</v>
      </c>
      <c r="H955" s="11">
        <v>1</v>
      </c>
    </row>
    <row r="956" spans="6:8" x14ac:dyDescent="0.3">
      <c r="F956" s="11">
        <v>5.835</v>
      </c>
      <c r="G956" s="11">
        <v>61.901111</v>
      </c>
      <c r="H956" s="11">
        <v>1</v>
      </c>
    </row>
    <row r="957" spans="6:8" x14ac:dyDescent="0.3">
      <c r="F957" s="11">
        <v>5.7575000000000003</v>
      </c>
      <c r="G957" s="11">
        <v>61.868889000000003</v>
      </c>
      <c r="H957" s="11">
        <v>1</v>
      </c>
    </row>
    <row r="958" spans="6:8" x14ac:dyDescent="0.3">
      <c r="F958" s="11">
        <v>5.894444</v>
      </c>
      <c r="G958" s="11">
        <v>61.879167000000002</v>
      </c>
      <c r="H958" s="11">
        <v>1</v>
      </c>
    </row>
    <row r="959" spans="6:8" x14ac:dyDescent="0.3">
      <c r="F959" s="11">
        <v>6.0661110000000003</v>
      </c>
      <c r="G959" s="11">
        <v>61.855277999999998</v>
      </c>
      <c r="H959" s="11">
        <v>1</v>
      </c>
    </row>
    <row r="960" spans="6:8" x14ac:dyDescent="0.3">
      <c r="F960" s="11">
        <v>6.1986109999999996</v>
      </c>
      <c r="G960" s="11">
        <v>61.850278000000003</v>
      </c>
      <c r="H960" s="11">
        <v>1</v>
      </c>
    </row>
    <row r="961" spans="6:8" x14ac:dyDescent="0.3">
      <c r="F961" s="11">
        <v>6.3605559999999999</v>
      </c>
      <c r="G961" s="11">
        <v>61.835278000000002</v>
      </c>
      <c r="H961" s="11">
        <v>1</v>
      </c>
    </row>
    <row r="962" spans="6:8" x14ac:dyDescent="0.3">
      <c r="F962" s="11">
        <v>6.5183330000000002</v>
      </c>
      <c r="G962" s="11">
        <v>61.847222000000002</v>
      </c>
      <c r="H962" s="11">
        <v>1</v>
      </c>
    </row>
    <row r="963" spans="6:8" x14ac:dyDescent="0.3">
      <c r="F963" s="11">
        <v>6.6516669999999998</v>
      </c>
      <c r="G963" s="11">
        <v>61.884999999999998</v>
      </c>
      <c r="H963" s="11">
        <v>1</v>
      </c>
    </row>
    <row r="964" spans="6:8" x14ac:dyDescent="0.3">
      <c r="F964" s="11">
        <v>6.7841670000000001</v>
      </c>
      <c r="G964" s="11">
        <v>61.868889000000003</v>
      </c>
      <c r="H964" s="11">
        <v>1</v>
      </c>
    </row>
    <row r="965" spans="6:8" x14ac:dyDescent="0.3">
      <c r="F965" s="11">
        <v>6.7458330000000002</v>
      </c>
      <c r="G965" s="11">
        <v>61.854166999999997</v>
      </c>
      <c r="H965" s="11">
        <v>1</v>
      </c>
    </row>
    <row r="966" spans="6:8" x14ac:dyDescent="0.3">
      <c r="F966" s="11">
        <v>6.5758330000000003</v>
      </c>
      <c r="G966" s="11">
        <v>61.863610999999999</v>
      </c>
      <c r="H966" s="11">
        <v>1</v>
      </c>
    </row>
    <row r="967" spans="6:8" x14ac:dyDescent="0.3">
      <c r="F967" s="11">
        <v>6.5091669999999997</v>
      </c>
      <c r="G967" s="11">
        <v>61.805833</v>
      </c>
      <c r="H967" s="11">
        <v>1</v>
      </c>
    </row>
    <row r="968" spans="6:8" x14ac:dyDescent="0.3">
      <c r="F968" s="11">
        <v>6.3533330000000001</v>
      </c>
      <c r="G968" s="11">
        <v>61.81</v>
      </c>
      <c r="H968" s="11">
        <v>1</v>
      </c>
    </row>
    <row r="969" spans="6:8" x14ac:dyDescent="0.3">
      <c r="F969" s="11">
        <v>6.1966669999999997</v>
      </c>
      <c r="G969" s="11">
        <v>61.833610999999998</v>
      </c>
      <c r="H969" s="11">
        <v>1</v>
      </c>
    </row>
    <row r="970" spans="6:8" x14ac:dyDescent="0.3">
      <c r="F970" s="11">
        <v>6.0769440000000001</v>
      </c>
      <c r="G970" s="11">
        <v>61.818610999999997</v>
      </c>
      <c r="H970" s="11">
        <v>1</v>
      </c>
    </row>
    <row r="971" spans="6:8" x14ac:dyDescent="0.3">
      <c r="F971" s="11">
        <v>6.1780559999999998</v>
      </c>
      <c r="G971" s="11">
        <v>61.765833000000001</v>
      </c>
      <c r="H971" s="11">
        <v>1</v>
      </c>
    </row>
    <row r="972" spans="6:8" x14ac:dyDescent="0.3">
      <c r="F972" s="11">
        <v>6.0552780000000004</v>
      </c>
      <c r="G972" s="11">
        <v>61.806666999999997</v>
      </c>
      <c r="H972" s="11">
        <v>1</v>
      </c>
    </row>
    <row r="973" spans="6:8" x14ac:dyDescent="0.3">
      <c r="F973" s="11">
        <v>5.9577780000000002</v>
      </c>
      <c r="G973" s="11">
        <v>61.795000000000002</v>
      </c>
      <c r="H973" s="11">
        <v>1</v>
      </c>
    </row>
    <row r="974" spans="6:8" x14ac:dyDescent="0.3">
      <c r="F974" s="11">
        <v>5.9024999999999999</v>
      </c>
      <c r="G974" s="11">
        <v>61.75</v>
      </c>
      <c r="H974" s="11">
        <v>1</v>
      </c>
    </row>
    <row r="975" spans="6:8" x14ac:dyDescent="0.3">
      <c r="F975" s="11">
        <v>5.947222</v>
      </c>
      <c r="G975" s="11">
        <v>61.835278000000002</v>
      </c>
      <c r="H975" s="11">
        <v>1</v>
      </c>
    </row>
    <row r="976" spans="6:8" x14ac:dyDescent="0.3">
      <c r="F976" s="11">
        <v>5.782222</v>
      </c>
      <c r="G976" s="11">
        <v>61.836666999999998</v>
      </c>
      <c r="H976" s="11">
        <v>1</v>
      </c>
    </row>
    <row r="977" spans="6:8" x14ac:dyDescent="0.3">
      <c r="F977" s="11">
        <v>5.6263889999999996</v>
      </c>
      <c r="G977" s="11">
        <v>61.808610999999999</v>
      </c>
      <c r="H977" s="11">
        <v>1</v>
      </c>
    </row>
    <row r="978" spans="6:8" x14ac:dyDescent="0.3">
      <c r="F978" s="11">
        <v>5.7391670000000001</v>
      </c>
      <c r="G978" s="11">
        <v>61.844999999999999</v>
      </c>
      <c r="H978" s="11">
        <v>1</v>
      </c>
    </row>
    <row r="979" spans="6:8" x14ac:dyDescent="0.3">
      <c r="F979" s="11">
        <v>5.6130560000000003</v>
      </c>
      <c r="G979" s="11">
        <v>61.889443999999997</v>
      </c>
      <c r="H979" s="11">
        <v>1</v>
      </c>
    </row>
    <row r="980" spans="6:8" x14ac:dyDescent="0.3">
      <c r="F980" s="11">
        <v>5.4491670000000001</v>
      </c>
      <c r="G980" s="11">
        <v>61.908611000000001</v>
      </c>
      <c r="H980" s="11">
        <v>1</v>
      </c>
    </row>
    <row r="981" spans="6:8" x14ac:dyDescent="0.3">
      <c r="F981" s="11">
        <v>5.3161110000000003</v>
      </c>
      <c r="G981" s="11">
        <v>61.873610999999997</v>
      </c>
      <c r="H981" s="11">
        <v>1</v>
      </c>
    </row>
    <row r="982" spans="6:8" x14ac:dyDescent="0.3">
      <c r="F982" s="11">
        <v>5.29</v>
      </c>
      <c r="G982" s="11">
        <v>61.836944000000003</v>
      </c>
      <c r="H982" s="11">
        <v>1</v>
      </c>
    </row>
    <row r="983" spans="6:8" x14ac:dyDescent="0.3">
      <c r="F983" s="11">
        <v>5.1736110000000002</v>
      </c>
      <c r="G983" s="11">
        <v>61.8</v>
      </c>
      <c r="H983" s="11">
        <v>1</v>
      </c>
    </row>
    <row r="984" spans="6:8" x14ac:dyDescent="0.3">
      <c r="F984" s="11">
        <v>5.0727779999999996</v>
      </c>
      <c r="G984" s="11">
        <v>61.755555999999999</v>
      </c>
      <c r="H984" s="11">
        <v>1</v>
      </c>
    </row>
    <row r="985" spans="6:8" x14ac:dyDescent="0.3">
      <c r="F985" s="11">
        <v>5.2130559999999999</v>
      </c>
      <c r="G985" s="11">
        <v>61.761667000000003</v>
      </c>
      <c r="H985" s="11">
        <v>1</v>
      </c>
    </row>
    <row r="986" spans="6:8" x14ac:dyDescent="0.3">
      <c r="F986" s="11">
        <v>5.1633329999999997</v>
      </c>
      <c r="G986" s="11">
        <v>61.718333000000001</v>
      </c>
      <c r="H986" s="11">
        <v>1</v>
      </c>
    </row>
    <row r="987" spans="6:8" x14ac:dyDescent="0.3">
      <c r="F987" s="11">
        <v>5.0688890000000004</v>
      </c>
      <c r="G987" s="11">
        <v>61.743333</v>
      </c>
      <c r="H987" s="11">
        <v>1</v>
      </c>
    </row>
    <row r="988" spans="6:8" x14ac:dyDescent="0.3">
      <c r="F988" s="11">
        <v>4.9594440000000004</v>
      </c>
      <c r="G988" s="11">
        <v>61.715277999999998</v>
      </c>
      <c r="H988" s="11">
        <v>1</v>
      </c>
    </row>
    <row r="989" spans="6:8" x14ac:dyDescent="0.3">
      <c r="F989" s="11">
        <v>4.9636110000000002</v>
      </c>
      <c r="G989" s="11">
        <v>61.645000000000003</v>
      </c>
      <c r="H989" s="11">
        <v>1</v>
      </c>
    </row>
    <row r="990" spans="6:8" x14ac:dyDescent="0.3">
      <c r="F990" s="11">
        <v>5.094722</v>
      </c>
      <c r="G990" s="11">
        <v>61.630555999999999</v>
      </c>
      <c r="H990" s="11">
        <v>1</v>
      </c>
    </row>
    <row r="991" spans="6:8" x14ac:dyDescent="0.3">
      <c r="F991" s="11">
        <v>5.273333</v>
      </c>
      <c r="G991" s="11">
        <v>61.635278</v>
      </c>
      <c r="H991" s="11">
        <v>1</v>
      </c>
    </row>
    <row r="992" spans="6:8" x14ac:dyDescent="0.3">
      <c r="F992" s="11">
        <v>5.2816669999999997</v>
      </c>
      <c r="G992" s="11">
        <v>61.626666999999998</v>
      </c>
      <c r="H992" s="11">
        <v>1</v>
      </c>
    </row>
    <row r="993" spans="6:8" x14ac:dyDescent="0.3">
      <c r="F993" s="11">
        <v>5.1091670000000002</v>
      </c>
      <c r="G993" s="11">
        <v>61.607500000000002</v>
      </c>
      <c r="H993" s="11">
        <v>1</v>
      </c>
    </row>
    <row r="994" spans="6:8" x14ac:dyDescent="0.3">
      <c r="F994" s="11">
        <v>5.2630559999999997</v>
      </c>
      <c r="G994" s="11">
        <v>61.611944000000001</v>
      </c>
      <c r="H994" s="11">
        <v>1</v>
      </c>
    </row>
    <row r="995" spans="6:8" x14ac:dyDescent="0.3">
      <c r="F995" s="11">
        <v>5.4244440000000003</v>
      </c>
      <c r="G995" s="11">
        <v>61.583610999999998</v>
      </c>
      <c r="H995" s="11">
        <v>1</v>
      </c>
    </row>
    <row r="996" spans="6:8" x14ac:dyDescent="0.3">
      <c r="F996" s="11">
        <v>5.3369439999999999</v>
      </c>
      <c r="G996" s="11">
        <v>61.592778000000003</v>
      </c>
      <c r="H996" s="11">
        <v>1</v>
      </c>
    </row>
    <row r="997" spans="6:8" x14ac:dyDescent="0.3">
      <c r="F997" s="11">
        <v>5.1486109999999998</v>
      </c>
      <c r="G997" s="11">
        <v>61.593055999999997</v>
      </c>
      <c r="H997" s="11">
        <v>1</v>
      </c>
    </row>
    <row r="998" spans="6:8" x14ac:dyDescent="0.3">
      <c r="F998" s="11">
        <v>5.293056</v>
      </c>
      <c r="G998" s="11">
        <v>61.566667000000002</v>
      </c>
      <c r="H998" s="11">
        <v>1</v>
      </c>
    </row>
    <row r="999" spans="6:8" x14ac:dyDescent="0.3">
      <c r="F999" s="11">
        <v>5.2630559999999997</v>
      </c>
      <c r="G999" s="11">
        <v>61.551943999999999</v>
      </c>
      <c r="H999" s="11">
        <v>1</v>
      </c>
    </row>
    <row r="1000" spans="6:8" x14ac:dyDescent="0.3">
      <c r="F1000" s="11">
        <v>5.1375000000000002</v>
      </c>
      <c r="G1000" s="11">
        <v>61.536110999999998</v>
      </c>
      <c r="H1000" s="11">
        <v>1</v>
      </c>
    </row>
    <row r="1001" spans="6:8" x14ac:dyDescent="0.3">
      <c r="F1001" s="11">
        <v>5.25</v>
      </c>
      <c r="G1001" s="11">
        <v>61.493056000000003</v>
      </c>
      <c r="H1001" s="11">
        <v>1</v>
      </c>
    </row>
    <row r="1002" spans="6:8" x14ac:dyDescent="0.3">
      <c r="F1002" s="11">
        <v>5.433611</v>
      </c>
      <c r="G1002" s="11">
        <v>61.48</v>
      </c>
      <c r="H1002" s="11">
        <v>1</v>
      </c>
    </row>
    <row r="1003" spans="6:8" x14ac:dyDescent="0.3">
      <c r="F1003" s="11">
        <v>5.5444440000000004</v>
      </c>
      <c r="G1003" s="11">
        <v>61.457222000000002</v>
      </c>
      <c r="H1003" s="11">
        <v>1</v>
      </c>
    </row>
    <row r="1004" spans="6:8" x14ac:dyDescent="0.3">
      <c r="F1004" s="11">
        <v>5.6802780000000004</v>
      </c>
      <c r="G1004" s="11">
        <v>61.494722000000003</v>
      </c>
      <c r="H1004" s="11">
        <v>1</v>
      </c>
    </row>
    <row r="1005" spans="6:8" x14ac:dyDescent="0.3">
      <c r="F1005" s="11">
        <v>5.8049999999999997</v>
      </c>
      <c r="G1005" s="11">
        <v>61.452778000000002</v>
      </c>
      <c r="H1005" s="11">
        <v>1</v>
      </c>
    </row>
    <row r="1006" spans="6:8" x14ac:dyDescent="0.3">
      <c r="F1006" s="11">
        <v>5.6852780000000003</v>
      </c>
      <c r="G1006" s="11">
        <v>61.483611000000003</v>
      </c>
      <c r="H1006" s="11">
        <v>1</v>
      </c>
    </row>
    <row r="1007" spans="6:8" x14ac:dyDescent="0.3">
      <c r="F1007" s="11">
        <v>5.5505560000000003</v>
      </c>
      <c r="G1007" s="11">
        <v>61.445556000000003</v>
      </c>
      <c r="H1007" s="11">
        <v>1</v>
      </c>
    </row>
    <row r="1008" spans="6:8" x14ac:dyDescent="0.3">
      <c r="F1008" s="11">
        <v>5.4105559999999997</v>
      </c>
      <c r="G1008" s="11">
        <v>61.443333000000003</v>
      </c>
      <c r="H1008" s="11">
        <v>1</v>
      </c>
    </row>
    <row r="1009" spans="6:8" x14ac:dyDescent="0.3">
      <c r="F1009" s="11">
        <v>5.3274999999999997</v>
      </c>
      <c r="G1009" s="11">
        <v>61.449722000000001</v>
      </c>
      <c r="H1009" s="11">
        <v>1</v>
      </c>
    </row>
    <row r="1010" spans="6:8" x14ac:dyDescent="0.3">
      <c r="F1010" s="11">
        <v>5.1858329999999997</v>
      </c>
      <c r="G1010" s="11">
        <v>61.463611</v>
      </c>
      <c r="H1010" s="11">
        <v>1</v>
      </c>
    </row>
    <row r="1011" spans="6:8" x14ac:dyDescent="0.3">
      <c r="F1011" s="11">
        <v>5.0408330000000001</v>
      </c>
      <c r="G1011" s="11">
        <v>61.433610999999999</v>
      </c>
      <c r="H1011" s="11">
        <v>1</v>
      </c>
    </row>
    <row r="1012" spans="6:8" x14ac:dyDescent="0.3">
      <c r="F1012" s="11">
        <v>4.9944439999999997</v>
      </c>
      <c r="G1012" s="11">
        <v>61.403888999999999</v>
      </c>
      <c r="H1012" s="11">
        <v>1</v>
      </c>
    </row>
    <row r="1013" spans="6:8" x14ac:dyDescent="0.3">
      <c r="F1013" s="11">
        <v>5.1100000000000003</v>
      </c>
      <c r="G1013" s="11">
        <v>61.411943999999998</v>
      </c>
      <c r="H1013" s="11">
        <v>1</v>
      </c>
    </row>
    <row r="1014" spans="6:8" x14ac:dyDescent="0.3">
      <c r="F1014" s="11">
        <v>5.0483330000000004</v>
      </c>
      <c r="G1014" s="11">
        <v>61.394722000000002</v>
      </c>
      <c r="H1014" s="11">
        <v>1</v>
      </c>
    </row>
    <row r="1015" spans="6:8" x14ac:dyDescent="0.3">
      <c r="F1015" s="11">
        <v>5.0244439999999999</v>
      </c>
      <c r="G1015" s="11">
        <v>61.337499999999999</v>
      </c>
      <c r="H1015" s="11">
        <v>1</v>
      </c>
    </row>
    <row r="1016" spans="6:8" x14ac:dyDescent="0.3">
      <c r="F1016" s="11">
        <v>5.1047219999999998</v>
      </c>
      <c r="G1016" s="11">
        <v>61.333333000000003</v>
      </c>
      <c r="H1016" s="11">
        <v>1</v>
      </c>
    </row>
    <row r="1017" spans="6:8" x14ac:dyDescent="0.3">
      <c r="F1017" s="11">
        <v>5.2519439999999999</v>
      </c>
      <c r="G1017" s="11">
        <v>61.364722</v>
      </c>
      <c r="H1017" s="11">
        <v>1</v>
      </c>
    </row>
    <row r="1018" spans="6:8" x14ac:dyDescent="0.3">
      <c r="F1018" s="11">
        <v>5.4327779999999999</v>
      </c>
      <c r="G1018" s="11">
        <v>61.376111000000002</v>
      </c>
      <c r="H1018" s="11">
        <v>1</v>
      </c>
    </row>
    <row r="1019" spans="6:8" x14ac:dyDescent="0.3">
      <c r="F1019" s="11">
        <v>5.6174999999999997</v>
      </c>
      <c r="G1019" s="11">
        <v>61.366388999999998</v>
      </c>
      <c r="H1019" s="11">
        <v>1</v>
      </c>
    </row>
    <row r="1020" spans="6:8" x14ac:dyDescent="0.3">
      <c r="F1020" s="11">
        <v>5.4897220000000004</v>
      </c>
      <c r="G1020" s="11">
        <v>61.370832999999998</v>
      </c>
      <c r="H1020" s="11">
        <v>1</v>
      </c>
    </row>
    <row r="1021" spans="6:8" x14ac:dyDescent="0.3">
      <c r="F1021" s="11">
        <v>5.3313889999999997</v>
      </c>
      <c r="G1021" s="11">
        <v>61.349722</v>
      </c>
      <c r="H1021" s="11">
        <v>1</v>
      </c>
    </row>
    <row r="1022" spans="6:8" x14ac:dyDescent="0.3">
      <c r="F1022" s="11">
        <v>5.3202780000000001</v>
      </c>
      <c r="G1022" s="11">
        <v>61.318055999999999</v>
      </c>
      <c r="H1022" s="11">
        <v>1</v>
      </c>
    </row>
    <row r="1023" spans="6:8" x14ac:dyDescent="0.3">
      <c r="F1023" s="11">
        <v>5.3075000000000001</v>
      </c>
      <c r="G1023" s="11">
        <v>61.260556000000001</v>
      </c>
      <c r="H1023" s="11">
        <v>1</v>
      </c>
    </row>
    <row r="1024" spans="6:8" x14ac:dyDescent="0.3">
      <c r="F1024" s="11">
        <v>5.2469440000000001</v>
      </c>
      <c r="G1024" s="11">
        <v>61.333055999999999</v>
      </c>
      <c r="H1024" s="11">
        <v>1</v>
      </c>
    </row>
    <row r="1025" spans="6:8" x14ac:dyDescent="0.3">
      <c r="F1025" s="11">
        <v>5.1197220000000003</v>
      </c>
      <c r="G1025" s="11">
        <v>61.301389</v>
      </c>
      <c r="H1025" s="11">
        <v>1</v>
      </c>
    </row>
    <row r="1026" spans="6:8" x14ac:dyDescent="0.3">
      <c r="F1026" s="11">
        <v>4.9830560000000004</v>
      </c>
      <c r="G1026" s="11">
        <v>61.271943999999998</v>
      </c>
      <c r="H1026" s="11">
        <v>1</v>
      </c>
    </row>
    <row r="1027" spans="6:8" x14ac:dyDescent="0.3">
      <c r="F1027" s="11">
        <v>5.0180559999999996</v>
      </c>
      <c r="G1027" s="11">
        <v>61.236944000000001</v>
      </c>
      <c r="H1027" s="11">
        <v>1</v>
      </c>
    </row>
    <row r="1028" spans="6:8" x14ac:dyDescent="0.3">
      <c r="F1028" s="11">
        <v>4.9950000000000001</v>
      </c>
      <c r="G1028" s="11">
        <v>61.215833000000003</v>
      </c>
      <c r="H1028" s="11">
        <v>1</v>
      </c>
    </row>
    <row r="1029" spans="6:8" x14ac:dyDescent="0.3">
      <c r="F1029" s="11">
        <v>5.1580560000000002</v>
      </c>
      <c r="G1029" s="11">
        <v>61.214167000000003</v>
      </c>
      <c r="H1029" s="11">
        <v>1</v>
      </c>
    </row>
    <row r="1030" spans="6:8" x14ac:dyDescent="0.3">
      <c r="F1030" s="11">
        <v>5.2180559999999998</v>
      </c>
      <c r="G1030" s="11">
        <v>61.173056000000003</v>
      </c>
      <c r="H1030" s="11">
        <v>1</v>
      </c>
    </row>
    <row r="1031" spans="6:8" x14ac:dyDescent="0.3">
      <c r="F1031" s="11">
        <v>5.0977779999999999</v>
      </c>
      <c r="G1031" s="11">
        <v>61.189444000000002</v>
      </c>
      <c r="H1031" s="11">
        <v>1</v>
      </c>
    </row>
    <row r="1032" spans="6:8" x14ac:dyDescent="0.3">
      <c r="F1032" s="11">
        <v>5.1074999999999999</v>
      </c>
      <c r="G1032" s="11">
        <v>61.144722000000002</v>
      </c>
      <c r="H1032" s="11">
        <v>1</v>
      </c>
    </row>
    <row r="1033" spans="6:8" x14ac:dyDescent="0.3">
      <c r="F1033" s="11">
        <v>5.223611</v>
      </c>
      <c r="G1033" s="11">
        <v>61.132221999999999</v>
      </c>
      <c r="H1033" s="11">
        <v>1</v>
      </c>
    </row>
    <row r="1034" spans="6:8" x14ac:dyDescent="0.3">
      <c r="F1034" s="11">
        <v>5.2072219999999998</v>
      </c>
      <c r="G1034" s="11">
        <v>61.100833000000002</v>
      </c>
      <c r="H1034" s="11">
        <v>1</v>
      </c>
    </row>
    <row r="1035" spans="6:8" x14ac:dyDescent="0.3">
      <c r="F1035" s="11">
        <v>5.3144439999999999</v>
      </c>
      <c r="G1035" s="11">
        <v>61.104722000000002</v>
      </c>
      <c r="H1035" s="11">
        <v>1</v>
      </c>
    </row>
    <row r="1036" spans="6:8" x14ac:dyDescent="0.3">
      <c r="F1036" s="11">
        <v>5.4322220000000003</v>
      </c>
      <c r="G1036" s="11">
        <v>61.079166999999998</v>
      </c>
      <c r="H1036" s="11">
        <v>1</v>
      </c>
    </row>
    <row r="1037" spans="6:8" x14ac:dyDescent="0.3">
      <c r="F1037" s="11">
        <v>5.545833</v>
      </c>
      <c r="G1037" s="11">
        <v>61.127222000000003</v>
      </c>
      <c r="H1037" s="11">
        <v>1</v>
      </c>
    </row>
    <row r="1038" spans="6:8" x14ac:dyDescent="0.3">
      <c r="F1038" s="11">
        <v>5.7033329999999998</v>
      </c>
      <c r="G1038" s="11">
        <v>61.149721999999997</v>
      </c>
      <c r="H1038" s="11">
        <v>1</v>
      </c>
    </row>
    <row r="1039" spans="6:8" x14ac:dyDescent="0.3">
      <c r="F1039" s="11">
        <v>5.7908330000000001</v>
      </c>
      <c r="G1039" s="11">
        <v>61.185833000000002</v>
      </c>
      <c r="H1039" s="11">
        <v>1</v>
      </c>
    </row>
    <row r="1040" spans="6:8" x14ac:dyDescent="0.3">
      <c r="F1040" s="11">
        <v>5.8969440000000004</v>
      </c>
      <c r="G1040" s="11">
        <v>61.158611000000001</v>
      </c>
      <c r="H1040" s="11">
        <v>1</v>
      </c>
    </row>
    <row r="1041" spans="6:8" x14ac:dyDescent="0.3">
      <c r="F1041" s="11">
        <v>6.0280560000000003</v>
      </c>
      <c r="G1041" s="11">
        <v>61.198332999999998</v>
      </c>
      <c r="H1041" s="11">
        <v>1</v>
      </c>
    </row>
    <row r="1042" spans="6:8" x14ac:dyDescent="0.3">
      <c r="F1042" s="11">
        <v>5.9819440000000004</v>
      </c>
      <c r="G1042" s="11">
        <v>61.150556000000002</v>
      </c>
      <c r="H1042" s="11">
        <v>1</v>
      </c>
    </row>
    <row r="1043" spans="6:8" x14ac:dyDescent="0.3">
      <c r="F1043" s="11">
        <v>6.1469440000000004</v>
      </c>
      <c r="G1043" s="11">
        <v>61.158332999999999</v>
      </c>
      <c r="H1043" s="11">
        <v>1</v>
      </c>
    </row>
    <row r="1044" spans="6:8" x14ac:dyDescent="0.3">
      <c r="F1044" s="11">
        <v>6.2291670000000003</v>
      </c>
      <c r="G1044" s="11">
        <v>61.138055999999999</v>
      </c>
      <c r="H1044" s="11">
        <v>1</v>
      </c>
    </row>
    <row r="1045" spans="6:8" x14ac:dyDescent="0.3">
      <c r="F1045" s="11">
        <v>6.3822219999999996</v>
      </c>
      <c r="G1045" s="11">
        <v>61.112777999999999</v>
      </c>
      <c r="H1045" s="11">
        <v>1</v>
      </c>
    </row>
    <row r="1046" spans="6:8" x14ac:dyDescent="0.3">
      <c r="F1046" s="11">
        <v>6.5105560000000002</v>
      </c>
      <c r="G1046" s="11">
        <v>61.151389000000002</v>
      </c>
      <c r="H1046" s="11">
        <v>1</v>
      </c>
    </row>
    <row r="1047" spans="6:8" x14ac:dyDescent="0.3">
      <c r="F1047" s="11">
        <v>6.4927780000000004</v>
      </c>
      <c r="G1047" s="11">
        <v>61.209167000000001</v>
      </c>
      <c r="H1047" s="11">
        <v>1</v>
      </c>
    </row>
    <row r="1048" spans="6:8" x14ac:dyDescent="0.3">
      <c r="F1048" s="11">
        <v>6.4997220000000002</v>
      </c>
      <c r="G1048" s="11">
        <v>61.256667</v>
      </c>
      <c r="H1048" s="11">
        <v>1</v>
      </c>
    </row>
    <row r="1049" spans="6:8" x14ac:dyDescent="0.3">
      <c r="F1049" s="11">
        <v>6.5852779999999997</v>
      </c>
      <c r="G1049" s="11">
        <v>61.264721999999999</v>
      </c>
      <c r="H1049" s="11">
        <v>1</v>
      </c>
    </row>
    <row r="1050" spans="6:8" x14ac:dyDescent="0.3">
      <c r="F1050" s="11">
        <v>6.6516669999999998</v>
      </c>
      <c r="G1050" s="11">
        <v>61.329721999999997</v>
      </c>
      <c r="H1050" s="11">
        <v>1</v>
      </c>
    </row>
    <row r="1051" spans="6:8" x14ac:dyDescent="0.3">
      <c r="F1051" s="11">
        <v>6.7122219999999997</v>
      </c>
      <c r="G1051" s="11">
        <v>61.401111</v>
      </c>
      <c r="H1051" s="11">
        <v>1</v>
      </c>
    </row>
    <row r="1052" spans="6:8" x14ac:dyDescent="0.3">
      <c r="F1052" s="11">
        <v>6.6758329999999999</v>
      </c>
      <c r="G1052" s="11">
        <v>61.327500000000001</v>
      </c>
      <c r="H1052" s="11">
        <v>1</v>
      </c>
    </row>
    <row r="1053" spans="6:8" x14ac:dyDescent="0.3">
      <c r="F1053" s="11">
        <v>6.6058329999999996</v>
      </c>
      <c r="G1053" s="11">
        <v>61.255833000000003</v>
      </c>
      <c r="H1053" s="11">
        <v>1</v>
      </c>
    </row>
    <row r="1054" spans="6:8" x14ac:dyDescent="0.3">
      <c r="F1054" s="11">
        <v>6.6197220000000003</v>
      </c>
      <c r="G1054" s="11">
        <v>61.203055999999997</v>
      </c>
      <c r="H1054" s="11">
        <v>1</v>
      </c>
    </row>
    <row r="1055" spans="6:8" x14ac:dyDescent="0.3">
      <c r="F1055" s="11">
        <v>6.7744439999999999</v>
      </c>
      <c r="G1055" s="11">
        <v>61.180833</v>
      </c>
      <c r="H1055" s="11">
        <v>1</v>
      </c>
    </row>
    <row r="1056" spans="6:8" x14ac:dyDescent="0.3">
      <c r="F1056" s="11">
        <v>6.9424999999999999</v>
      </c>
      <c r="G1056" s="11">
        <v>61.164166999999999</v>
      </c>
      <c r="H1056" s="11">
        <v>1</v>
      </c>
    </row>
    <row r="1057" spans="6:8" x14ac:dyDescent="0.3">
      <c r="F1057" s="11">
        <v>6.9494439999999997</v>
      </c>
      <c r="G1057" s="11">
        <v>61.150278</v>
      </c>
      <c r="H1057" s="11">
        <v>1</v>
      </c>
    </row>
    <row r="1058" spans="6:8" x14ac:dyDescent="0.3">
      <c r="F1058" s="11">
        <v>6.9855559999999999</v>
      </c>
      <c r="G1058" s="11">
        <v>61.121389000000001</v>
      </c>
      <c r="H1058" s="11">
        <v>1</v>
      </c>
    </row>
    <row r="1059" spans="6:8" x14ac:dyDescent="0.3">
      <c r="F1059" s="11">
        <v>7.1486109999999998</v>
      </c>
      <c r="G1059" s="11">
        <v>61.142778</v>
      </c>
      <c r="H1059" s="11">
        <v>1</v>
      </c>
    </row>
    <row r="1060" spans="6:8" x14ac:dyDescent="0.3">
      <c r="F1060" s="11">
        <v>7.2502779999999998</v>
      </c>
      <c r="G1060" s="11">
        <v>61.166389000000002</v>
      </c>
      <c r="H1060" s="11">
        <v>1</v>
      </c>
    </row>
    <row r="1061" spans="6:8" x14ac:dyDescent="0.3">
      <c r="F1061" s="11">
        <v>7.3441669999999997</v>
      </c>
      <c r="G1061" s="11">
        <v>61.192222000000001</v>
      </c>
      <c r="H1061" s="11">
        <v>1</v>
      </c>
    </row>
    <row r="1062" spans="6:8" x14ac:dyDescent="0.3">
      <c r="F1062" s="11">
        <v>7.2916670000000003</v>
      </c>
      <c r="G1062" s="11">
        <v>61.267221999999997</v>
      </c>
      <c r="H1062" s="11">
        <v>1</v>
      </c>
    </row>
    <row r="1063" spans="6:8" x14ac:dyDescent="0.3">
      <c r="F1063" s="11">
        <v>7.2794439999999998</v>
      </c>
      <c r="G1063" s="11">
        <v>61.325555999999999</v>
      </c>
      <c r="H1063" s="11">
        <v>1</v>
      </c>
    </row>
    <row r="1064" spans="6:8" x14ac:dyDescent="0.3">
      <c r="F1064" s="11">
        <v>7.2655560000000001</v>
      </c>
      <c r="G1064" s="11">
        <v>61.389443999999997</v>
      </c>
      <c r="H1064" s="11">
        <v>1</v>
      </c>
    </row>
    <row r="1065" spans="6:8" x14ac:dyDescent="0.3">
      <c r="F1065" s="11">
        <v>7.3841669999999997</v>
      </c>
      <c r="G1065" s="11">
        <v>61.403055999999999</v>
      </c>
      <c r="H1065" s="11">
        <v>1</v>
      </c>
    </row>
    <row r="1066" spans="6:8" x14ac:dyDescent="0.3">
      <c r="F1066" s="11">
        <v>7.4924999999999997</v>
      </c>
      <c r="G1066" s="11">
        <v>61.454444000000002</v>
      </c>
      <c r="H1066" s="11">
        <v>1</v>
      </c>
    </row>
    <row r="1067" spans="6:8" x14ac:dyDescent="0.3">
      <c r="F1067" s="11">
        <v>7.5463889999999996</v>
      </c>
      <c r="G1067" s="11">
        <v>61.457500000000003</v>
      </c>
      <c r="H1067" s="11">
        <v>1</v>
      </c>
    </row>
    <row r="1068" spans="6:8" x14ac:dyDescent="0.3">
      <c r="F1068" s="11">
        <v>7.4419440000000003</v>
      </c>
      <c r="G1068" s="11">
        <v>61.403888999999999</v>
      </c>
      <c r="H1068" s="11">
        <v>1</v>
      </c>
    </row>
    <row r="1069" spans="6:8" x14ac:dyDescent="0.3">
      <c r="F1069" s="11">
        <v>7.365278</v>
      </c>
      <c r="G1069" s="11">
        <v>61.342222</v>
      </c>
      <c r="H1069" s="11">
        <v>1</v>
      </c>
    </row>
    <row r="1070" spans="6:8" x14ac:dyDescent="0.3">
      <c r="F1070" s="11">
        <v>7.3244439999999997</v>
      </c>
      <c r="G1070" s="11">
        <v>61.277222000000002</v>
      </c>
      <c r="H1070" s="11">
        <v>1</v>
      </c>
    </row>
    <row r="1071" spans="6:8" x14ac:dyDescent="0.3">
      <c r="F1071" s="11">
        <v>7.371111</v>
      </c>
      <c r="G1071" s="11">
        <v>61.199722000000001</v>
      </c>
      <c r="H1071" s="11">
        <v>1</v>
      </c>
    </row>
    <row r="1072" spans="6:8" x14ac:dyDescent="0.3">
      <c r="F1072" s="11">
        <v>7.5408330000000001</v>
      </c>
      <c r="G1072" s="11">
        <v>61.205278</v>
      </c>
      <c r="H1072" s="11">
        <v>1</v>
      </c>
    </row>
    <row r="1073" spans="6:8" x14ac:dyDescent="0.3">
      <c r="F1073" s="11">
        <v>7.693333</v>
      </c>
      <c r="G1073" s="11">
        <v>61.227499999999999</v>
      </c>
      <c r="H1073" s="11">
        <v>1</v>
      </c>
    </row>
    <row r="1074" spans="6:8" x14ac:dyDescent="0.3">
      <c r="F1074" s="11">
        <v>7.5547219999999999</v>
      </c>
      <c r="G1074" s="11">
        <v>61.192777999999997</v>
      </c>
      <c r="H1074" s="11">
        <v>1</v>
      </c>
    </row>
    <row r="1075" spans="6:8" x14ac:dyDescent="0.3">
      <c r="F1075" s="11">
        <v>7.4047219999999996</v>
      </c>
      <c r="G1075" s="11">
        <v>61.164721999999998</v>
      </c>
      <c r="H1075" s="11">
        <v>1</v>
      </c>
    </row>
    <row r="1076" spans="6:8" x14ac:dyDescent="0.3">
      <c r="F1076" s="11">
        <v>7.3827780000000001</v>
      </c>
      <c r="G1076" s="11">
        <v>61.111666999999997</v>
      </c>
      <c r="H1076" s="11">
        <v>1</v>
      </c>
    </row>
    <row r="1077" spans="6:8" x14ac:dyDescent="0.3">
      <c r="F1077" s="11">
        <v>7.3411109999999997</v>
      </c>
      <c r="G1077" s="11">
        <v>61.109721999999998</v>
      </c>
      <c r="H1077" s="11">
        <v>1</v>
      </c>
    </row>
    <row r="1078" spans="6:8" x14ac:dyDescent="0.3">
      <c r="F1078" s="11">
        <v>7.201111</v>
      </c>
      <c r="G1078" s="11">
        <v>61.129443999999999</v>
      </c>
      <c r="H1078" s="11">
        <v>1</v>
      </c>
    </row>
    <row r="1079" spans="6:8" x14ac:dyDescent="0.3">
      <c r="F1079" s="11">
        <v>7.083056</v>
      </c>
      <c r="G1079" s="11">
        <v>61.101388999999998</v>
      </c>
      <c r="H1079" s="11">
        <v>1</v>
      </c>
    </row>
    <row r="1080" spans="6:8" x14ac:dyDescent="0.3">
      <c r="F1080" s="11">
        <v>7.0138889999999998</v>
      </c>
      <c r="G1080" s="11">
        <v>61.053610999999997</v>
      </c>
      <c r="H1080" s="11">
        <v>1</v>
      </c>
    </row>
    <row r="1081" spans="6:8" x14ac:dyDescent="0.3">
      <c r="F1081" s="11">
        <v>7.068333</v>
      </c>
      <c r="G1081" s="11">
        <v>60.979722000000002</v>
      </c>
      <c r="H1081" s="11">
        <v>1</v>
      </c>
    </row>
    <row r="1082" spans="6:8" x14ac:dyDescent="0.3">
      <c r="F1082" s="11">
        <v>7.1677780000000002</v>
      </c>
      <c r="G1082" s="11">
        <v>60.924722000000003</v>
      </c>
      <c r="H1082" s="11">
        <v>1</v>
      </c>
    </row>
    <row r="1083" spans="6:8" x14ac:dyDescent="0.3">
      <c r="F1083" s="11">
        <v>7.1030559999999996</v>
      </c>
      <c r="G1083" s="11">
        <v>60.864722</v>
      </c>
      <c r="H1083" s="11">
        <v>1</v>
      </c>
    </row>
    <row r="1084" spans="6:8" x14ac:dyDescent="0.3">
      <c r="F1084" s="11">
        <v>7.1019439999999996</v>
      </c>
      <c r="G1084" s="11">
        <v>60.941943999999999</v>
      </c>
      <c r="H1084" s="11">
        <v>1</v>
      </c>
    </row>
    <row r="1085" spans="6:8" x14ac:dyDescent="0.3">
      <c r="F1085" s="11">
        <v>6.9780559999999996</v>
      </c>
      <c r="G1085" s="11">
        <v>60.963056000000002</v>
      </c>
      <c r="H1085" s="11">
        <v>1</v>
      </c>
    </row>
    <row r="1086" spans="6:8" x14ac:dyDescent="0.3">
      <c r="F1086" s="11">
        <v>6.8930559999999996</v>
      </c>
      <c r="G1086" s="11">
        <v>60.941389000000001</v>
      </c>
      <c r="H1086" s="11">
        <v>1</v>
      </c>
    </row>
    <row r="1087" spans="6:8" x14ac:dyDescent="0.3">
      <c r="F1087" s="11">
        <v>6.9991669999999999</v>
      </c>
      <c r="G1087" s="11">
        <v>60.993333</v>
      </c>
      <c r="H1087" s="11">
        <v>1</v>
      </c>
    </row>
    <row r="1088" spans="6:8" x14ac:dyDescent="0.3">
      <c r="F1088" s="11">
        <v>6.9675000000000002</v>
      </c>
      <c r="G1088" s="11">
        <v>61.069721999999999</v>
      </c>
      <c r="H1088" s="11">
        <v>1</v>
      </c>
    </row>
    <row r="1089" spans="6:8" x14ac:dyDescent="0.3">
      <c r="F1089" s="11">
        <v>6.86</v>
      </c>
      <c r="G1089" s="11">
        <v>61.110833</v>
      </c>
      <c r="H1089" s="11">
        <v>1</v>
      </c>
    </row>
    <row r="1090" spans="6:8" x14ac:dyDescent="0.3">
      <c r="F1090" s="11">
        <v>6.7216670000000001</v>
      </c>
      <c r="G1090" s="11">
        <v>61.147778000000002</v>
      </c>
      <c r="H1090" s="11">
        <v>1</v>
      </c>
    </row>
    <row r="1091" spans="6:8" x14ac:dyDescent="0.3">
      <c r="F1091" s="11">
        <v>6.5905560000000003</v>
      </c>
      <c r="G1091" s="11">
        <v>61.151389000000002</v>
      </c>
      <c r="H1091" s="11">
        <v>1</v>
      </c>
    </row>
    <row r="1092" spans="6:8" x14ac:dyDescent="0.3">
      <c r="F1092" s="11">
        <v>6.5027780000000002</v>
      </c>
      <c r="G1092" s="11">
        <v>61.094999999999999</v>
      </c>
      <c r="H1092" s="11">
        <v>1</v>
      </c>
    </row>
    <row r="1093" spans="6:8" x14ac:dyDescent="0.3">
      <c r="F1093" s="11">
        <v>6.3891669999999996</v>
      </c>
      <c r="G1093" s="11">
        <v>61.046944000000003</v>
      </c>
      <c r="H1093" s="11">
        <v>1</v>
      </c>
    </row>
    <row r="1094" spans="6:8" x14ac:dyDescent="0.3">
      <c r="F1094" s="11">
        <v>6.3519439999999996</v>
      </c>
      <c r="G1094" s="11">
        <v>61.032221999999997</v>
      </c>
      <c r="H1094" s="11">
        <v>1</v>
      </c>
    </row>
    <row r="1095" spans="6:8" x14ac:dyDescent="0.3">
      <c r="F1095" s="11">
        <v>6.2880560000000001</v>
      </c>
      <c r="G1095" s="11">
        <v>61.047499999999999</v>
      </c>
      <c r="H1095" s="11">
        <v>1</v>
      </c>
    </row>
    <row r="1096" spans="6:8" x14ac:dyDescent="0.3">
      <c r="F1096" s="11">
        <v>6.2586110000000001</v>
      </c>
      <c r="G1096" s="11">
        <v>61.092222</v>
      </c>
      <c r="H1096" s="11">
        <v>1</v>
      </c>
    </row>
    <row r="1097" spans="6:8" x14ac:dyDescent="0.3">
      <c r="F1097" s="11">
        <v>6.0958329999999998</v>
      </c>
      <c r="G1097" s="11">
        <v>61.116943999999997</v>
      </c>
      <c r="H1097" s="11">
        <v>1</v>
      </c>
    </row>
    <row r="1098" spans="6:8" x14ac:dyDescent="0.3">
      <c r="F1098" s="11">
        <v>5.9319439999999997</v>
      </c>
      <c r="G1098" s="11">
        <v>61.121389000000001</v>
      </c>
      <c r="H1098" s="11">
        <v>1</v>
      </c>
    </row>
    <row r="1099" spans="6:8" x14ac:dyDescent="0.3">
      <c r="F1099" s="11">
        <v>5.8305559999999996</v>
      </c>
      <c r="G1099" s="11">
        <v>61.088332999999999</v>
      </c>
      <c r="H1099" s="11">
        <v>1</v>
      </c>
    </row>
    <row r="1100" spans="6:8" x14ac:dyDescent="0.3">
      <c r="F1100" s="11">
        <v>5.791944</v>
      </c>
      <c r="G1100" s="11">
        <v>61.103056000000002</v>
      </c>
      <c r="H1100" s="11">
        <v>1</v>
      </c>
    </row>
    <row r="1101" spans="6:8" x14ac:dyDescent="0.3">
      <c r="F1101" s="11">
        <v>5.670833</v>
      </c>
      <c r="G1101" s="11">
        <v>61.087499999999999</v>
      </c>
      <c r="H1101" s="11">
        <v>1</v>
      </c>
    </row>
    <row r="1102" spans="6:8" x14ac:dyDescent="0.3">
      <c r="F1102" s="11">
        <v>5.6369439999999997</v>
      </c>
      <c r="G1102" s="11">
        <v>61.058610999999999</v>
      </c>
      <c r="H1102" s="11">
        <v>1</v>
      </c>
    </row>
    <row r="1103" spans="6:8" x14ac:dyDescent="0.3">
      <c r="F1103" s="11">
        <v>5.4744440000000001</v>
      </c>
      <c r="G1103" s="11">
        <v>61.054167</v>
      </c>
      <c r="H1103" s="11">
        <v>1</v>
      </c>
    </row>
    <row r="1104" spans="6:8" x14ac:dyDescent="0.3">
      <c r="F1104" s="11">
        <v>5.4394439999999999</v>
      </c>
      <c r="G1104" s="11">
        <v>61.008056000000003</v>
      </c>
      <c r="H1104" s="11">
        <v>1</v>
      </c>
    </row>
    <row r="1105" spans="6:8" x14ac:dyDescent="0.3">
      <c r="F1105" s="11">
        <v>5.3030559999999998</v>
      </c>
      <c r="G1105" s="11">
        <v>61.026944</v>
      </c>
      <c r="H1105" s="11">
        <v>1</v>
      </c>
    </row>
    <row r="1106" spans="6:8" x14ac:dyDescent="0.3">
      <c r="F1106" s="11">
        <v>5.1749999999999998</v>
      </c>
      <c r="G1106" s="11">
        <v>61.067777999999997</v>
      </c>
      <c r="H1106" s="11">
        <v>1</v>
      </c>
    </row>
    <row r="1107" spans="6:8" x14ac:dyDescent="0.3">
      <c r="F1107" s="11">
        <v>5.0241670000000003</v>
      </c>
      <c r="G1107" s="11">
        <v>61.05</v>
      </c>
      <c r="H1107" s="11">
        <v>1</v>
      </c>
    </row>
    <row r="1108" spans="6:8" x14ac:dyDescent="0.3">
      <c r="F1108" s="11">
        <v>5.0308330000000003</v>
      </c>
      <c r="G1108" s="11">
        <v>60.976944000000003</v>
      </c>
      <c r="H1108" s="11">
        <v>1</v>
      </c>
    </row>
    <row r="1109" spans="6:8" x14ac:dyDescent="0.3">
      <c r="F1109" s="11">
        <v>5.1427779999999998</v>
      </c>
      <c r="G1109" s="11">
        <v>60.973889</v>
      </c>
      <c r="H1109" s="11">
        <v>1</v>
      </c>
    </row>
    <row r="1110" spans="6:8" x14ac:dyDescent="0.3">
      <c r="F1110" s="11">
        <v>5.1022220000000003</v>
      </c>
      <c r="G1110" s="11">
        <v>60.899444000000003</v>
      </c>
      <c r="H1110" s="11">
        <v>1</v>
      </c>
    </row>
    <row r="1111" spans="6:8" x14ac:dyDescent="0.3">
      <c r="F1111" s="11">
        <v>5.083056</v>
      </c>
      <c r="G1111" s="11">
        <v>60.930833</v>
      </c>
      <c r="H1111" s="11">
        <v>1</v>
      </c>
    </row>
    <row r="1112" spans="6:8" x14ac:dyDescent="0.3">
      <c r="F1112" s="11">
        <v>4.9861110000000002</v>
      </c>
      <c r="G1112" s="11">
        <v>60.941110999999999</v>
      </c>
      <c r="H1112" s="11">
        <v>1</v>
      </c>
    </row>
    <row r="1113" spans="6:8" x14ac:dyDescent="0.3">
      <c r="F1113" s="11">
        <v>5.0333329999999998</v>
      </c>
      <c r="G1113" s="11">
        <v>60.863889</v>
      </c>
      <c r="H1113" s="11">
        <v>1</v>
      </c>
    </row>
    <row r="1114" spans="6:8" x14ac:dyDescent="0.3">
      <c r="F1114" s="11">
        <v>5.1302779999999997</v>
      </c>
      <c r="G1114" s="11">
        <v>60.83</v>
      </c>
      <c r="H1114" s="11">
        <v>1</v>
      </c>
    </row>
    <row r="1115" spans="6:8" x14ac:dyDescent="0.3">
      <c r="F1115" s="11">
        <v>5.1697220000000002</v>
      </c>
      <c r="G1115" s="11">
        <v>60.852221999999998</v>
      </c>
      <c r="H1115" s="11">
        <v>1</v>
      </c>
    </row>
    <row r="1116" spans="6:8" x14ac:dyDescent="0.3">
      <c r="F1116" s="11">
        <v>5.2719440000000004</v>
      </c>
      <c r="G1116" s="11">
        <v>60.818055999999999</v>
      </c>
      <c r="H1116" s="11">
        <v>1</v>
      </c>
    </row>
    <row r="1117" spans="6:8" x14ac:dyDescent="0.3">
      <c r="F1117" s="11">
        <v>5.3627779999999996</v>
      </c>
      <c r="G1117" s="11">
        <v>60.877777999999999</v>
      </c>
      <c r="H1117" s="11">
        <v>1</v>
      </c>
    </row>
    <row r="1118" spans="6:8" x14ac:dyDescent="0.3">
      <c r="F1118" s="11">
        <v>5.4905559999999998</v>
      </c>
      <c r="G1118" s="11">
        <v>60.902222000000002</v>
      </c>
      <c r="H1118" s="11">
        <v>1</v>
      </c>
    </row>
    <row r="1119" spans="6:8" x14ac:dyDescent="0.3">
      <c r="F1119" s="11">
        <v>5.505833</v>
      </c>
      <c r="G1119" s="11">
        <v>60.861389000000003</v>
      </c>
      <c r="H1119" s="11">
        <v>1</v>
      </c>
    </row>
    <row r="1120" spans="6:8" x14ac:dyDescent="0.3">
      <c r="F1120" s="11">
        <v>5.3505560000000001</v>
      </c>
      <c r="G1120" s="11">
        <v>60.848332999999997</v>
      </c>
      <c r="H1120" s="11">
        <v>1</v>
      </c>
    </row>
    <row r="1121" spans="6:8" x14ac:dyDescent="0.3">
      <c r="F1121" s="11">
        <v>5.2761110000000002</v>
      </c>
      <c r="G1121" s="11">
        <v>60.796111000000003</v>
      </c>
      <c r="H1121" s="11">
        <v>1</v>
      </c>
    </row>
    <row r="1122" spans="6:8" x14ac:dyDescent="0.3">
      <c r="F1122" s="11">
        <v>5.3047219999999999</v>
      </c>
      <c r="G1122" s="11">
        <v>60.745832999999998</v>
      </c>
      <c r="H1122" s="11">
        <v>1</v>
      </c>
    </row>
    <row r="1123" spans="6:8" x14ac:dyDescent="0.3">
      <c r="F1123" s="11">
        <v>5.4058330000000003</v>
      </c>
      <c r="G1123" s="11">
        <v>60.701943999999997</v>
      </c>
      <c r="H1123" s="11">
        <v>1</v>
      </c>
    </row>
    <row r="1124" spans="6:8" x14ac:dyDescent="0.3">
      <c r="F1124" s="11">
        <v>5.4011110000000002</v>
      </c>
      <c r="G1124" s="11">
        <v>60.677222</v>
      </c>
      <c r="H1124" s="11">
        <v>1</v>
      </c>
    </row>
    <row r="1125" spans="6:8" x14ac:dyDescent="0.3">
      <c r="F1125" s="11">
        <v>5.4327779999999999</v>
      </c>
      <c r="G1125" s="11">
        <v>60.631943999999997</v>
      </c>
      <c r="H1125" s="11">
        <v>1</v>
      </c>
    </row>
    <row r="1126" spans="6:8" x14ac:dyDescent="0.3">
      <c r="F1126" s="11">
        <v>5.3550000000000004</v>
      </c>
      <c r="G1126" s="11">
        <v>60.645833000000003</v>
      </c>
      <c r="H1126" s="11">
        <v>1</v>
      </c>
    </row>
    <row r="1127" spans="6:8" x14ac:dyDescent="0.3">
      <c r="F1127" s="11">
        <v>5.3069439999999997</v>
      </c>
      <c r="G1127" s="11">
        <v>60.678333000000002</v>
      </c>
      <c r="H1127" s="11">
        <v>1</v>
      </c>
    </row>
    <row r="1128" spans="6:8" x14ac:dyDescent="0.3">
      <c r="F1128" s="11">
        <v>5.2180559999999998</v>
      </c>
      <c r="G1128" s="11">
        <v>60.734999999999999</v>
      </c>
      <c r="H1128" s="11">
        <v>1</v>
      </c>
    </row>
    <row r="1129" spans="6:8" x14ac:dyDescent="0.3">
      <c r="F1129" s="11">
        <v>5.0766669999999996</v>
      </c>
      <c r="G1129" s="11">
        <v>60.768889000000001</v>
      </c>
      <c r="H1129" s="11">
        <v>1</v>
      </c>
    </row>
    <row r="1130" spans="6:8" x14ac:dyDescent="0.3">
      <c r="F1130" s="11">
        <v>4.9474999999999998</v>
      </c>
      <c r="G1130" s="11">
        <v>60.801943999999999</v>
      </c>
      <c r="H1130" s="11">
        <v>1</v>
      </c>
    </row>
    <row r="1131" spans="6:8" x14ac:dyDescent="0.3">
      <c r="F1131" s="11">
        <v>5.020556</v>
      </c>
      <c r="G1131" s="11">
        <v>60.753889000000001</v>
      </c>
      <c r="H1131" s="11">
        <v>1</v>
      </c>
    </row>
    <row r="1132" spans="6:8" x14ac:dyDescent="0.3">
      <c r="F1132" s="11">
        <v>5.1238890000000001</v>
      </c>
      <c r="G1132" s="11">
        <v>60.718611000000003</v>
      </c>
      <c r="H1132" s="11">
        <v>1</v>
      </c>
    </row>
    <row r="1133" spans="6:8" x14ac:dyDescent="0.3">
      <c r="F1133" s="11">
        <v>5.1208330000000002</v>
      </c>
      <c r="G1133" s="11">
        <v>60.691943999999999</v>
      </c>
      <c r="H1133" s="11">
        <v>1</v>
      </c>
    </row>
    <row r="1134" spans="6:8" x14ac:dyDescent="0.3">
      <c r="F1134" s="11">
        <v>5.201111</v>
      </c>
      <c r="G1134" s="11">
        <v>60.632778000000002</v>
      </c>
      <c r="H1134" s="11">
        <v>1</v>
      </c>
    </row>
    <row r="1135" spans="6:8" x14ac:dyDescent="0.3">
      <c r="F1135" s="11">
        <v>5.1541670000000002</v>
      </c>
      <c r="G1135" s="11">
        <v>60.647221999999999</v>
      </c>
      <c r="H1135" s="11">
        <v>1</v>
      </c>
    </row>
    <row r="1136" spans="6:8" x14ac:dyDescent="0.3">
      <c r="F1136" s="11">
        <v>5.1319439999999998</v>
      </c>
      <c r="G1136" s="11">
        <v>60.630277999999997</v>
      </c>
      <c r="H1136" s="11">
        <v>1</v>
      </c>
    </row>
    <row r="1137" spans="6:8" x14ac:dyDescent="0.3">
      <c r="F1137" s="11">
        <v>5.2052779999999998</v>
      </c>
      <c r="G1137" s="11">
        <v>60.573889000000001</v>
      </c>
      <c r="H1137" s="11">
        <v>1</v>
      </c>
    </row>
    <row r="1138" spans="6:8" x14ac:dyDescent="0.3">
      <c r="F1138" s="11">
        <v>5.3502780000000003</v>
      </c>
      <c r="G1138" s="11">
        <v>60.563333</v>
      </c>
      <c r="H1138" s="11">
        <v>1</v>
      </c>
    </row>
    <row r="1139" spans="6:8" x14ac:dyDescent="0.3">
      <c r="F1139" s="11">
        <v>5.4522219999999999</v>
      </c>
      <c r="G1139" s="11">
        <v>60.610833</v>
      </c>
      <c r="H1139" s="11">
        <v>1</v>
      </c>
    </row>
    <row r="1140" spans="6:8" x14ac:dyDescent="0.3">
      <c r="F1140" s="11">
        <v>5.5255559999999999</v>
      </c>
      <c r="G1140" s="11">
        <v>60.668056</v>
      </c>
      <c r="H1140" s="11">
        <v>1</v>
      </c>
    </row>
    <row r="1141" spans="6:8" x14ac:dyDescent="0.3">
      <c r="F1141" s="11">
        <v>5.6277780000000002</v>
      </c>
      <c r="G1141" s="11">
        <v>60.713056000000002</v>
      </c>
      <c r="H1141" s="11">
        <v>1</v>
      </c>
    </row>
    <row r="1142" spans="6:8" x14ac:dyDescent="0.3">
      <c r="F1142" s="11">
        <v>5.6775000000000002</v>
      </c>
      <c r="G1142" s="11">
        <v>60.736666999999997</v>
      </c>
      <c r="H1142" s="11">
        <v>1</v>
      </c>
    </row>
    <row r="1143" spans="6:8" x14ac:dyDescent="0.3">
      <c r="F1143" s="11">
        <v>5.74</v>
      </c>
      <c r="G1143" s="11">
        <v>60.709167000000001</v>
      </c>
      <c r="H1143" s="11">
        <v>1</v>
      </c>
    </row>
    <row r="1144" spans="6:8" x14ac:dyDescent="0.3">
      <c r="F1144" s="11">
        <v>5.736389</v>
      </c>
      <c r="G1144" s="11">
        <v>60.650832999999999</v>
      </c>
      <c r="H1144" s="11">
        <v>1</v>
      </c>
    </row>
    <row r="1145" spans="6:8" x14ac:dyDescent="0.3">
      <c r="F1145" s="11">
        <v>5.7077780000000002</v>
      </c>
      <c r="G1145" s="11">
        <v>60.563889000000003</v>
      </c>
      <c r="H1145" s="11">
        <v>1</v>
      </c>
    </row>
    <row r="1146" spans="6:8" x14ac:dyDescent="0.3">
      <c r="F1146" s="11">
        <v>5.7141669999999998</v>
      </c>
      <c r="G1146" s="11">
        <v>60.476944000000003</v>
      </c>
      <c r="H1146" s="11">
        <v>1</v>
      </c>
    </row>
    <row r="1147" spans="6:8" x14ac:dyDescent="0.3">
      <c r="F1147" s="11">
        <v>5.6336110000000001</v>
      </c>
      <c r="G1147" s="11">
        <v>60.415278000000001</v>
      </c>
      <c r="H1147" s="11">
        <v>1</v>
      </c>
    </row>
    <row r="1148" spans="6:8" x14ac:dyDescent="0.3">
      <c r="F1148" s="11">
        <v>5.4663890000000004</v>
      </c>
      <c r="G1148" s="11">
        <v>60.433056000000001</v>
      </c>
      <c r="H1148" s="11">
        <v>1</v>
      </c>
    </row>
    <row r="1149" spans="6:8" x14ac:dyDescent="0.3">
      <c r="F1149" s="11">
        <v>5.37</v>
      </c>
      <c r="G1149" s="11">
        <v>60.488610999999999</v>
      </c>
      <c r="H1149" s="11">
        <v>1</v>
      </c>
    </row>
    <row r="1150" spans="6:8" x14ac:dyDescent="0.3">
      <c r="F1150" s="11">
        <v>5.266667</v>
      </c>
      <c r="G1150" s="11">
        <v>60.510278</v>
      </c>
      <c r="H1150" s="11">
        <v>1</v>
      </c>
    </row>
    <row r="1151" spans="6:8" x14ac:dyDescent="0.3">
      <c r="F1151" s="11">
        <v>5.2591669999999997</v>
      </c>
      <c r="G1151" s="11">
        <v>60.444443999999997</v>
      </c>
      <c r="H1151" s="11">
        <v>1</v>
      </c>
    </row>
    <row r="1152" spans="6:8" x14ac:dyDescent="0.3">
      <c r="F1152" s="11">
        <v>5.280278</v>
      </c>
      <c r="G1152" s="11">
        <v>60.388055999999999</v>
      </c>
      <c r="H1152" s="11">
        <v>1</v>
      </c>
    </row>
    <row r="1153" spans="6:8" x14ac:dyDescent="0.3">
      <c r="F1153" s="11">
        <v>5.1449999999999996</v>
      </c>
      <c r="G1153" s="11">
        <v>60.366388999999998</v>
      </c>
      <c r="H1153" s="11">
        <v>1</v>
      </c>
    </row>
    <row r="1154" spans="6:8" x14ac:dyDescent="0.3">
      <c r="F1154" s="11">
        <v>5.2161109999999997</v>
      </c>
      <c r="G1154" s="11">
        <v>60.327500000000001</v>
      </c>
      <c r="H1154" s="11">
        <v>1</v>
      </c>
    </row>
    <row r="1155" spans="6:8" x14ac:dyDescent="0.3">
      <c r="F1155" s="11">
        <v>5.174722</v>
      </c>
      <c r="G1155" s="11">
        <v>60.273611000000002</v>
      </c>
      <c r="H1155" s="11">
        <v>1</v>
      </c>
    </row>
    <row r="1156" spans="6:8" x14ac:dyDescent="0.3">
      <c r="F1156" s="11">
        <v>5.2980559999999999</v>
      </c>
      <c r="G1156" s="11">
        <v>60.248055999999998</v>
      </c>
      <c r="H1156" s="11">
        <v>1</v>
      </c>
    </row>
    <row r="1157" spans="6:8" x14ac:dyDescent="0.3">
      <c r="F1157" s="11">
        <v>5.2494440000000004</v>
      </c>
      <c r="G1157" s="11">
        <v>60.208333000000003</v>
      </c>
      <c r="H1157" s="11">
        <v>1</v>
      </c>
    </row>
    <row r="1158" spans="6:8" x14ac:dyDescent="0.3">
      <c r="F1158" s="11">
        <v>5.326111</v>
      </c>
      <c r="G1158" s="11">
        <v>60.197499999999998</v>
      </c>
      <c r="H1158" s="11">
        <v>1</v>
      </c>
    </row>
    <row r="1159" spans="6:8" x14ac:dyDescent="0.3">
      <c r="F1159" s="11">
        <v>5.3550000000000004</v>
      </c>
      <c r="G1159" s="11">
        <v>60.155555999999997</v>
      </c>
      <c r="H1159" s="11">
        <v>1</v>
      </c>
    </row>
    <row r="1160" spans="6:8" x14ac:dyDescent="0.3">
      <c r="F1160" s="11">
        <v>5.4319439999999997</v>
      </c>
      <c r="G1160" s="11">
        <v>60.167222000000002</v>
      </c>
      <c r="H1160" s="11">
        <v>1</v>
      </c>
    </row>
    <row r="1161" spans="6:8" x14ac:dyDescent="0.3">
      <c r="F1161" s="11">
        <v>5.5316669999999997</v>
      </c>
      <c r="G1161" s="11">
        <v>60.221666999999997</v>
      </c>
      <c r="H1161" s="11">
        <v>1</v>
      </c>
    </row>
    <row r="1162" spans="6:8" x14ac:dyDescent="0.3">
      <c r="F1162" s="11">
        <v>5.5877780000000001</v>
      </c>
      <c r="G1162" s="11">
        <v>60.299166999999997</v>
      </c>
      <c r="H1162" s="11">
        <v>1</v>
      </c>
    </row>
    <row r="1163" spans="6:8" x14ac:dyDescent="0.3">
      <c r="F1163" s="11">
        <v>5.6405560000000001</v>
      </c>
      <c r="G1163" s="11">
        <v>60.346944000000001</v>
      </c>
      <c r="H1163" s="11">
        <v>1</v>
      </c>
    </row>
    <row r="1164" spans="6:8" x14ac:dyDescent="0.3">
      <c r="F1164" s="11">
        <v>5.7344439999999999</v>
      </c>
      <c r="G1164" s="11">
        <v>60.386944</v>
      </c>
      <c r="H1164" s="11">
        <v>1</v>
      </c>
    </row>
    <row r="1165" spans="6:8" x14ac:dyDescent="0.3">
      <c r="F1165" s="11">
        <v>5.6486109999999998</v>
      </c>
      <c r="G1165" s="11">
        <v>60.327500000000001</v>
      </c>
      <c r="H1165" s="11">
        <v>1</v>
      </c>
    </row>
    <row r="1166" spans="6:8" x14ac:dyDescent="0.3">
      <c r="F1166" s="11">
        <v>5.5877780000000001</v>
      </c>
      <c r="G1166" s="11">
        <v>60.264721999999999</v>
      </c>
      <c r="H1166" s="11">
        <v>1</v>
      </c>
    </row>
    <row r="1167" spans="6:8" x14ac:dyDescent="0.3">
      <c r="F1167" s="11">
        <v>5.6144439999999998</v>
      </c>
      <c r="G1167" s="11">
        <v>60.266111000000002</v>
      </c>
      <c r="H1167" s="11">
        <v>1</v>
      </c>
    </row>
    <row r="1168" spans="6:8" x14ac:dyDescent="0.3">
      <c r="F1168" s="11">
        <v>5.6244440000000004</v>
      </c>
      <c r="G1168" s="11">
        <v>60.236389000000003</v>
      </c>
      <c r="H1168" s="11">
        <v>1</v>
      </c>
    </row>
    <row r="1169" spans="6:8" x14ac:dyDescent="0.3">
      <c r="F1169" s="11">
        <v>5.6341669999999997</v>
      </c>
      <c r="G1169" s="11">
        <v>60.218333000000001</v>
      </c>
      <c r="H1169" s="11">
        <v>1</v>
      </c>
    </row>
    <row r="1170" spans="6:8" x14ac:dyDescent="0.3">
      <c r="F1170" s="11">
        <v>5.5674999999999999</v>
      </c>
      <c r="G1170" s="11">
        <v>60.165278000000001</v>
      </c>
      <c r="H1170" s="11">
        <v>1</v>
      </c>
    </row>
    <row r="1171" spans="6:8" x14ac:dyDescent="0.3">
      <c r="F1171" s="11">
        <v>5.6505559999999999</v>
      </c>
      <c r="G1171" s="11">
        <v>60.151944</v>
      </c>
      <c r="H1171" s="11">
        <v>1</v>
      </c>
    </row>
    <row r="1172" spans="6:8" x14ac:dyDescent="0.3">
      <c r="F1172" s="11">
        <v>5.7491669999999999</v>
      </c>
      <c r="G1172" s="11">
        <v>60.202221999999999</v>
      </c>
      <c r="H1172" s="11">
        <v>1</v>
      </c>
    </row>
    <row r="1173" spans="6:8" x14ac:dyDescent="0.3">
      <c r="F1173" s="11">
        <v>5.708056</v>
      </c>
      <c r="G1173" s="11">
        <v>60.175556</v>
      </c>
      <c r="H1173" s="11">
        <v>1</v>
      </c>
    </row>
    <row r="1174" spans="6:8" x14ac:dyDescent="0.3">
      <c r="F1174" s="11">
        <v>5.7052779999999998</v>
      </c>
      <c r="G1174" s="11">
        <v>60.108611000000003</v>
      </c>
      <c r="H1174" s="11">
        <v>1</v>
      </c>
    </row>
    <row r="1175" spans="6:8" x14ac:dyDescent="0.3">
      <c r="F1175" s="11">
        <v>5.7761110000000002</v>
      </c>
      <c r="G1175" s="11">
        <v>60.083055999999999</v>
      </c>
      <c r="H1175" s="11">
        <v>1</v>
      </c>
    </row>
    <row r="1176" spans="6:8" x14ac:dyDescent="0.3">
      <c r="F1176" s="11">
        <v>5.706944</v>
      </c>
      <c r="G1176" s="11">
        <v>60.063333</v>
      </c>
      <c r="H1176" s="11">
        <v>1</v>
      </c>
    </row>
    <row r="1177" spans="6:8" x14ac:dyDescent="0.3">
      <c r="F1177" s="11">
        <v>5.7208329999999998</v>
      </c>
      <c r="G1177" s="11">
        <v>60.001111000000002</v>
      </c>
      <c r="H1177" s="11">
        <v>1</v>
      </c>
    </row>
    <row r="1178" spans="6:8" x14ac:dyDescent="0.3">
      <c r="F1178" s="11">
        <v>5.7844439999999997</v>
      </c>
      <c r="G1178" s="11">
        <v>60.003610999999999</v>
      </c>
      <c r="H1178" s="11">
        <v>1</v>
      </c>
    </row>
    <row r="1179" spans="6:8" x14ac:dyDescent="0.3">
      <c r="F1179" s="11">
        <v>5.8805560000000003</v>
      </c>
      <c r="G1179" s="11">
        <v>60.047778000000001</v>
      </c>
      <c r="H1179" s="11">
        <v>1</v>
      </c>
    </row>
    <row r="1180" spans="6:8" x14ac:dyDescent="0.3">
      <c r="F1180" s="11">
        <v>5.8552780000000002</v>
      </c>
      <c r="G1180" s="11">
        <v>60.134999999999998</v>
      </c>
      <c r="H1180" s="11">
        <v>1</v>
      </c>
    </row>
    <row r="1181" spans="6:8" x14ac:dyDescent="0.3">
      <c r="F1181" s="11">
        <v>5.9225000000000003</v>
      </c>
      <c r="G1181" s="11">
        <v>60.174999999999997</v>
      </c>
      <c r="H1181" s="11">
        <v>1</v>
      </c>
    </row>
    <row r="1182" spans="6:8" x14ac:dyDescent="0.3">
      <c r="F1182" s="11">
        <v>5.9888890000000004</v>
      </c>
      <c r="G1182" s="11">
        <v>60.247222000000001</v>
      </c>
      <c r="H1182" s="11">
        <v>1</v>
      </c>
    </row>
    <row r="1183" spans="6:8" x14ac:dyDescent="0.3">
      <c r="F1183" s="11">
        <v>6.1066669999999998</v>
      </c>
      <c r="G1183" s="11">
        <v>60.243611000000001</v>
      </c>
      <c r="H1183" s="11">
        <v>1</v>
      </c>
    </row>
    <row r="1184" spans="6:8" x14ac:dyDescent="0.3">
      <c r="F1184" s="11">
        <v>6.1441670000000004</v>
      </c>
      <c r="G1184" s="11">
        <v>60.3</v>
      </c>
      <c r="H1184" s="11">
        <v>1</v>
      </c>
    </row>
    <row r="1185" spans="6:8" x14ac:dyDescent="0.3">
      <c r="F1185" s="11">
        <v>6.138611</v>
      </c>
      <c r="G1185" s="11">
        <v>60.358611000000003</v>
      </c>
      <c r="H1185" s="11">
        <v>1</v>
      </c>
    </row>
    <row r="1186" spans="6:8" x14ac:dyDescent="0.3">
      <c r="F1186" s="11">
        <v>6.2436109999999996</v>
      </c>
      <c r="G1186" s="11">
        <v>60.375278000000002</v>
      </c>
      <c r="H1186" s="11">
        <v>1</v>
      </c>
    </row>
    <row r="1187" spans="6:8" x14ac:dyDescent="0.3">
      <c r="F1187" s="11">
        <v>6.1763890000000004</v>
      </c>
      <c r="G1187" s="11">
        <v>60.443888999999999</v>
      </c>
      <c r="H1187" s="11">
        <v>1</v>
      </c>
    </row>
    <row r="1188" spans="6:8" x14ac:dyDescent="0.3">
      <c r="F1188" s="11">
        <v>6.2119439999999999</v>
      </c>
      <c r="G1188" s="11">
        <v>60.421666999999999</v>
      </c>
      <c r="H1188" s="11">
        <v>1</v>
      </c>
    </row>
    <row r="1189" spans="6:8" x14ac:dyDescent="0.3">
      <c r="F1189" s="11">
        <v>6.3211110000000001</v>
      </c>
      <c r="G1189" s="11">
        <v>60.398055999999997</v>
      </c>
      <c r="H1189" s="11">
        <v>1</v>
      </c>
    </row>
    <row r="1190" spans="6:8" x14ac:dyDescent="0.3">
      <c r="F1190" s="11">
        <v>6.4522219999999999</v>
      </c>
      <c r="G1190" s="11">
        <v>60.435277999999997</v>
      </c>
      <c r="H1190" s="11">
        <v>1</v>
      </c>
    </row>
    <row r="1191" spans="6:8" x14ac:dyDescent="0.3">
      <c r="F1191" s="11">
        <v>6.588889</v>
      </c>
      <c r="G1191" s="11">
        <v>60.470278</v>
      </c>
      <c r="H1191" s="11">
        <v>1</v>
      </c>
    </row>
    <row r="1192" spans="6:8" x14ac:dyDescent="0.3">
      <c r="F1192" s="11">
        <v>6.6930560000000003</v>
      </c>
      <c r="G1192" s="11">
        <v>60.513610999999997</v>
      </c>
      <c r="H1192" s="11">
        <v>1</v>
      </c>
    </row>
    <row r="1193" spans="6:8" x14ac:dyDescent="0.3">
      <c r="F1193" s="11">
        <v>6.5958329999999998</v>
      </c>
      <c r="G1193" s="11">
        <v>60.459167000000001</v>
      </c>
      <c r="H1193" s="11">
        <v>1</v>
      </c>
    </row>
    <row r="1194" spans="6:8" x14ac:dyDescent="0.3">
      <c r="F1194" s="11">
        <v>6.6947219999999996</v>
      </c>
      <c r="G1194" s="11">
        <v>60.443888999999999</v>
      </c>
      <c r="H1194" s="11">
        <v>1</v>
      </c>
    </row>
    <row r="1195" spans="6:8" x14ac:dyDescent="0.3">
      <c r="F1195" s="11">
        <v>6.8119440000000004</v>
      </c>
      <c r="G1195" s="11">
        <v>60.488610999999999</v>
      </c>
      <c r="H1195" s="11">
        <v>1</v>
      </c>
    </row>
    <row r="1196" spans="6:8" x14ac:dyDescent="0.3">
      <c r="F1196" s="11">
        <v>6.9083329999999998</v>
      </c>
      <c r="G1196" s="11">
        <v>60.543889</v>
      </c>
      <c r="H1196" s="11">
        <v>1</v>
      </c>
    </row>
    <row r="1197" spans="6:8" x14ac:dyDescent="0.3">
      <c r="F1197" s="11">
        <v>7.0144440000000001</v>
      </c>
      <c r="G1197" s="11">
        <v>60.582777999999998</v>
      </c>
      <c r="H1197" s="11">
        <v>1</v>
      </c>
    </row>
    <row r="1198" spans="6:8" x14ac:dyDescent="0.3">
      <c r="F1198" s="11">
        <v>6.9305560000000002</v>
      </c>
      <c r="G1198" s="11">
        <v>60.518332999999998</v>
      </c>
      <c r="H1198" s="11">
        <v>1</v>
      </c>
    </row>
    <row r="1199" spans="6:8" x14ac:dyDescent="0.3">
      <c r="F1199" s="11">
        <v>7.0108329999999999</v>
      </c>
      <c r="G1199" s="11">
        <v>60.5</v>
      </c>
      <c r="H1199" s="11">
        <v>1</v>
      </c>
    </row>
    <row r="1200" spans="6:8" x14ac:dyDescent="0.3">
      <c r="F1200" s="11">
        <v>7.0736109999999996</v>
      </c>
      <c r="G1200" s="11">
        <v>60.476666999999999</v>
      </c>
      <c r="H1200" s="11">
        <v>1</v>
      </c>
    </row>
    <row r="1201" spans="6:8" x14ac:dyDescent="0.3">
      <c r="F1201" s="11">
        <v>6.9088890000000003</v>
      </c>
      <c r="G1201" s="11">
        <v>60.480277999999998</v>
      </c>
      <c r="H1201" s="11">
        <v>1</v>
      </c>
    </row>
    <row r="1202" spans="6:8" x14ac:dyDescent="0.3">
      <c r="F1202" s="11">
        <v>6.7658329999999998</v>
      </c>
      <c r="G1202" s="11">
        <v>60.452778000000002</v>
      </c>
      <c r="H1202" s="11">
        <v>1</v>
      </c>
    </row>
    <row r="1203" spans="6:8" x14ac:dyDescent="0.3">
      <c r="F1203" s="11">
        <v>6.6919440000000003</v>
      </c>
      <c r="G1203" s="11">
        <v>60.383889000000003</v>
      </c>
      <c r="H1203" s="11">
        <v>1</v>
      </c>
    </row>
    <row r="1204" spans="6:8" x14ac:dyDescent="0.3">
      <c r="F1204" s="11">
        <v>6.6119440000000003</v>
      </c>
      <c r="G1204" s="11">
        <v>60.318610999999997</v>
      </c>
      <c r="H1204" s="11">
        <v>1</v>
      </c>
    </row>
    <row r="1205" spans="6:8" x14ac:dyDescent="0.3">
      <c r="F1205" s="11">
        <v>6.585</v>
      </c>
      <c r="G1205" s="11">
        <v>60.238056</v>
      </c>
      <c r="H1205" s="11">
        <v>1</v>
      </c>
    </row>
    <row r="1206" spans="6:8" x14ac:dyDescent="0.3">
      <c r="F1206" s="11">
        <v>6.5316669999999997</v>
      </c>
      <c r="G1206" s="11">
        <v>60.159722000000002</v>
      </c>
      <c r="H1206" s="11">
        <v>1</v>
      </c>
    </row>
    <row r="1207" spans="6:8" x14ac:dyDescent="0.3">
      <c r="F1207" s="11">
        <v>6.5138889999999998</v>
      </c>
      <c r="G1207" s="11">
        <v>60.085000000000001</v>
      </c>
      <c r="H1207" s="11">
        <v>1</v>
      </c>
    </row>
    <row r="1208" spans="6:8" x14ac:dyDescent="0.3">
      <c r="F1208" s="11">
        <v>6.5158329999999998</v>
      </c>
      <c r="G1208" s="11">
        <v>60.178610999999997</v>
      </c>
      <c r="H1208" s="11">
        <v>1</v>
      </c>
    </row>
    <row r="1209" spans="6:8" x14ac:dyDescent="0.3">
      <c r="F1209" s="11">
        <v>6.5383329999999997</v>
      </c>
      <c r="G1209" s="11">
        <v>60.269722000000002</v>
      </c>
      <c r="H1209" s="11">
        <v>1</v>
      </c>
    </row>
    <row r="1210" spans="6:8" x14ac:dyDescent="0.3">
      <c r="F1210" s="11">
        <v>6.5833329999999997</v>
      </c>
      <c r="G1210" s="11">
        <v>60.346944000000001</v>
      </c>
      <c r="H1210" s="11">
        <v>1</v>
      </c>
    </row>
    <row r="1211" spans="6:8" x14ac:dyDescent="0.3">
      <c r="F1211" s="11">
        <v>6.6261109999999999</v>
      </c>
      <c r="G1211" s="11">
        <v>60.416944000000001</v>
      </c>
      <c r="H1211" s="11">
        <v>1</v>
      </c>
    </row>
    <row r="1212" spans="6:8" x14ac:dyDescent="0.3">
      <c r="F1212" s="11">
        <v>6.4708329999999998</v>
      </c>
      <c r="G1212" s="11">
        <v>60.414999999999999</v>
      </c>
      <c r="H1212" s="11">
        <v>1</v>
      </c>
    </row>
    <row r="1213" spans="6:8" x14ac:dyDescent="0.3">
      <c r="F1213" s="11">
        <v>6.3611110000000002</v>
      </c>
      <c r="G1213" s="11">
        <v>60.366110999999997</v>
      </c>
      <c r="H1213" s="11">
        <v>1</v>
      </c>
    </row>
    <row r="1214" spans="6:8" x14ac:dyDescent="0.3">
      <c r="F1214" s="11">
        <v>6.280278</v>
      </c>
      <c r="G1214" s="11">
        <v>60.313056000000003</v>
      </c>
      <c r="H1214" s="11">
        <v>1</v>
      </c>
    </row>
    <row r="1215" spans="6:8" x14ac:dyDescent="0.3">
      <c r="F1215" s="11">
        <v>6.1958330000000004</v>
      </c>
      <c r="G1215" s="11">
        <v>60.262777999999997</v>
      </c>
      <c r="H1215" s="11">
        <v>1</v>
      </c>
    </row>
    <row r="1216" spans="6:8" x14ac:dyDescent="0.3">
      <c r="F1216" s="11">
        <v>6.1027779999999998</v>
      </c>
      <c r="G1216" s="11">
        <v>60.205278</v>
      </c>
      <c r="H1216" s="11">
        <v>1</v>
      </c>
    </row>
    <row r="1217" spans="6:8" x14ac:dyDescent="0.3">
      <c r="F1217" s="11">
        <v>6.0983330000000002</v>
      </c>
      <c r="G1217" s="11">
        <v>60.145277999999998</v>
      </c>
      <c r="H1217" s="11">
        <v>1</v>
      </c>
    </row>
    <row r="1218" spans="6:8" x14ac:dyDescent="0.3">
      <c r="F1218" s="11">
        <v>6.1727780000000001</v>
      </c>
      <c r="G1218" s="11">
        <v>60.113056</v>
      </c>
      <c r="H1218" s="11">
        <v>1</v>
      </c>
    </row>
    <row r="1219" spans="6:8" x14ac:dyDescent="0.3">
      <c r="F1219" s="11">
        <v>6.2611109999999996</v>
      </c>
      <c r="G1219" s="11">
        <v>60.153610999999998</v>
      </c>
      <c r="H1219" s="11">
        <v>1</v>
      </c>
    </row>
    <row r="1220" spans="6:8" x14ac:dyDescent="0.3">
      <c r="F1220" s="11">
        <v>6.2219439999999997</v>
      </c>
      <c r="G1220" s="11">
        <v>60.108611000000003</v>
      </c>
      <c r="H1220" s="11">
        <v>1</v>
      </c>
    </row>
    <row r="1221" spans="6:8" x14ac:dyDescent="0.3">
      <c r="F1221" s="11">
        <v>6.0755559999999997</v>
      </c>
      <c r="G1221" s="11">
        <v>60.080556000000001</v>
      </c>
      <c r="H1221" s="11">
        <v>1</v>
      </c>
    </row>
    <row r="1222" spans="6:8" x14ac:dyDescent="0.3">
      <c r="F1222" s="11">
        <v>5.9777779999999998</v>
      </c>
      <c r="G1222" s="11">
        <v>60.025556000000002</v>
      </c>
      <c r="H1222" s="11">
        <v>1</v>
      </c>
    </row>
    <row r="1223" spans="6:8" x14ac:dyDescent="0.3">
      <c r="F1223" s="11">
        <v>5.9730559999999997</v>
      </c>
      <c r="G1223" s="11">
        <v>59.958888999999999</v>
      </c>
      <c r="H1223" s="11">
        <v>1</v>
      </c>
    </row>
    <row r="1224" spans="6:8" x14ac:dyDescent="0.3">
      <c r="F1224" s="11">
        <v>5.8158329999999996</v>
      </c>
      <c r="G1224" s="11">
        <v>59.936943999999997</v>
      </c>
      <c r="H1224" s="11">
        <v>1</v>
      </c>
    </row>
    <row r="1225" spans="6:8" x14ac:dyDescent="0.3">
      <c r="F1225" s="11">
        <v>5.7408330000000003</v>
      </c>
      <c r="G1225" s="11">
        <v>59.881388999999999</v>
      </c>
      <c r="H1225" s="11">
        <v>1</v>
      </c>
    </row>
    <row r="1226" spans="6:8" x14ac:dyDescent="0.3">
      <c r="F1226" s="11">
        <v>5.6602779999999999</v>
      </c>
      <c r="G1226" s="11">
        <v>59.835000000000001</v>
      </c>
      <c r="H1226" s="11">
        <v>1</v>
      </c>
    </row>
    <row r="1227" spans="6:8" x14ac:dyDescent="0.3">
      <c r="F1227" s="11">
        <v>5.71</v>
      </c>
      <c r="G1227" s="11">
        <v>59.825000000000003</v>
      </c>
      <c r="H1227" s="11">
        <v>1</v>
      </c>
    </row>
    <row r="1228" spans="6:8" x14ac:dyDescent="0.3">
      <c r="F1228" s="11">
        <v>5.8111110000000004</v>
      </c>
      <c r="G1228" s="11">
        <v>59.773055999999997</v>
      </c>
      <c r="H1228" s="11">
        <v>1</v>
      </c>
    </row>
    <row r="1229" spans="6:8" x14ac:dyDescent="0.3">
      <c r="F1229" s="11">
        <v>5.93</v>
      </c>
      <c r="G1229" s="11">
        <v>59.804167</v>
      </c>
      <c r="H1229" s="11">
        <v>1</v>
      </c>
    </row>
    <row r="1230" spans="6:8" x14ac:dyDescent="0.3">
      <c r="F1230" s="11">
        <v>5.9547220000000003</v>
      </c>
      <c r="G1230" s="11">
        <v>59.835278000000002</v>
      </c>
      <c r="H1230" s="11">
        <v>1</v>
      </c>
    </row>
    <row r="1231" spans="6:8" x14ac:dyDescent="0.3">
      <c r="F1231" s="11">
        <v>5.9508330000000003</v>
      </c>
      <c r="G1231" s="11">
        <v>59.762500000000003</v>
      </c>
      <c r="H1231" s="11">
        <v>1</v>
      </c>
    </row>
    <row r="1232" spans="6:8" x14ac:dyDescent="0.3">
      <c r="F1232" s="11">
        <v>6.0758330000000003</v>
      </c>
      <c r="G1232" s="11">
        <v>59.783056000000002</v>
      </c>
      <c r="H1232" s="11">
        <v>1</v>
      </c>
    </row>
    <row r="1233" spans="6:8" x14ac:dyDescent="0.3">
      <c r="F1233" s="11">
        <v>6.1811109999999996</v>
      </c>
      <c r="G1233" s="11">
        <v>59.824444</v>
      </c>
      <c r="H1233" s="11">
        <v>1</v>
      </c>
    </row>
    <row r="1234" spans="6:8" x14ac:dyDescent="0.3">
      <c r="F1234" s="11">
        <v>6.3111110000000004</v>
      </c>
      <c r="G1234" s="11">
        <v>59.848056</v>
      </c>
      <c r="H1234" s="11">
        <v>1</v>
      </c>
    </row>
    <row r="1235" spans="6:8" x14ac:dyDescent="0.3">
      <c r="F1235" s="11">
        <v>6.1930560000000003</v>
      </c>
      <c r="G1235" s="11">
        <v>59.804167</v>
      </c>
      <c r="H1235" s="11">
        <v>1</v>
      </c>
    </row>
    <row r="1236" spans="6:8" x14ac:dyDescent="0.3">
      <c r="F1236" s="11">
        <v>6.0869439999999999</v>
      </c>
      <c r="G1236" s="11">
        <v>59.754443999999999</v>
      </c>
      <c r="H1236" s="11">
        <v>1</v>
      </c>
    </row>
    <row r="1237" spans="6:8" x14ac:dyDescent="0.3">
      <c r="F1237" s="11">
        <v>5.933611</v>
      </c>
      <c r="G1237" s="11">
        <v>59.738056</v>
      </c>
      <c r="H1237" s="11">
        <v>1</v>
      </c>
    </row>
    <row r="1238" spans="6:8" x14ac:dyDescent="0.3">
      <c r="F1238" s="11">
        <v>5.8402779999999996</v>
      </c>
      <c r="G1238" s="11">
        <v>59.731389</v>
      </c>
      <c r="H1238" s="11">
        <v>1</v>
      </c>
    </row>
    <row r="1239" spans="6:8" x14ac:dyDescent="0.3">
      <c r="F1239" s="11">
        <v>5.7413889999999999</v>
      </c>
      <c r="G1239" s="11">
        <v>59.677778000000004</v>
      </c>
      <c r="H1239" s="11">
        <v>1</v>
      </c>
    </row>
    <row r="1240" spans="6:8" x14ac:dyDescent="0.3">
      <c r="F1240" s="11">
        <v>5.8783329999999996</v>
      </c>
      <c r="G1240" s="11">
        <v>59.669722</v>
      </c>
      <c r="H1240" s="11">
        <v>1</v>
      </c>
    </row>
    <row r="1241" spans="6:8" x14ac:dyDescent="0.3">
      <c r="F1241" s="11">
        <v>5.7638889999999998</v>
      </c>
      <c r="G1241" s="11">
        <v>59.636667000000003</v>
      </c>
      <c r="H1241" s="11">
        <v>1</v>
      </c>
    </row>
    <row r="1242" spans="6:8" x14ac:dyDescent="0.3">
      <c r="F1242" s="11">
        <v>5.7377779999999996</v>
      </c>
      <c r="G1242" s="11">
        <v>59.636389000000001</v>
      </c>
      <c r="H1242" s="11">
        <v>1</v>
      </c>
    </row>
    <row r="1243" spans="6:8" x14ac:dyDescent="0.3">
      <c r="F1243" s="11">
        <v>5.608333</v>
      </c>
      <c r="G1243" s="11">
        <v>59.668889</v>
      </c>
      <c r="H1243" s="11">
        <v>1</v>
      </c>
    </row>
    <row r="1244" spans="6:8" x14ac:dyDescent="0.3">
      <c r="F1244" s="11">
        <v>5.5258330000000004</v>
      </c>
      <c r="G1244" s="11">
        <v>59.623610999999997</v>
      </c>
      <c r="H1244" s="11">
        <v>1</v>
      </c>
    </row>
    <row r="1245" spans="6:8" x14ac:dyDescent="0.3">
      <c r="F1245" s="11">
        <v>5.5183330000000002</v>
      </c>
      <c r="G1245" s="11">
        <v>59.543332999999997</v>
      </c>
      <c r="H1245" s="11">
        <v>1</v>
      </c>
    </row>
    <row r="1246" spans="6:8" x14ac:dyDescent="0.3">
      <c r="F1246" s="11">
        <v>5.4086109999999996</v>
      </c>
      <c r="G1246" s="11">
        <v>59.508889000000003</v>
      </c>
      <c r="H1246" s="11">
        <v>1</v>
      </c>
    </row>
    <row r="1247" spans="6:8" x14ac:dyDescent="0.3">
      <c r="F1247" s="11">
        <v>5.49</v>
      </c>
      <c r="G1247" s="11">
        <v>59.564444000000002</v>
      </c>
      <c r="H1247" s="11">
        <v>1</v>
      </c>
    </row>
    <row r="1248" spans="6:8" x14ac:dyDescent="0.3">
      <c r="F1248" s="11">
        <v>5.4938890000000002</v>
      </c>
      <c r="G1248" s="11">
        <v>59.649721999999997</v>
      </c>
      <c r="H1248" s="11">
        <v>1</v>
      </c>
    </row>
    <row r="1249" spans="6:8" x14ac:dyDescent="0.3">
      <c r="F1249" s="11">
        <v>5.49</v>
      </c>
      <c r="G1249" s="11">
        <v>59.724722</v>
      </c>
      <c r="H1249" s="11">
        <v>1</v>
      </c>
    </row>
    <row r="1250" spans="6:8" x14ac:dyDescent="0.3">
      <c r="F1250" s="11">
        <v>5.4086109999999996</v>
      </c>
      <c r="G1250" s="11">
        <v>59.676110999999999</v>
      </c>
      <c r="H1250" s="11">
        <v>1</v>
      </c>
    </row>
    <row r="1251" spans="6:8" x14ac:dyDescent="0.3">
      <c r="F1251" s="11">
        <v>5.4188890000000001</v>
      </c>
      <c r="G1251" s="11">
        <v>59.611944000000001</v>
      </c>
      <c r="H1251" s="11">
        <v>1</v>
      </c>
    </row>
    <row r="1252" spans="6:8" x14ac:dyDescent="0.3">
      <c r="F1252" s="11">
        <v>5.3766670000000003</v>
      </c>
      <c r="G1252" s="11">
        <v>59.65</v>
      </c>
      <c r="H1252" s="11">
        <v>1</v>
      </c>
    </row>
    <row r="1253" spans="6:8" x14ac:dyDescent="0.3">
      <c r="F1253" s="11">
        <v>5.2872219999999999</v>
      </c>
      <c r="G1253" s="11">
        <v>59.598610999999998</v>
      </c>
      <c r="H1253" s="11">
        <v>1</v>
      </c>
    </row>
    <row r="1254" spans="6:8" x14ac:dyDescent="0.3">
      <c r="F1254" s="11">
        <v>5.2030560000000001</v>
      </c>
      <c r="G1254" s="11">
        <v>59.540278000000001</v>
      </c>
      <c r="H1254" s="11">
        <v>1</v>
      </c>
    </row>
    <row r="1255" spans="6:8" x14ac:dyDescent="0.3">
      <c r="F1255" s="11">
        <v>5.1825000000000001</v>
      </c>
      <c r="G1255" s="11">
        <v>59.496667000000002</v>
      </c>
      <c r="H1255" s="11">
        <v>1</v>
      </c>
    </row>
    <row r="1256" spans="6:8" x14ac:dyDescent="0.3">
      <c r="F1256" s="11">
        <v>5.2155560000000003</v>
      </c>
      <c r="G1256" s="11">
        <v>59.424444000000001</v>
      </c>
      <c r="H1256" s="11">
        <v>1</v>
      </c>
    </row>
    <row r="1257" spans="6:8" x14ac:dyDescent="0.3">
      <c r="F1257" s="11">
        <v>5.2769440000000003</v>
      </c>
      <c r="G1257" s="11">
        <v>59.355277999999998</v>
      </c>
      <c r="H1257" s="11">
        <v>1</v>
      </c>
    </row>
    <row r="1258" spans="6:8" x14ac:dyDescent="0.3">
      <c r="F1258" s="11">
        <v>5.3305559999999996</v>
      </c>
      <c r="G1258" s="11">
        <v>59.387222000000001</v>
      </c>
      <c r="H1258" s="11">
        <v>1</v>
      </c>
    </row>
    <row r="1259" spans="6:8" x14ac:dyDescent="0.3">
      <c r="F1259" s="11">
        <v>5.3505560000000001</v>
      </c>
      <c r="G1259" s="11">
        <v>59.362222000000003</v>
      </c>
      <c r="H1259" s="11">
        <v>1</v>
      </c>
    </row>
    <row r="1260" spans="6:8" x14ac:dyDescent="0.3">
      <c r="F1260" s="11">
        <v>5.4019440000000003</v>
      </c>
      <c r="G1260" s="11">
        <v>59.292222000000002</v>
      </c>
      <c r="H1260" s="11">
        <v>1</v>
      </c>
    </row>
    <row r="1261" spans="6:8" x14ac:dyDescent="0.3">
      <c r="F1261" s="11">
        <v>5.41</v>
      </c>
      <c r="G1261" s="11">
        <v>59.382221999999999</v>
      </c>
      <c r="H1261" s="11">
        <v>1</v>
      </c>
    </row>
    <row r="1262" spans="6:8" x14ac:dyDescent="0.3">
      <c r="F1262" s="11">
        <v>5.431667</v>
      </c>
      <c r="G1262" s="11">
        <v>59.348889</v>
      </c>
      <c r="H1262" s="11">
        <v>1</v>
      </c>
    </row>
    <row r="1263" spans="6:8" x14ac:dyDescent="0.3">
      <c r="F1263" s="11">
        <v>5.4855559999999999</v>
      </c>
      <c r="G1263" s="11">
        <v>59.276389000000002</v>
      </c>
      <c r="H1263" s="11">
        <v>1</v>
      </c>
    </row>
    <row r="1264" spans="6:8" x14ac:dyDescent="0.3">
      <c r="F1264" s="11">
        <v>5.576111</v>
      </c>
      <c r="G1264" s="11">
        <v>59.332222000000002</v>
      </c>
      <c r="H1264" s="11">
        <v>1</v>
      </c>
    </row>
    <row r="1265" spans="6:8" x14ac:dyDescent="0.3">
      <c r="F1265" s="11">
        <v>5.5569439999999997</v>
      </c>
      <c r="G1265" s="11">
        <v>59.411667000000001</v>
      </c>
      <c r="H1265" s="11">
        <v>1</v>
      </c>
    </row>
    <row r="1266" spans="6:8" x14ac:dyDescent="0.3">
      <c r="F1266" s="11">
        <v>5.6219440000000001</v>
      </c>
      <c r="G1266" s="11">
        <v>59.347777999999998</v>
      </c>
      <c r="H1266" s="11">
        <v>1</v>
      </c>
    </row>
    <row r="1267" spans="6:8" x14ac:dyDescent="0.3">
      <c r="F1267" s="11">
        <v>5.6224999999999996</v>
      </c>
      <c r="G1267" s="11">
        <v>59.287222</v>
      </c>
      <c r="H1267" s="11">
        <v>1</v>
      </c>
    </row>
    <row r="1268" spans="6:8" x14ac:dyDescent="0.3">
      <c r="F1268" s="11">
        <v>5.7180559999999998</v>
      </c>
      <c r="G1268" s="11">
        <v>59.336111000000002</v>
      </c>
      <c r="H1268" s="11">
        <v>1</v>
      </c>
    </row>
    <row r="1269" spans="6:8" x14ac:dyDescent="0.3">
      <c r="F1269" s="11">
        <v>5.8483330000000002</v>
      </c>
      <c r="G1269" s="11">
        <v>59.342778000000003</v>
      </c>
      <c r="H1269" s="11">
        <v>1</v>
      </c>
    </row>
    <row r="1270" spans="6:8" x14ac:dyDescent="0.3">
      <c r="F1270" s="11">
        <v>5.8083330000000002</v>
      </c>
      <c r="G1270" s="11">
        <v>59.411389</v>
      </c>
      <c r="H1270" s="11">
        <v>1</v>
      </c>
    </row>
    <row r="1271" spans="6:8" x14ac:dyDescent="0.3">
      <c r="F1271" s="11">
        <v>5.6811109999999996</v>
      </c>
      <c r="G1271" s="11">
        <v>59.411389</v>
      </c>
      <c r="H1271" s="11">
        <v>1</v>
      </c>
    </row>
    <row r="1272" spans="6:8" x14ac:dyDescent="0.3">
      <c r="F1272" s="11">
        <v>5.7130559999999999</v>
      </c>
      <c r="G1272" s="11">
        <v>59.436667</v>
      </c>
      <c r="H1272" s="11">
        <v>1</v>
      </c>
    </row>
    <row r="1273" spans="6:8" x14ac:dyDescent="0.3">
      <c r="F1273" s="11">
        <v>5.776389</v>
      </c>
      <c r="G1273" s="11">
        <v>59.450555999999999</v>
      </c>
      <c r="H1273" s="11">
        <v>1</v>
      </c>
    </row>
    <row r="1274" spans="6:8" x14ac:dyDescent="0.3">
      <c r="F1274" s="11">
        <v>5.7797219999999996</v>
      </c>
      <c r="G1274" s="11">
        <v>59.519167000000003</v>
      </c>
      <c r="H1274" s="11">
        <v>1</v>
      </c>
    </row>
    <row r="1275" spans="6:8" x14ac:dyDescent="0.3">
      <c r="F1275" s="11">
        <v>5.8636109999999997</v>
      </c>
      <c r="G1275" s="11">
        <v>59.488332999999997</v>
      </c>
      <c r="H1275" s="11">
        <v>1</v>
      </c>
    </row>
    <row r="1276" spans="6:8" x14ac:dyDescent="0.3">
      <c r="F1276" s="11">
        <v>6.0288890000000004</v>
      </c>
      <c r="G1276" s="11">
        <v>59.471389000000002</v>
      </c>
      <c r="H1276" s="11">
        <v>1</v>
      </c>
    </row>
    <row r="1277" spans="6:8" x14ac:dyDescent="0.3">
      <c r="F1277" s="11">
        <v>6.1319439999999998</v>
      </c>
      <c r="G1277" s="11">
        <v>59.473056</v>
      </c>
      <c r="H1277" s="11">
        <v>1</v>
      </c>
    </row>
    <row r="1278" spans="6:8" x14ac:dyDescent="0.3">
      <c r="F1278" s="11">
        <v>5.987222</v>
      </c>
      <c r="G1278" s="11">
        <v>59.445556000000003</v>
      </c>
      <c r="H1278" s="11">
        <v>1</v>
      </c>
    </row>
    <row r="1279" spans="6:8" x14ac:dyDescent="0.3">
      <c r="F1279" s="11">
        <v>5.8769439999999999</v>
      </c>
      <c r="G1279" s="11">
        <v>59.408889000000002</v>
      </c>
      <c r="H1279" s="11">
        <v>1</v>
      </c>
    </row>
    <row r="1280" spans="6:8" x14ac:dyDescent="0.3">
      <c r="F1280" s="11">
        <v>5.9491670000000001</v>
      </c>
      <c r="G1280" s="11">
        <v>59.353611000000001</v>
      </c>
      <c r="H1280" s="11">
        <v>1</v>
      </c>
    </row>
    <row r="1281" spans="6:8" x14ac:dyDescent="0.3">
      <c r="F1281" s="11">
        <v>5.9824999999999999</v>
      </c>
      <c r="G1281" s="11">
        <v>59.41</v>
      </c>
      <c r="H1281" s="11">
        <v>1</v>
      </c>
    </row>
    <row r="1282" spans="6:8" x14ac:dyDescent="0.3">
      <c r="F1282" s="11">
        <v>6.0541669999999996</v>
      </c>
      <c r="G1282" s="11">
        <v>59.408889000000002</v>
      </c>
      <c r="H1282" s="11">
        <v>1</v>
      </c>
    </row>
    <row r="1283" spans="6:8" x14ac:dyDescent="0.3">
      <c r="F1283" s="11">
        <v>6.1577780000000004</v>
      </c>
      <c r="G1283" s="11">
        <v>59.459443999999998</v>
      </c>
      <c r="H1283" s="11">
        <v>1</v>
      </c>
    </row>
    <row r="1284" spans="6:8" x14ac:dyDescent="0.3">
      <c r="F1284" s="11">
        <v>6.2244440000000001</v>
      </c>
      <c r="G1284" s="11">
        <v>59.53</v>
      </c>
      <c r="H1284" s="11">
        <v>1</v>
      </c>
    </row>
    <row r="1285" spans="6:8" x14ac:dyDescent="0.3">
      <c r="F1285" s="11">
        <v>6.2655560000000001</v>
      </c>
      <c r="G1285" s="11">
        <v>59.614443999999999</v>
      </c>
      <c r="H1285" s="11">
        <v>1</v>
      </c>
    </row>
    <row r="1286" spans="6:8" x14ac:dyDescent="0.3">
      <c r="F1286" s="11">
        <v>6.2897220000000003</v>
      </c>
      <c r="G1286" s="11">
        <v>59.626666999999998</v>
      </c>
      <c r="H1286" s="11">
        <v>1</v>
      </c>
    </row>
    <row r="1287" spans="6:8" x14ac:dyDescent="0.3">
      <c r="F1287" s="11">
        <v>6.2530559999999999</v>
      </c>
      <c r="G1287" s="11">
        <v>59.544443999999999</v>
      </c>
      <c r="H1287" s="11">
        <v>1</v>
      </c>
    </row>
    <row r="1288" spans="6:8" x14ac:dyDescent="0.3">
      <c r="F1288" s="11">
        <v>6.3305559999999996</v>
      </c>
      <c r="G1288" s="11">
        <v>59.545278000000003</v>
      </c>
      <c r="H1288" s="11">
        <v>1</v>
      </c>
    </row>
    <row r="1289" spans="6:8" x14ac:dyDescent="0.3">
      <c r="F1289" s="11">
        <v>6.4888890000000004</v>
      </c>
      <c r="G1289" s="11">
        <v>59.564999999999998</v>
      </c>
      <c r="H1289" s="11">
        <v>1</v>
      </c>
    </row>
    <row r="1290" spans="6:8" x14ac:dyDescent="0.3">
      <c r="F1290" s="11">
        <v>6.4372220000000002</v>
      </c>
      <c r="G1290" s="11">
        <v>59.551110999999999</v>
      </c>
      <c r="H1290" s="11">
        <v>1</v>
      </c>
    </row>
    <row r="1291" spans="6:8" x14ac:dyDescent="0.3">
      <c r="F1291" s="11">
        <v>6.3019439999999998</v>
      </c>
      <c r="G1291" s="11">
        <v>59.518332999999998</v>
      </c>
      <c r="H1291" s="11">
        <v>1</v>
      </c>
    </row>
    <row r="1292" spans="6:8" x14ac:dyDescent="0.3">
      <c r="F1292" s="11">
        <v>6.2161109999999997</v>
      </c>
      <c r="G1292" s="11">
        <v>59.460833000000001</v>
      </c>
      <c r="H1292" s="11">
        <v>1</v>
      </c>
    </row>
    <row r="1293" spans="6:8" x14ac:dyDescent="0.3">
      <c r="F1293" s="11">
        <v>6.1361109999999996</v>
      </c>
      <c r="G1293" s="11">
        <v>59.417222000000002</v>
      </c>
      <c r="H1293" s="11">
        <v>1</v>
      </c>
    </row>
    <row r="1294" spans="6:8" x14ac:dyDescent="0.3">
      <c r="F1294" s="11">
        <v>6.0274999999999999</v>
      </c>
      <c r="G1294" s="11">
        <v>59.369722000000003</v>
      </c>
      <c r="H1294" s="11">
        <v>1</v>
      </c>
    </row>
    <row r="1295" spans="6:8" x14ac:dyDescent="0.3">
      <c r="F1295" s="11">
        <v>6.0569439999999997</v>
      </c>
      <c r="G1295" s="11">
        <v>59.337221999999997</v>
      </c>
      <c r="H1295" s="11">
        <v>1</v>
      </c>
    </row>
    <row r="1296" spans="6:8" x14ac:dyDescent="0.3">
      <c r="F1296" s="11">
        <v>6.1427779999999998</v>
      </c>
      <c r="G1296" s="11">
        <v>59.331111</v>
      </c>
      <c r="H1296" s="11">
        <v>1</v>
      </c>
    </row>
    <row r="1297" spans="6:8" x14ac:dyDescent="0.3">
      <c r="F1297" s="11">
        <v>6.1927779999999997</v>
      </c>
      <c r="G1297" s="11">
        <v>59.359444000000003</v>
      </c>
      <c r="H1297" s="11">
        <v>1</v>
      </c>
    </row>
    <row r="1298" spans="6:8" x14ac:dyDescent="0.3">
      <c r="F1298" s="11">
        <v>6.217778</v>
      </c>
      <c r="G1298" s="11">
        <v>59.311943999999997</v>
      </c>
      <c r="H1298" s="11">
        <v>1</v>
      </c>
    </row>
    <row r="1299" spans="6:8" x14ac:dyDescent="0.3">
      <c r="F1299" s="11">
        <v>6.0949999999999998</v>
      </c>
      <c r="G1299" s="11">
        <v>59.284166999999997</v>
      </c>
      <c r="H1299" s="11">
        <v>1</v>
      </c>
    </row>
    <row r="1300" spans="6:8" x14ac:dyDescent="0.3">
      <c r="F1300" s="11">
        <v>6.2022219999999999</v>
      </c>
      <c r="G1300" s="11">
        <v>59.278610999999998</v>
      </c>
      <c r="H1300" s="11">
        <v>1</v>
      </c>
    </row>
    <row r="1301" spans="6:8" x14ac:dyDescent="0.3">
      <c r="F1301" s="11">
        <v>6.3224999999999998</v>
      </c>
      <c r="G1301" s="11">
        <v>59.320278000000002</v>
      </c>
      <c r="H1301" s="11">
        <v>1</v>
      </c>
    </row>
    <row r="1302" spans="6:8" x14ac:dyDescent="0.3">
      <c r="F1302" s="11">
        <v>6.454167</v>
      </c>
      <c r="G1302" s="11">
        <v>59.316667000000002</v>
      </c>
      <c r="H1302" s="11">
        <v>1</v>
      </c>
    </row>
    <row r="1303" spans="6:8" x14ac:dyDescent="0.3">
      <c r="F1303" s="11">
        <v>6.2986110000000002</v>
      </c>
      <c r="G1303" s="11">
        <v>59.297499999999999</v>
      </c>
      <c r="H1303" s="11">
        <v>1</v>
      </c>
    </row>
    <row r="1304" spans="6:8" x14ac:dyDescent="0.3">
      <c r="F1304" s="11">
        <v>6.1761109999999997</v>
      </c>
      <c r="G1304" s="11">
        <v>59.257221999999999</v>
      </c>
      <c r="H1304" s="11">
        <v>1</v>
      </c>
    </row>
    <row r="1305" spans="6:8" x14ac:dyDescent="0.3">
      <c r="F1305" s="11">
        <v>6.0716669999999997</v>
      </c>
      <c r="G1305" s="11">
        <v>59.207500000000003</v>
      </c>
      <c r="H1305" s="11">
        <v>1</v>
      </c>
    </row>
    <row r="1306" spans="6:8" x14ac:dyDescent="0.3">
      <c r="F1306" s="11">
        <v>6.0094440000000002</v>
      </c>
      <c r="G1306" s="11">
        <v>59.143056000000001</v>
      </c>
      <c r="H1306" s="11">
        <v>1</v>
      </c>
    </row>
    <row r="1307" spans="6:8" x14ac:dyDescent="0.3">
      <c r="F1307" s="11">
        <v>6.0933330000000003</v>
      </c>
      <c r="G1307" s="11">
        <v>59.137500000000003</v>
      </c>
      <c r="H1307" s="11">
        <v>1</v>
      </c>
    </row>
    <row r="1308" spans="6:8" x14ac:dyDescent="0.3">
      <c r="F1308" s="11">
        <v>5.9558330000000002</v>
      </c>
      <c r="G1308" s="11">
        <v>59.115555999999998</v>
      </c>
      <c r="H1308" s="11">
        <v>1</v>
      </c>
    </row>
    <row r="1309" spans="6:8" x14ac:dyDescent="0.3">
      <c r="F1309" s="11">
        <v>5.8722219999999998</v>
      </c>
      <c r="G1309" s="11">
        <v>59.061667</v>
      </c>
      <c r="H1309" s="11">
        <v>1</v>
      </c>
    </row>
    <row r="1310" spans="6:8" x14ac:dyDescent="0.3">
      <c r="F1310" s="11">
        <v>5.9694440000000002</v>
      </c>
      <c r="G1310" s="11">
        <v>59.013888999999999</v>
      </c>
      <c r="H1310" s="11">
        <v>1</v>
      </c>
    </row>
    <row r="1311" spans="6:8" x14ac:dyDescent="0.3">
      <c r="F1311" s="11">
        <v>6.0102779999999996</v>
      </c>
      <c r="G1311" s="11">
        <v>58.9925</v>
      </c>
      <c r="H1311" s="11">
        <v>1</v>
      </c>
    </row>
    <row r="1312" spans="6:8" x14ac:dyDescent="0.3">
      <c r="F1312" s="11">
        <v>6.0083330000000004</v>
      </c>
      <c r="G1312" s="11">
        <v>58.925556</v>
      </c>
      <c r="H1312" s="11">
        <v>1</v>
      </c>
    </row>
    <row r="1313" spans="6:8" x14ac:dyDescent="0.3">
      <c r="F1313" s="11">
        <v>6.0733329999999999</v>
      </c>
      <c r="G1313" s="11">
        <v>58.938611000000002</v>
      </c>
      <c r="H1313" s="11">
        <v>1</v>
      </c>
    </row>
    <row r="1314" spans="6:8" x14ac:dyDescent="0.3">
      <c r="F1314" s="11">
        <v>6.164167</v>
      </c>
      <c r="G1314" s="11">
        <v>58.995556000000001</v>
      </c>
      <c r="H1314" s="11">
        <v>1</v>
      </c>
    </row>
    <row r="1315" spans="6:8" x14ac:dyDescent="0.3">
      <c r="F1315" s="11">
        <v>6.3172220000000001</v>
      </c>
      <c r="G1315" s="11">
        <v>59.016944000000002</v>
      </c>
      <c r="H1315" s="11">
        <v>1</v>
      </c>
    </row>
    <row r="1316" spans="6:8" x14ac:dyDescent="0.3">
      <c r="F1316" s="11">
        <v>6.4655560000000003</v>
      </c>
      <c r="G1316" s="11">
        <v>59.041666999999997</v>
      </c>
      <c r="H1316" s="11">
        <v>1</v>
      </c>
    </row>
    <row r="1317" spans="6:8" x14ac:dyDescent="0.3">
      <c r="F1317" s="11">
        <v>6.6238890000000001</v>
      </c>
      <c r="G1317" s="11">
        <v>59.057222000000003</v>
      </c>
      <c r="H1317" s="11">
        <v>1</v>
      </c>
    </row>
    <row r="1318" spans="6:8" x14ac:dyDescent="0.3">
      <c r="F1318" s="11">
        <v>6.4855559999999999</v>
      </c>
      <c r="G1318" s="11">
        <v>59.028888999999999</v>
      </c>
      <c r="H1318" s="11">
        <v>1</v>
      </c>
    </row>
    <row r="1319" spans="6:8" x14ac:dyDescent="0.3">
      <c r="F1319" s="11">
        <v>6.3336110000000003</v>
      </c>
      <c r="G1319" s="11">
        <v>59.006667</v>
      </c>
      <c r="H1319" s="11">
        <v>1</v>
      </c>
    </row>
    <row r="1320" spans="6:8" x14ac:dyDescent="0.3">
      <c r="F1320" s="11">
        <v>6.1919440000000003</v>
      </c>
      <c r="G1320" s="11">
        <v>58.978889000000002</v>
      </c>
      <c r="H1320" s="11">
        <v>1</v>
      </c>
    </row>
    <row r="1321" spans="6:8" x14ac:dyDescent="0.3">
      <c r="F1321" s="11">
        <v>6.0861109999999998</v>
      </c>
      <c r="G1321" s="11">
        <v>58.930556000000003</v>
      </c>
      <c r="H1321" s="11">
        <v>1</v>
      </c>
    </row>
    <row r="1322" spans="6:8" x14ac:dyDescent="0.3">
      <c r="F1322" s="11">
        <v>6.0958329999999998</v>
      </c>
      <c r="G1322" s="11">
        <v>58.863056</v>
      </c>
      <c r="H1322" s="11">
        <v>1</v>
      </c>
    </row>
    <row r="1323" spans="6:8" x14ac:dyDescent="0.3">
      <c r="F1323" s="11">
        <v>6.2272220000000003</v>
      </c>
      <c r="G1323" s="11">
        <v>58.834167000000001</v>
      </c>
      <c r="H1323" s="11">
        <v>1</v>
      </c>
    </row>
    <row r="1324" spans="6:8" x14ac:dyDescent="0.3">
      <c r="F1324" s="11">
        <v>6.072222</v>
      </c>
      <c r="G1324" s="11">
        <v>58.852499999999999</v>
      </c>
      <c r="H1324" s="11">
        <v>1</v>
      </c>
    </row>
    <row r="1325" spans="6:8" x14ac:dyDescent="0.3">
      <c r="F1325" s="11">
        <v>5.9647220000000001</v>
      </c>
      <c r="G1325" s="11">
        <v>58.900556000000002</v>
      </c>
      <c r="H1325" s="11">
        <v>1</v>
      </c>
    </row>
    <row r="1326" spans="6:8" x14ac:dyDescent="0.3">
      <c r="F1326" s="11">
        <v>5.875</v>
      </c>
      <c r="G1326" s="11">
        <v>58.956944</v>
      </c>
      <c r="H1326" s="11">
        <v>1</v>
      </c>
    </row>
    <row r="1327" spans="6:8" x14ac:dyDescent="0.3">
      <c r="F1327" s="11">
        <v>5.7750000000000004</v>
      </c>
      <c r="G1327" s="11">
        <v>58.925556</v>
      </c>
      <c r="H1327" s="11">
        <v>1</v>
      </c>
    </row>
    <row r="1328" spans="6:8" x14ac:dyDescent="0.3">
      <c r="F1328" s="11">
        <v>5.7052779999999998</v>
      </c>
      <c r="G1328" s="11">
        <v>58.868611000000001</v>
      </c>
      <c r="H1328" s="11">
        <v>1</v>
      </c>
    </row>
    <row r="1329" spans="6:8" x14ac:dyDescent="0.3">
      <c r="F1329" s="11">
        <v>5.71</v>
      </c>
      <c r="G1329" s="11">
        <v>58.959443999999998</v>
      </c>
      <c r="H1329" s="11">
        <v>1</v>
      </c>
    </row>
    <row r="1330" spans="6:8" x14ac:dyDescent="0.3">
      <c r="F1330" s="11">
        <v>5.6111110000000002</v>
      </c>
      <c r="G1330" s="11">
        <v>59.0075</v>
      </c>
      <c r="H1330" s="11">
        <v>1</v>
      </c>
    </row>
    <row r="1331" spans="6:8" x14ac:dyDescent="0.3">
      <c r="F1331" s="11">
        <v>5.5338890000000003</v>
      </c>
      <c r="G1331" s="11">
        <v>58.994722000000003</v>
      </c>
      <c r="H1331" s="11">
        <v>1</v>
      </c>
    </row>
    <row r="1332" spans="6:8" x14ac:dyDescent="0.3">
      <c r="F1332" s="11">
        <v>5.5519439999999998</v>
      </c>
      <c r="G1332" s="11">
        <v>58.967500000000001</v>
      </c>
      <c r="H1332" s="11">
        <v>1</v>
      </c>
    </row>
    <row r="1333" spans="6:8" x14ac:dyDescent="0.3">
      <c r="F1333" s="11">
        <v>5.6177780000000004</v>
      </c>
      <c r="G1333" s="11">
        <v>58.907778</v>
      </c>
      <c r="H1333" s="11">
        <v>1</v>
      </c>
    </row>
    <row r="1334" spans="6:8" x14ac:dyDescent="0.3">
      <c r="F1334" s="11">
        <v>5.5327780000000004</v>
      </c>
      <c r="G1334" s="11">
        <v>58.946666999999998</v>
      </c>
      <c r="H1334" s="11">
        <v>1</v>
      </c>
    </row>
    <row r="1335" spans="6:8" x14ac:dyDescent="0.3">
      <c r="F1335" s="11">
        <v>5.5611110000000004</v>
      </c>
      <c r="G1335" s="11">
        <v>58.879443999999999</v>
      </c>
      <c r="H1335" s="11">
        <v>1</v>
      </c>
    </row>
    <row r="1336" spans="6:8" x14ac:dyDescent="0.3">
      <c r="F1336" s="11">
        <v>5.5219440000000004</v>
      </c>
      <c r="G1336" s="11">
        <v>58.802500000000002</v>
      </c>
      <c r="H1336" s="11">
        <v>1</v>
      </c>
    </row>
    <row r="1337" spans="6:8" x14ac:dyDescent="0.3">
      <c r="H1337" s="11">
        <v>1</v>
      </c>
    </row>
    <row r="1338" spans="6:8" x14ac:dyDescent="0.3">
      <c r="F1338" s="11">
        <v>5.5119439999999997</v>
      </c>
      <c r="G1338" s="11">
        <v>58.687221999999998</v>
      </c>
      <c r="H1338" s="11">
        <v>1</v>
      </c>
    </row>
    <row r="1339" spans="6:8" x14ac:dyDescent="0.3">
      <c r="F1339" s="11">
        <v>5.5744439999999997</v>
      </c>
      <c r="G1339" s="11">
        <v>58.623333000000002</v>
      </c>
      <c r="H1339" s="11">
        <v>1</v>
      </c>
    </row>
    <row r="1340" spans="6:8" x14ac:dyDescent="0.3">
      <c r="F1340" s="11">
        <v>5.6322219999999996</v>
      </c>
      <c r="G1340" s="11">
        <v>58.551943999999999</v>
      </c>
      <c r="H1340" s="11">
        <v>1</v>
      </c>
    </row>
    <row r="1341" spans="6:8" x14ac:dyDescent="0.3">
      <c r="F1341" s="11">
        <v>5.7388890000000004</v>
      </c>
      <c r="G1341" s="11">
        <v>58.504167000000002</v>
      </c>
      <c r="H1341" s="11">
        <v>1</v>
      </c>
    </row>
    <row r="1342" spans="6:8" x14ac:dyDescent="0.3">
      <c r="F1342" s="11">
        <v>5.8783329999999996</v>
      </c>
      <c r="G1342" s="11">
        <v>58.473610999999998</v>
      </c>
      <c r="H1342" s="11">
        <v>1</v>
      </c>
    </row>
    <row r="1343" spans="6:8" x14ac:dyDescent="0.3">
      <c r="F1343" s="11">
        <v>5.97</v>
      </c>
      <c r="G1343" s="11">
        <v>58.425277999999999</v>
      </c>
      <c r="H1343" s="11">
        <v>1</v>
      </c>
    </row>
    <row r="1344" spans="6:8" x14ac:dyDescent="0.3">
      <c r="F1344" s="11">
        <v>6.0608329999999997</v>
      </c>
      <c r="G1344" s="11">
        <v>58.370832999999998</v>
      </c>
      <c r="H1344" s="11">
        <v>1</v>
      </c>
    </row>
    <row r="1345" spans="6:8" x14ac:dyDescent="0.3">
      <c r="F1345" s="11">
        <v>6.1830559999999997</v>
      </c>
      <c r="G1345" s="11">
        <v>58.330556000000001</v>
      </c>
      <c r="H1345" s="11">
        <v>1</v>
      </c>
    </row>
    <row r="1346" spans="6:8" x14ac:dyDescent="0.3">
      <c r="F1346" s="11">
        <v>6.3033330000000003</v>
      </c>
      <c r="G1346" s="11">
        <v>58.289444000000003</v>
      </c>
      <c r="H1346" s="11">
        <v>1</v>
      </c>
    </row>
    <row r="1347" spans="6:8" x14ac:dyDescent="0.3">
      <c r="F1347" s="11">
        <v>6.4591669999999999</v>
      </c>
      <c r="G1347" s="11">
        <v>58.265278000000002</v>
      </c>
      <c r="H1347" s="11">
        <v>1</v>
      </c>
    </row>
    <row r="1348" spans="6:8" x14ac:dyDescent="0.3">
      <c r="F1348" s="11">
        <v>6.6077779999999997</v>
      </c>
      <c r="G1348" s="11">
        <v>58.237777999999999</v>
      </c>
      <c r="H1348" s="11">
        <v>1</v>
      </c>
    </row>
    <row r="1349" spans="6:8" x14ac:dyDescent="0.3">
      <c r="F1349" s="11">
        <v>6.6197220000000003</v>
      </c>
      <c r="G1349" s="11">
        <v>58.313611000000002</v>
      </c>
      <c r="H1349" s="11">
        <v>1</v>
      </c>
    </row>
    <row r="1350" spans="6:8" x14ac:dyDescent="0.3">
      <c r="F1350" s="11">
        <v>6.7022219999999999</v>
      </c>
      <c r="G1350" s="11">
        <v>58.300277999999999</v>
      </c>
      <c r="H1350" s="11">
        <v>1</v>
      </c>
    </row>
    <row r="1351" spans="6:8" x14ac:dyDescent="0.3">
      <c r="F1351" s="11">
        <v>6.6413890000000002</v>
      </c>
      <c r="G1351" s="11">
        <v>58.26</v>
      </c>
      <c r="H1351" s="11">
        <v>1</v>
      </c>
    </row>
    <row r="1352" spans="6:8" x14ac:dyDescent="0.3">
      <c r="F1352" s="11">
        <v>6.7252780000000003</v>
      </c>
      <c r="G1352" s="11">
        <v>58.236944000000001</v>
      </c>
      <c r="H1352" s="11">
        <v>1</v>
      </c>
    </row>
    <row r="1353" spans="6:8" x14ac:dyDescent="0.3">
      <c r="F1353" s="11">
        <v>6.8491669999999996</v>
      </c>
      <c r="G1353" s="11">
        <v>58.270833000000003</v>
      </c>
      <c r="H1353" s="11">
        <v>1</v>
      </c>
    </row>
    <row r="1354" spans="6:8" x14ac:dyDescent="0.3">
      <c r="F1354" s="11">
        <v>6.737222</v>
      </c>
      <c r="G1354" s="11">
        <v>58.226944000000003</v>
      </c>
      <c r="H1354" s="11">
        <v>1</v>
      </c>
    </row>
    <row r="1355" spans="6:8" x14ac:dyDescent="0.3">
      <c r="F1355" s="11">
        <v>6.6730559999999999</v>
      </c>
      <c r="G1355" s="11">
        <v>58.178610999999997</v>
      </c>
      <c r="H1355" s="11">
        <v>1</v>
      </c>
    </row>
    <row r="1356" spans="6:8" x14ac:dyDescent="0.3">
      <c r="F1356" s="11">
        <v>6.5730560000000002</v>
      </c>
      <c r="G1356" s="11">
        <v>58.132778000000002</v>
      </c>
      <c r="H1356" s="11">
        <v>1</v>
      </c>
    </row>
    <row r="1357" spans="6:8" x14ac:dyDescent="0.3">
      <c r="F1357" s="11">
        <v>6.5861109999999998</v>
      </c>
      <c r="G1357" s="11">
        <v>58.084167000000001</v>
      </c>
      <c r="H1357" s="11">
        <v>1</v>
      </c>
    </row>
    <row r="1358" spans="6:8" x14ac:dyDescent="0.3">
      <c r="F1358" s="11">
        <v>6.7283330000000001</v>
      </c>
      <c r="G1358" s="11">
        <v>58.064166999999998</v>
      </c>
      <c r="H1358" s="11">
        <v>1</v>
      </c>
    </row>
    <row r="1359" spans="6:8" x14ac:dyDescent="0.3">
      <c r="F1359" s="11">
        <v>6.7419440000000002</v>
      </c>
      <c r="G1359" s="11">
        <v>58.092778000000003</v>
      </c>
      <c r="H1359" s="11">
        <v>1</v>
      </c>
    </row>
    <row r="1360" spans="6:8" x14ac:dyDescent="0.3">
      <c r="F1360" s="11">
        <v>6.7102779999999997</v>
      </c>
      <c r="G1360" s="11">
        <v>58.148055999999997</v>
      </c>
      <c r="H1360" s="11">
        <v>1</v>
      </c>
    </row>
    <row r="1361" spans="6:8" x14ac:dyDescent="0.3">
      <c r="F1361" s="11">
        <v>6.7191669999999997</v>
      </c>
      <c r="G1361" s="11">
        <v>58.133889000000003</v>
      </c>
      <c r="H1361" s="11">
        <v>1</v>
      </c>
    </row>
    <row r="1362" spans="6:8" x14ac:dyDescent="0.3">
      <c r="F1362" s="11">
        <v>6.8174999999999999</v>
      </c>
      <c r="G1362" s="11">
        <v>58.129443999999999</v>
      </c>
      <c r="H1362" s="11">
        <v>1</v>
      </c>
    </row>
    <row r="1363" spans="6:8" x14ac:dyDescent="0.3">
      <c r="F1363" s="11">
        <v>6.8111110000000004</v>
      </c>
      <c r="G1363" s="11">
        <v>58.174999999999997</v>
      </c>
      <c r="H1363" s="11">
        <v>1</v>
      </c>
    </row>
    <row r="1364" spans="6:8" x14ac:dyDescent="0.3">
      <c r="F1364" s="11">
        <v>6.9069440000000002</v>
      </c>
      <c r="G1364" s="11">
        <v>58.123888999999998</v>
      </c>
      <c r="H1364" s="11">
        <v>1</v>
      </c>
    </row>
    <row r="1365" spans="6:8" x14ac:dyDescent="0.3">
      <c r="F1365" s="11">
        <v>6.9452780000000001</v>
      </c>
      <c r="G1365" s="11">
        <v>58.118611000000001</v>
      </c>
      <c r="H1365" s="11">
        <v>1</v>
      </c>
    </row>
    <row r="1366" spans="6:8" x14ac:dyDescent="0.3">
      <c r="F1366" s="11">
        <v>6.8072220000000003</v>
      </c>
      <c r="G1366" s="11">
        <v>58.095556000000002</v>
      </c>
      <c r="H1366" s="11">
        <v>1</v>
      </c>
    </row>
    <row r="1367" spans="6:8" x14ac:dyDescent="0.3">
      <c r="F1367" s="11">
        <v>6.9033329999999999</v>
      </c>
      <c r="G1367" s="11">
        <v>58.093055999999997</v>
      </c>
      <c r="H1367" s="11">
        <v>1</v>
      </c>
    </row>
    <row r="1368" spans="6:8" x14ac:dyDescent="0.3">
      <c r="F1368" s="11">
        <v>6.9369440000000004</v>
      </c>
      <c r="G1368" s="11">
        <v>58.070556000000003</v>
      </c>
      <c r="H1368" s="11">
        <v>1</v>
      </c>
    </row>
    <row r="1369" spans="6:8" x14ac:dyDescent="0.3">
      <c r="F1369" s="11">
        <v>6.9772220000000003</v>
      </c>
      <c r="G1369" s="11">
        <v>58.080278</v>
      </c>
      <c r="H1369" s="11">
        <v>1</v>
      </c>
    </row>
    <row r="1370" spans="6:8" x14ac:dyDescent="0.3">
      <c r="F1370" s="11">
        <v>6.9861110000000002</v>
      </c>
      <c r="G1370" s="11">
        <v>58.044167000000002</v>
      </c>
      <c r="H1370" s="11">
        <v>1</v>
      </c>
    </row>
    <row r="1371" spans="6:8" x14ac:dyDescent="0.3">
      <c r="F1371" s="11">
        <v>7.1019439999999996</v>
      </c>
      <c r="G1371" s="11">
        <v>58.080278</v>
      </c>
      <c r="H1371" s="11">
        <v>1</v>
      </c>
    </row>
    <row r="1372" spans="6:8" x14ac:dyDescent="0.3">
      <c r="F1372" s="11">
        <v>7.1224999999999996</v>
      </c>
      <c r="G1372" s="11">
        <v>58.056389000000003</v>
      </c>
      <c r="H1372" s="11">
        <v>1</v>
      </c>
    </row>
    <row r="1373" spans="6:8" x14ac:dyDescent="0.3">
      <c r="F1373" s="11">
        <v>7.0269440000000003</v>
      </c>
      <c r="G1373" s="11">
        <v>58.038888999999998</v>
      </c>
      <c r="H1373" s="11">
        <v>1</v>
      </c>
    </row>
    <row r="1374" spans="6:8" x14ac:dyDescent="0.3">
      <c r="F1374" s="11">
        <v>7.0397220000000003</v>
      </c>
      <c r="G1374" s="11">
        <v>57.994444000000001</v>
      </c>
      <c r="H1374" s="11">
        <v>1</v>
      </c>
    </row>
    <row r="1375" spans="6:8" x14ac:dyDescent="0.3">
      <c r="F1375" s="11">
        <v>7.1283329999999996</v>
      </c>
      <c r="G1375" s="11">
        <v>58.039444000000003</v>
      </c>
      <c r="H1375" s="11">
        <v>1</v>
      </c>
    </row>
    <row r="1376" spans="6:8" x14ac:dyDescent="0.3">
      <c r="F1376" s="11">
        <v>7.236389</v>
      </c>
      <c r="G1376" s="11">
        <v>58.050832999999997</v>
      </c>
      <c r="H1376" s="11">
        <v>1</v>
      </c>
    </row>
    <row r="1377" spans="6:8" x14ac:dyDescent="0.3">
      <c r="F1377" s="11">
        <v>7.3363889999999996</v>
      </c>
      <c r="G1377" s="11">
        <v>58.02</v>
      </c>
      <c r="H1377" s="11">
        <v>1</v>
      </c>
    </row>
    <row r="1378" spans="6:8" x14ac:dyDescent="0.3">
      <c r="F1378" s="11">
        <v>7.4838889999999996</v>
      </c>
      <c r="G1378" s="11">
        <v>58.005555999999999</v>
      </c>
      <c r="H1378" s="11">
        <v>1</v>
      </c>
    </row>
    <row r="1379" spans="6:8" x14ac:dyDescent="0.3">
      <c r="F1379" s="11">
        <v>7.5866670000000003</v>
      </c>
      <c r="G1379" s="11">
        <v>58.037500000000001</v>
      </c>
      <c r="H1379" s="11">
        <v>1</v>
      </c>
    </row>
    <row r="1380" spans="6:8" x14ac:dyDescent="0.3">
      <c r="F1380" s="11">
        <v>7.6547219999999996</v>
      </c>
      <c r="G1380" s="11">
        <v>58.040278000000001</v>
      </c>
      <c r="H1380" s="11">
        <v>1</v>
      </c>
    </row>
    <row r="1381" spans="6:8" x14ac:dyDescent="0.3">
      <c r="F1381" s="11">
        <v>7.7405559999999998</v>
      </c>
      <c r="G1381" s="11">
        <v>58.068055999999999</v>
      </c>
      <c r="H1381" s="11">
        <v>1</v>
      </c>
    </row>
    <row r="1382" spans="6:8" x14ac:dyDescent="0.3">
      <c r="F1382" s="11">
        <v>7.898333</v>
      </c>
      <c r="G1382" s="11">
        <v>58.079721999999997</v>
      </c>
      <c r="H1382" s="11">
        <v>1</v>
      </c>
    </row>
    <row r="1383" spans="6:8" x14ac:dyDescent="0.3">
      <c r="F1383" s="11">
        <v>7.9430560000000003</v>
      </c>
      <c r="G1383" s="11">
        <v>58.119166999999997</v>
      </c>
      <c r="H1383" s="11">
        <v>1</v>
      </c>
    </row>
    <row r="1384" spans="6:8" x14ac:dyDescent="0.3">
      <c r="F1384" s="11">
        <v>8.0283329999999999</v>
      </c>
      <c r="G1384" s="11">
        <v>58.174722000000003</v>
      </c>
      <c r="H1384" s="11">
        <v>1</v>
      </c>
    </row>
    <row r="1385" spans="6:8" x14ac:dyDescent="0.3">
      <c r="F1385" s="11">
        <v>8.043056</v>
      </c>
      <c r="G1385" s="11">
        <v>58.203055999999997</v>
      </c>
      <c r="H1385" s="11">
        <v>1</v>
      </c>
    </row>
    <row r="1386" spans="6:8" x14ac:dyDescent="0.3">
      <c r="F1386" s="11">
        <v>8.0405560000000005</v>
      </c>
      <c r="G1386" s="11">
        <v>58.141944000000002</v>
      </c>
      <c r="H1386" s="11">
        <v>1</v>
      </c>
    </row>
    <row r="1387" spans="6:8" x14ac:dyDescent="0.3">
      <c r="F1387" s="11">
        <v>8.1033329999999992</v>
      </c>
      <c r="G1387" s="11">
        <v>58.1</v>
      </c>
      <c r="H1387" s="11">
        <v>1</v>
      </c>
    </row>
    <row r="1388" spans="6:8" x14ac:dyDescent="0.3">
      <c r="F1388" s="11">
        <v>8.1824999999999992</v>
      </c>
      <c r="G1388" s="11">
        <v>58.131943999999997</v>
      </c>
      <c r="H1388" s="11">
        <v>1</v>
      </c>
    </row>
    <row r="1389" spans="6:8" x14ac:dyDescent="0.3">
      <c r="F1389" s="11">
        <v>8.2380560000000003</v>
      </c>
      <c r="G1389" s="11">
        <v>58.163333000000002</v>
      </c>
      <c r="H1389" s="11">
        <v>1</v>
      </c>
    </row>
    <row r="1390" spans="6:8" x14ac:dyDescent="0.3">
      <c r="F1390" s="11">
        <v>8.2949999999999999</v>
      </c>
      <c r="G1390" s="11">
        <v>58.210278000000002</v>
      </c>
      <c r="H1390" s="11">
        <v>1</v>
      </c>
    </row>
    <row r="1391" spans="6:8" x14ac:dyDescent="0.3">
      <c r="F1391" s="11">
        <v>8.3986110000000007</v>
      </c>
      <c r="G1391" s="11">
        <v>58.236111000000001</v>
      </c>
      <c r="H1391" s="11">
        <v>1</v>
      </c>
    </row>
    <row r="1392" spans="6:8" x14ac:dyDescent="0.3">
      <c r="F1392" s="11">
        <v>8.4611110000000007</v>
      </c>
      <c r="G1392" s="11">
        <v>58.258889000000003</v>
      </c>
      <c r="H1392" s="11">
        <v>1</v>
      </c>
    </row>
    <row r="1393" spans="6:8" x14ac:dyDescent="0.3">
      <c r="F1393" s="11">
        <v>8.5319439999999993</v>
      </c>
      <c r="G1393" s="11">
        <v>58.298889000000003</v>
      </c>
      <c r="H1393" s="11">
        <v>1</v>
      </c>
    </row>
    <row r="1394" spans="6:8" x14ac:dyDescent="0.3">
      <c r="F1394" s="11">
        <v>8.5858329999999992</v>
      </c>
      <c r="G1394" s="11">
        <v>58.331667000000003</v>
      </c>
      <c r="H1394" s="11">
        <v>1</v>
      </c>
    </row>
    <row r="1395" spans="6:8" x14ac:dyDescent="0.3">
      <c r="F1395" s="11">
        <v>8.6813889999999994</v>
      </c>
      <c r="G1395" s="11">
        <v>58.368611000000001</v>
      </c>
      <c r="H1395" s="11">
        <v>1</v>
      </c>
    </row>
    <row r="1396" spans="6:8" x14ac:dyDescent="0.3">
      <c r="F1396" s="11">
        <v>8.7113890000000005</v>
      </c>
      <c r="G1396" s="11">
        <v>58.436110999999997</v>
      </c>
      <c r="H1396" s="11">
        <v>1</v>
      </c>
    </row>
    <row r="1397" spans="6:8" x14ac:dyDescent="0.3">
      <c r="F1397" s="11">
        <v>8.8249999999999993</v>
      </c>
      <c r="G1397" s="11">
        <v>58.476944000000003</v>
      </c>
      <c r="H1397" s="11">
        <v>1</v>
      </c>
    </row>
    <row r="1398" spans="6:8" x14ac:dyDescent="0.3">
      <c r="F1398" s="11">
        <v>8.9144439999999996</v>
      </c>
      <c r="G1398" s="11">
        <v>58.534722000000002</v>
      </c>
      <c r="H1398" s="11">
        <v>1</v>
      </c>
    </row>
    <row r="1399" spans="6:8" x14ac:dyDescent="0.3">
      <c r="F1399" s="11">
        <v>8.9141670000000008</v>
      </c>
      <c r="G1399" s="11">
        <v>58.601111000000003</v>
      </c>
      <c r="H1399" s="11">
        <v>1</v>
      </c>
    </row>
    <row r="1400" spans="6:8" x14ac:dyDescent="0.3">
      <c r="H1400" s="11">
        <v>1</v>
      </c>
    </row>
    <row r="1401" spans="6:8" x14ac:dyDescent="0.3">
      <c r="F1401" s="11">
        <v>8.2819439999999993</v>
      </c>
      <c r="G1401" s="11">
        <v>54.795555999999998</v>
      </c>
      <c r="H1401" s="11">
        <v>1</v>
      </c>
    </row>
    <row r="1402" spans="6:8" x14ac:dyDescent="0.3">
      <c r="F1402" s="11">
        <v>8.2847220000000004</v>
      </c>
      <c r="G1402" s="11">
        <v>54.844721999999997</v>
      </c>
      <c r="H1402" s="11">
        <v>1</v>
      </c>
    </row>
    <row r="1403" spans="6:8" x14ac:dyDescent="0.3">
      <c r="F1403" s="11">
        <v>8.2911110000000008</v>
      </c>
      <c r="G1403" s="11">
        <v>54.894722000000002</v>
      </c>
      <c r="H1403" s="11">
        <v>1</v>
      </c>
    </row>
    <row r="1404" spans="6:8" x14ac:dyDescent="0.3">
      <c r="F1404" s="11">
        <v>8.3094439999999992</v>
      </c>
      <c r="G1404" s="11">
        <v>54.937221999999998</v>
      </c>
      <c r="H1404" s="11">
        <v>1</v>
      </c>
    </row>
    <row r="1405" spans="6:8" x14ac:dyDescent="0.3">
      <c r="F1405" s="11">
        <v>8.3372220000000006</v>
      </c>
      <c r="G1405" s="11">
        <v>54.973332999999997</v>
      </c>
      <c r="H1405" s="11">
        <v>1</v>
      </c>
    </row>
    <row r="1406" spans="6:8" x14ac:dyDescent="0.3">
      <c r="F1406" s="11">
        <v>8.3613890000000008</v>
      </c>
      <c r="G1406" s="11">
        <v>55.012222000000001</v>
      </c>
      <c r="H1406" s="11">
        <v>1</v>
      </c>
    </row>
    <row r="1407" spans="6:8" x14ac:dyDescent="0.3">
      <c r="F1407" s="11">
        <v>8.3883329999999994</v>
      </c>
      <c r="G1407" s="11">
        <v>55.049166999999997</v>
      </c>
      <c r="H1407" s="11">
        <v>1</v>
      </c>
    </row>
    <row r="1408" spans="6:8" x14ac:dyDescent="0.3">
      <c r="F1408" s="11">
        <v>8.4555559999999996</v>
      </c>
      <c r="G1408" s="11">
        <v>55.050832999999997</v>
      </c>
      <c r="H1408" s="11">
        <v>1</v>
      </c>
    </row>
    <row r="1409" spans="6:8" x14ac:dyDescent="0.3">
      <c r="F1409" s="11">
        <v>8.3994440000000008</v>
      </c>
      <c r="G1409" s="11">
        <v>55.047221999999998</v>
      </c>
      <c r="H1409" s="11">
        <v>1</v>
      </c>
    </row>
    <row r="1410" spans="6:8" x14ac:dyDescent="0.3">
      <c r="F1410" s="11">
        <v>8.4358330000000006</v>
      </c>
      <c r="G1410" s="11">
        <v>55.022221999999999</v>
      </c>
      <c r="H1410" s="11">
        <v>1</v>
      </c>
    </row>
    <row r="1411" spans="6:8" x14ac:dyDescent="0.3">
      <c r="F1411" s="11">
        <v>8.3861109999999996</v>
      </c>
      <c r="G1411" s="11">
        <v>54.999443999999997</v>
      </c>
      <c r="H1411" s="11">
        <v>1</v>
      </c>
    </row>
    <row r="1412" spans="6:8" x14ac:dyDescent="0.3">
      <c r="F1412" s="11">
        <v>8.3522219999999994</v>
      </c>
      <c r="G1412" s="11">
        <v>54.966943999999998</v>
      </c>
      <c r="H1412" s="11">
        <v>1</v>
      </c>
    </row>
    <row r="1413" spans="6:8" x14ac:dyDescent="0.3">
      <c r="F1413" s="11">
        <v>8.3552780000000002</v>
      </c>
      <c r="G1413" s="11">
        <v>54.923056000000003</v>
      </c>
      <c r="H1413" s="11">
        <v>1</v>
      </c>
    </row>
    <row r="1414" spans="6:8" x14ac:dyDescent="0.3">
      <c r="F1414" s="11">
        <v>8.3866669999999992</v>
      </c>
      <c r="G1414" s="11">
        <v>54.890555999999997</v>
      </c>
      <c r="H1414" s="11">
        <v>1</v>
      </c>
    </row>
    <row r="1415" spans="6:8" x14ac:dyDescent="0.3">
      <c r="F1415" s="11">
        <v>8.4508329999999994</v>
      </c>
      <c r="G1415" s="11">
        <v>54.878889000000001</v>
      </c>
      <c r="H1415" s="11">
        <v>1</v>
      </c>
    </row>
    <row r="1416" spans="6:8" x14ac:dyDescent="0.3">
      <c r="F1416" s="11">
        <v>8.5230560000000004</v>
      </c>
      <c r="G1416" s="11">
        <v>54.886944</v>
      </c>
      <c r="H1416" s="11">
        <v>1</v>
      </c>
    </row>
    <row r="1417" spans="6:8" x14ac:dyDescent="0.3">
      <c r="F1417" s="11">
        <v>8.6013889999999993</v>
      </c>
      <c r="G1417" s="11">
        <v>54.890278000000002</v>
      </c>
      <c r="H1417" s="11">
        <v>1</v>
      </c>
    </row>
    <row r="1418" spans="6:8" x14ac:dyDescent="0.3">
      <c r="F1418" s="11">
        <v>8.5744439999999997</v>
      </c>
      <c r="G1418" s="11">
        <v>54.883333</v>
      </c>
      <c r="H1418" s="11">
        <v>1</v>
      </c>
    </row>
    <row r="1419" spans="6:8" x14ac:dyDescent="0.3">
      <c r="F1419" s="11">
        <v>8.4977780000000003</v>
      </c>
      <c r="G1419" s="11">
        <v>54.877777999999999</v>
      </c>
      <c r="H1419" s="11">
        <v>1</v>
      </c>
    </row>
    <row r="1420" spans="6:8" x14ac:dyDescent="0.3">
      <c r="F1420" s="11">
        <v>8.4413889999999991</v>
      </c>
      <c r="G1420" s="11">
        <v>54.859444000000003</v>
      </c>
      <c r="H1420" s="11">
        <v>1</v>
      </c>
    </row>
    <row r="1421" spans="6:8" x14ac:dyDescent="0.3">
      <c r="F1421" s="11">
        <v>8.3788889999999991</v>
      </c>
      <c r="G1421" s="11">
        <v>54.860833</v>
      </c>
      <c r="H1421" s="11">
        <v>1</v>
      </c>
    </row>
    <row r="1422" spans="6:8" x14ac:dyDescent="0.3">
      <c r="F1422" s="11">
        <v>8.3327779999999994</v>
      </c>
      <c r="G1422" s="11">
        <v>54.873333000000002</v>
      </c>
      <c r="H1422" s="11">
        <v>1</v>
      </c>
    </row>
    <row r="1423" spans="6:8" x14ac:dyDescent="0.3">
      <c r="F1423" s="11">
        <v>8.2974999999999994</v>
      </c>
      <c r="G1423" s="11">
        <v>54.841388999999999</v>
      </c>
      <c r="H1423" s="11">
        <v>1</v>
      </c>
    </row>
    <row r="1424" spans="6:8" x14ac:dyDescent="0.3">
      <c r="F1424" s="11">
        <v>8.2938890000000001</v>
      </c>
      <c r="G1424" s="11">
        <v>54.795555999999998</v>
      </c>
      <c r="H1424" s="11">
        <v>1</v>
      </c>
    </row>
    <row r="1425" spans="6:8" x14ac:dyDescent="0.3">
      <c r="F1425" s="11">
        <v>8.2963889999999996</v>
      </c>
      <c r="G1425" s="11">
        <v>54.752222000000003</v>
      </c>
      <c r="H1425" s="11">
        <v>1</v>
      </c>
    </row>
    <row r="1426" spans="6:8" x14ac:dyDescent="0.3">
      <c r="H1426" s="11">
        <v>1</v>
      </c>
    </row>
    <row r="1427" spans="6:8" x14ac:dyDescent="0.3">
      <c r="F1427" s="11">
        <v>8.4294440000000002</v>
      </c>
      <c r="G1427" s="11">
        <v>54.743611000000001</v>
      </c>
      <c r="H1427" s="11">
        <v>1</v>
      </c>
    </row>
    <row r="1428" spans="6:8" x14ac:dyDescent="0.3">
      <c r="F1428" s="11">
        <v>8.4966670000000004</v>
      </c>
      <c r="G1428" s="11">
        <v>54.750556000000003</v>
      </c>
      <c r="H1428" s="11">
        <v>1</v>
      </c>
    </row>
    <row r="1429" spans="6:8" x14ac:dyDescent="0.3">
      <c r="F1429" s="11">
        <v>8.5549999999999997</v>
      </c>
      <c r="G1429" s="11">
        <v>54.752777999999999</v>
      </c>
      <c r="H1429" s="11">
        <v>1</v>
      </c>
    </row>
    <row r="1430" spans="6:8" x14ac:dyDescent="0.3">
      <c r="F1430" s="11">
        <v>8.5924999999999994</v>
      </c>
      <c r="G1430" s="11">
        <v>54.723610999999998</v>
      </c>
      <c r="H1430" s="11">
        <v>1</v>
      </c>
    </row>
    <row r="1431" spans="6:8" x14ac:dyDescent="0.3">
      <c r="F1431" s="11">
        <v>8.5702780000000001</v>
      </c>
      <c r="G1431" s="11">
        <v>54.687221999999998</v>
      </c>
      <c r="H1431" s="11">
        <v>1</v>
      </c>
    </row>
    <row r="1432" spans="6:8" x14ac:dyDescent="0.3">
      <c r="F1432" s="11">
        <v>8.4936109999999996</v>
      </c>
      <c r="G1432" s="11">
        <v>54.685833000000002</v>
      </c>
      <c r="H1432" s="11">
        <v>1</v>
      </c>
    </row>
    <row r="1433" spans="6:8" x14ac:dyDescent="0.3">
      <c r="F1433" s="11">
        <v>8.4288889999999999</v>
      </c>
      <c r="G1433" s="11">
        <v>54.699722000000001</v>
      </c>
      <c r="H1433" s="11">
        <v>1</v>
      </c>
    </row>
    <row r="1434" spans="6:8" x14ac:dyDescent="0.3">
      <c r="H1434" s="11">
        <v>1</v>
      </c>
    </row>
    <row r="1435" spans="6:8" x14ac:dyDescent="0.3">
      <c r="F1435" s="11">
        <v>8.3508329999999997</v>
      </c>
      <c r="G1435" s="11">
        <v>54.673333</v>
      </c>
      <c r="H1435" s="11">
        <v>1</v>
      </c>
    </row>
    <row r="1436" spans="6:8" x14ac:dyDescent="0.3">
      <c r="F1436" s="11">
        <v>8.3813890000000004</v>
      </c>
      <c r="G1436" s="11">
        <v>54.640278000000002</v>
      </c>
      <c r="H1436" s="11">
        <v>1</v>
      </c>
    </row>
    <row r="1437" spans="6:8" x14ac:dyDescent="0.3">
      <c r="F1437" s="11">
        <v>8.3697219999999994</v>
      </c>
      <c r="G1437" s="11">
        <v>54.620277999999999</v>
      </c>
      <c r="H1437" s="11">
        <v>1</v>
      </c>
    </row>
    <row r="1438" spans="6:8" x14ac:dyDescent="0.3">
      <c r="F1438" s="11">
        <v>8.34</v>
      </c>
      <c r="G1438" s="11">
        <v>54.618056000000003</v>
      </c>
      <c r="H1438" s="11">
        <v>1</v>
      </c>
    </row>
    <row r="1439" spans="6:8" x14ac:dyDescent="0.3">
      <c r="F1439" s="11">
        <v>8.3080560000000006</v>
      </c>
      <c r="G1439" s="11">
        <v>54.650556000000002</v>
      </c>
      <c r="H1439" s="11">
        <v>1</v>
      </c>
    </row>
    <row r="1440" spans="6:8" x14ac:dyDescent="0.3">
      <c r="F1440" s="11">
        <v>8.3074999999999992</v>
      </c>
      <c r="G1440" s="11">
        <v>54.687221999999998</v>
      </c>
      <c r="H1440" s="11">
        <v>1</v>
      </c>
    </row>
    <row r="1441" spans="6:8" x14ac:dyDescent="0.3">
      <c r="F1441" s="11">
        <v>8.3538890000000006</v>
      </c>
      <c r="G1441" s="11">
        <v>54.711666999999998</v>
      </c>
      <c r="H1441" s="11">
        <v>1</v>
      </c>
    </row>
    <row r="1442" spans="6:8" x14ac:dyDescent="0.3">
      <c r="H1442" s="11">
        <v>1</v>
      </c>
    </row>
    <row r="1443" spans="6:8" x14ac:dyDescent="0.3">
      <c r="F1443" s="11">
        <v>8.7072219999999998</v>
      </c>
      <c r="G1443" s="11">
        <v>54.684443999999999</v>
      </c>
      <c r="H1443" s="11">
        <v>1</v>
      </c>
    </row>
    <row r="1444" spans="6:8" x14ac:dyDescent="0.3">
      <c r="H1444" s="11">
        <v>1</v>
      </c>
    </row>
    <row r="1445" spans="6:8" x14ac:dyDescent="0.3">
      <c r="F1445" s="11">
        <v>8.6127780000000005</v>
      </c>
      <c r="G1445" s="11">
        <v>54.634721999999996</v>
      </c>
      <c r="H1445" s="11">
        <v>1</v>
      </c>
    </row>
    <row r="1446" spans="6:8" x14ac:dyDescent="0.3">
      <c r="F1446" s="11">
        <v>8.552778</v>
      </c>
      <c r="G1446" s="11">
        <v>54.620832999999998</v>
      </c>
      <c r="H1446" s="11">
        <v>1</v>
      </c>
    </row>
    <row r="1447" spans="6:8" x14ac:dyDescent="0.3">
      <c r="F1447" s="11">
        <v>8.5747219999999995</v>
      </c>
      <c r="G1447" s="11">
        <v>54.640278000000002</v>
      </c>
      <c r="H1447" s="11">
        <v>1</v>
      </c>
    </row>
    <row r="1448" spans="6:8" x14ac:dyDescent="0.3">
      <c r="F1448" s="11">
        <v>8.6402780000000003</v>
      </c>
      <c r="G1448" s="11">
        <v>54.652500000000003</v>
      </c>
      <c r="H1448" s="11">
        <v>1</v>
      </c>
    </row>
    <row r="1449" spans="6:8" x14ac:dyDescent="0.3">
      <c r="H1449" s="11">
        <v>1</v>
      </c>
    </row>
    <row r="1450" spans="6:8" x14ac:dyDescent="0.3">
      <c r="F1450" s="11">
        <v>8.4436110000000006</v>
      </c>
      <c r="G1450" s="11">
        <v>54.574722000000001</v>
      </c>
      <c r="H1450" s="11">
        <v>1</v>
      </c>
    </row>
    <row r="1451" spans="6:8" x14ac:dyDescent="0.3">
      <c r="H1451" s="11">
        <v>1</v>
      </c>
    </row>
    <row r="1452" spans="6:8" x14ac:dyDescent="0.3">
      <c r="F1452" s="11">
        <v>8.5480560000000008</v>
      </c>
      <c r="G1452" s="11">
        <v>54.558332999999998</v>
      </c>
      <c r="H1452" s="11">
        <v>1</v>
      </c>
    </row>
    <row r="1453" spans="6:8" x14ac:dyDescent="0.3">
      <c r="F1453" s="11">
        <v>8.5163890000000002</v>
      </c>
      <c r="G1453" s="11">
        <v>54.581667000000003</v>
      </c>
      <c r="H1453" s="11">
        <v>1</v>
      </c>
    </row>
    <row r="1454" spans="6:8" x14ac:dyDescent="0.3">
      <c r="H1454" s="11">
        <v>1</v>
      </c>
    </row>
    <row r="1455" spans="6:8" x14ac:dyDescent="0.3">
      <c r="F1455" s="11">
        <v>8.4733330000000002</v>
      </c>
      <c r="G1455" s="11">
        <v>54.497500000000002</v>
      </c>
      <c r="H1455" s="11">
        <v>1</v>
      </c>
    </row>
    <row r="1456" spans="6:8" x14ac:dyDescent="0.3">
      <c r="F1456" s="11">
        <v>8.4544440000000005</v>
      </c>
      <c r="G1456" s="11">
        <v>54.535277999999998</v>
      </c>
      <c r="H1456" s="11">
        <v>1</v>
      </c>
    </row>
    <row r="1457" spans="6:8" x14ac:dyDescent="0.3">
      <c r="H1457" s="11">
        <v>1</v>
      </c>
    </row>
    <row r="1458" spans="6:8" x14ac:dyDescent="0.3">
      <c r="F1458" s="11">
        <v>8.7419440000000002</v>
      </c>
      <c r="G1458" s="11">
        <v>54.640555999999997</v>
      </c>
      <c r="H1458" s="11">
        <v>1</v>
      </c>
    </row>
    <row r="1459" spans="6:8" x14ac:dyDescent="0.3">
      <c r="H1459" s="11">
        <v>1</v>
      </c>
    </row>
    <row r="1460" spans="6:8" x14ac:dyDescent="0.3">
      <c r="F1460" s="11">
        <v>8.6919439999999994</v>
      </c>
      <c r="G1460" s="11">
        <v>54.511389000000001</v>
      </c>
      <c r="H1460" s="11">
        <v>1</v>
      </c>
    </row>
    <row r="1461" spans="6:8" x14ac:dyDescent="0.3">
      <c r="F1461" s="11">
        <v>8.6383329999999994</v>
      </c>
      <c r="G1461" s="11">
        <v>54.491667</v>
      </c>
      <c r="H1461" s="11">
        <v>1</v>
      </c>
    </row>
    <row r="1462" spans="6:8" x14ac:dyDescent="0.3">
      <c r="F1462" s="11">
        <v>8.5919439999999998</v>
      </c>
      <c r="G1462" s="11">
        <v>54.515555999999997</v>
      </c>
      <c r="H1462" s="11">
        <v>1</v>
      </c>
    </row>
    <row r="1463" spans="6:8" x14ac:dyDescent="0.3">
      <c r="F1463" s="11">
        <v>8.6336110000000001</v>
      </c>
      <c r="G1463" s="11">
        <v>54.540556000000002</v>
      </c>
      <c r="H1463" s="11">
        <v>1</v>
      </c>
    </row>
    <row r="1464" spans="6:8" x14ac:dyDescent="0.3">
      <c r="F1464" s="11">
        <v>8.6969440000000002</v>
      </c>
      <c r="G1464" s="11">
        <v>54.554167</v>
      </c>
      <c r="H1464" s="11">
        <v>1</v>
      </c>
    </row>
    <row r="1465" spans="6:8" x14ac:dyDescent="0.3">
      <c r="H1465" s="11">
        <v>1</v>
      </c>
    </row>
    <row r="1466" spans="6:8" x14ac:dyDescent="0.3">
      <c r="F1466" s="11">
        <v>8.4791670000000003</v>
      </c>
      <c r="G1466" s="11">
        <v>54.425556</v>
      </c>
      <c r="H1466" s="11">
        <v>1</v>
      </c>
    </row>
    <row r="1467" spans="6:8" x14ac:dyDescent="0.3">
      <c r="F1467" s="11">
        <v>8.4408329999999996</v>
      </c>
      <c r="G1467" s="11">
        <v>54.453611000000002</v>
      </c>
      <c r="H1467" s="11">
        <v>1</v>
      </c>
    </row>
    <row r="1468" spans="6:8" x14ac:dyDescent="0.3">
      <c r="F1468" s="11">
        <v>8.4883330000000008</v>
      </c>
      <c r="G1468" s="11">
        <v>54.451943999999997</v>
      </c>
      <c r="H1468" s="11">
        <v>1</v>
      </c>
    </row>
    <row r="1469" spans="6:8" x14ac:dyDescent="0.3">
      <c r="H1469" s="11">
        <v>1</v>
      </c>
    </row>
    <row r="1470" spans="6:8" x14ac:dyDescent="0.3">
      <c r="F1470" s="11">
        <v>8.8297220000000003</v>
      </c>
      <c r="G1470" s="11">
        <v>54.544443999999999</v>
      </c>
      <c r="H1470" s="11">
        <v>1</v>
      </c>
    </row>
    <row r="1471" spans="6:8" x14ac:dyDescent="0.3">
      <c r="H1471" s="11">
        <v>1</v>
      </c>
    </row>
    <row r="1472" spans="6:8" x14ac:dyDescent="0.3">
      <c r="F1472" s="11">
        <v>8.5969440000000006</v>
      </c>
      <c r="G1472" s="11">
        <v>54.304721999999998</v>
      </c>
      <c r="H1472" s="11">
        <v>1</v>
      </c>
    </row>
    <row r="1473" spans="6:8" x14ac:dyDescent="0.3">
      <c r="F1473" s="11">
        <v>8.5869440000000008</v>
      </c>
      <c r="G1473" s="11">
        <v>54.305833</v>
      </c>
      <c r="H1473" s="11">
        <v>1</v>
      </c>
    </row>
    <row r="1474" spans="6:8" x14ac:dyDescent="0.3">
      <c r="F1474" s="11">
        <v>8.5952780000000004</v>
      </c>
      <c r="G1474" s="11">
        <v>54.348056</v>
      </c>
      <c r="H1474" s="11">
        <v>1</v>
      </c>
    </row>
    <row r="1475" spans="6:8" x14ac:dyDescent="0.3">
      <c r="H1475" s="11">
        <v>1</v>
      </c>
    </row>
    <row r="1476" spans="6:8" x14ac:dyDescent="0.3">
      <c r="F1476" s="11">
        <v>8.6875</v>
      </c>
      <c r="G1476" s="11">
        <v>54.075277999999997</v>
      </c>
      <c r="H1476" s="11">
        <v>1</v>
      </c>
    </row>
    <row r="1477" spans="6:8" x14ac:dyDescent="0.3">
      <c r="F1477" s="11">
        <v>8.6955559999999998</v>
      </c>
      <c r="G1477" s="11">
        <v>54.041111000000001</v>
      </c>
      <c r="H1477" s="11">
        <v>1</v>
      </c>
    </row>
    <row r="1478" spans="6:8" x14ac:dyDescent="0.3">
      <c r="H1478" s="11">
        <v>1</v>
      </c>
    </row>
    <row r="1479" spans="6:8" x14ac:dyDescent="0.3">
      <c r="F1479" s="11">
        <v>8.4355560000000001</v>
      </c>
      <c r="G1479" s="11">
        <v>53.939444000000002</v>
      </c>
      <c r="H1479" s="11">
        <v>1</v>
      </c>
    </row>
    <row r="1480" spans="6:8" x14ac:dyDescent="0.3">
      <c r="F1480" s="11">
        <v>8.4124999999999996</v>
      </c>
      <c r="G1480" s="11">
        <v>53.944167</v>
      </c>
      <c r="H1480" s="11">
        <v>1</v>
      </c>
    </row>
    <row r="1481" spans="6:8" x14ac:dyDescent="0.3">
      <c r="F1481" s="11">
        <v>8.4508329999999994</v>
      </c>
      <c r="G1481" s="11">
        <v>53.964167000000003</v>
      </c>
      <c r="H1481" s="11">
        <v>1</v>
      </c>
    </row>
    <row r="1482" spans="6:8" x14ac:dyDescent="0.3">
      <c r="H1482" s="11">
        <v>1</v>
      </c>
    </row>
    <row r="1483" spans="6:8" x14ac:dyDescent="0.3">
      <c r="F1483" s="11">
        <v>8.5050000000000008</v>
      </c>
      <c r="G1483" s="11">
        <v>53.926943999999999</v>
      </c>
      <c r="H1483" s="11">
        <v>1</v>
      </c>
    </row>
    <row r="1484" spans="6:8" x14ac:dyDescent="0.3">
      <c r="H1484" s="11">
        <v>1</v>
      </c>
    </row>
    <row r="1485" spans="6:8" x14ac:dyDescent="0.3">
      <c r="F1485" s="11">
        <v>8.1338889999999999</v>
      </c>
      <c r="G1485" s="11">
        <v>53.714722000000002</v>
      </c>
      <c r="H1485" s="11">
        <v>1</v>
      </c>
    </row>
    <row r="1486" spans="6:8" x14ac:dyDescent="0.3">
      <c r="F1486" s="11">
        <v>8.1388890000000007</v>
      </c>
      <c r="G1486" s="11">
        <v>53.732500000000002</v>
      </c>
      <c r="H1486" s="11">
        <v>1</v>
      </c>
    </row>
    <row r="1487" spans="6:8" x14ac:dyDescent="0.3">
      <c r="F1487" s="11">
        <v>8.1852780000000003</v>
      </c>
      <c r="G1487" s="11">
        <v>53.725000000000001</v>
      </c>
      <c r="H1487" s="11">
        <v>1</v>
      </c>
    </row>
    <row r="1488" spans="6:8" x14ac:dyDescent="0.3">
      <c r="H1488" s="11">
        <v>1</v>
      </c>
    </row>
    <row r="1489" spans="6:8" x14ac:dyDescent="0.3">
      <c r="F1489" s="11">
        <v>7.87</v>
      </c>
      <c r="G1489" s="11">
        <v>53.781666999999999</v>
      </c>
      <c r="H1489" s="11">
        <v>1</v>
      </c>
    </row>
    <row r="1490" spans="6:8" x14ac:dyDescent="0.3">
      <c r="F1490" s="11">
        <v>7.8661110000000001</v>
      </c>
      <c r="G1490" s="11">
        <v>53.792499999999997</v>
      </c>
      <c r="H1490" s="11">
        <v>1</v>
      </c>
    </row>
    <row r="1491" spans="6:8" x14ac:dyDescent="0.3">
      <c r="F1491" s="11">
        <v>7.9388889999999996</v>
      </c>
      <c r="G1491" s="11">
        <v>53.785556</v>
      </c>
      <c r="H1491" s="11">
        <v>1</v>
      </c>
    </row>
    <row r="1492" spans="6:8" x14ac:dyDescent="0.3">
      <c r="F1492" s="11">
        <v>7.9424999999999999</v>
      </c>
      <c r="G1492" s="11">
        <v>53.779443999999998</v>
      </c>
      <c r="H1492" s="11">
        <v>1</v>
      </c>
    </row>
    <row r="1493" spans="6:8" x14ac:dyDescent="0.3">
      <c r="H1493" s="11">
        <v>1</v>
      </c>
    </row>
    <row r="1494" spans="6:8" x14ac:dyDescent="0.3">
      <c r="F1494" s="11">
        <v>7.7374999999999998</v>
      </c>
      <c r="G1494" s="11">
        <v>53.760832999999998</v>
      </c>
      <c r="H1494" s="11">
        <v>1</v>
      </c>
    </row>
    <row r="1495" spans="6:8" x14ac:dyDescent="0.3">
      <c r="F1495" s="11">
        <v>7.6697220000000002</v>
      </c>
      <c r="G1495" s="11">
        <v>53.754722000000001</v>
      </c>
      <c r="H1495" s="11">
        <v>1</v>
      </c>
    </row>
    <row r="1496" spans="6:8" x14ac:dyDescent="0.3">
      <c r="F1496" s="11">
        <v>7.7044439999999996</v>
      </c>
      <c r="G1496" s="11">
        <v>53.778888999999999</v>
      </c>
      <c r="H1496" s="11">
        <v>1</v>
      </c>
    </row>
    <row r="1497" spans="6:8" x14ac:dyDescent="0.3">
      <c r="F1497" s="11">
        <v>7.7883329999999997</v>
      </c>
      <c r="G1497" s="11">
        <v>53.777500000000003</v>
      </c>
      <c r="H1497" s="11">
        <v>1</v>
      </c>
    </row>
    <row r="1498" spans="6:8" x14ac:dyDescent="0.3">
      <c r="H1498" s="11">
        <v>1</v>
      </c>
    </row>
    <row r="1499" spans="6:8" x14ac:dyDescent="0.3">
      <c r="F1499" s="11">
        <v>7.549722</v>
      </c>
      <c r="G1499" s="11">
        <v>53.747222000000001</v>
      </c>
      <c r="H1499" s="11">
        <v>1</v>
      </c>
    </row>
    <row r="1500" spans="6:8" x14ac:dyDescent="0.3">
      <c r="F1500" s="11">
        <v>7.5086110000000001</v>
      </c>
      <c r="G1500" s="11">
        <v>53.727778000000001</v>
      </c>
      <c r="H1500" s="11">
        <v>1</v>
      </c>
    </row>
    <row r="1501" spans="6:8" x14ac:dyDescent="0.3">
      <c r="F1501" s="11">
        <v>7.4686110000000001</v>
      </c>
      <c r="G1501" s="11">
        <v>53.74</v>
      </c>
      <c r="H1501" s="11">
        <v>1</v>
      </c>
    </row>
    <row r="1502" spans="6:8" x14ac:dyDescent="0.3">
      <c r="F1502" s="11">
        <v>7.5213890000000001</v>
      </c>
      <c r="G1502" s="11">
        <v>53.759721999999996</v>
      </c>
      <c r="H1502" s="11">
        <v>1</v>
      </c>
    </row>
    <row r="1503" spans="6:8" x14ac:dyDescent="0.3">
      <c r="F1503" s="11">
        <v>7.6038889999999997</v>
      </c>
      <c r="G1503" s="11">
        <v>53.760832999999998</v>
      </c>
      <c r="H1503" s="11">
        <v>1</v>
      </c>
    </row>
    <row r="1504" spans="6:8" x14ac:dyDescent="0.3">
      <c r="H1504" s="11">
        <v>1</v>
      </c>
    </row>
    <row r="1505" spans="6:8" x14ac:dyDescent="0.3">
      <c r="F1505" s="11">
        <v>7.3777780000000002</v>
      </c>
      <c r="G1505" s="11">
        <v>53.731110999999999</v>
      </c>
      <c r="H1505" s="11">
        <v>1</v>
      </c>
    </row>
    <row r="1506" spans="6:8" x14ac:dyDescent="0.3">
      <c r="F1506" s="11">
        <v>7.4280559999999998</v>
      </c>
      <c r="G1506" s="11">
        <v>53.720556000000002</v>
      </c>
      <c r="H1506" s="11">
        <v>1</v>
      </c>
    </row>
    <row r="1507" spans="6:8" x14ac:dyDescent="0.3">
      <c r="H1507" s="11">
        <v>1</v>
      </c>
    </row>
    <row r="1508" spans="6:8" x14ac:dyDescent="0.3">
      <c r="F1508" s="11">
        <v>7.2755559999999999</v>
      </c>
      <c r="G1508" s="11">
        <v>53.708333000000003</v>
      </c>
      <c r="H1508" s="11">
        <v>1</v>
      </c>
    </row>
    <row r="1509" spans="6:8" x14ac:dyDescent="0.3">
      <c r="F1509" s="11">
        <v>7.2019440000000001</v>
      </c>
      <c r="G1509" s="11">
        <v>53.703888999999997</v>
      </c>
      <c r="H1509" s="11">
        <v>1</v>
      </c>
    </row>
    <row r="1510" spans="6:8" x14ac:dyDescent="0.3">
      <c r="F1510" s="11">
        <v>7.1408329999999998</v>
      </c>
      <c r="G1510" s="11">
        <v>53.702221999999999</v>
      </c>
      <c r="H1510" s="11">
        <v>1</v>
      </c>
    </row>
    <row r="1511" spans="6:8" x14ac:dyDescent="0.3">
      <c r="F1511" s="11">
        <v>7.183611</v>
      </c>
      <c r="G1511" s="11">
        <v>53.721944000000001</v>
      </c>
      <c r="H1511" s="11">
        <v>1</v>
      </c>
    </row>
    <row r="1512" spans="6:8" x14ac:dyDescent="0.3">
      <c r="F1512" s="11">
        <v>7.2613890000000003</v>
      </c>
      <c r="G1512" s="11">
        <v>53.725555999999997</v>
      </c>
      <c r="H1512" s="11">
        <v>1</v>
      </c>
    </row>
    <row r="1513" spans="6:8" x14ac:dyDescent="0.3">
      <c r="F1513" s="11">
        <v>7.3408329999999999</v>
      </c>
      <c r="G1513" s="11">
        <v>53.724443999999998</v>
      </c>
      <c r="H1513" s="11">
        <v>1</v>
      </c>
    </row>
    <row r="1514" spans="6:8" x14ac:dyDescent="0.3">
      <c r="H1514" s="11">
        <v>1</v>
      </c>
    </row>
    <row r="1515" spans="6:8" x14ac:dyDescent="0.3">
      <c r="F1515" s="11">
        <v>7.0111109999999996</v>
      </c>
      <c r="G1515" s="11">
        <v>53.677778000000004</v>
      </c>
      <c r="H1515" s="11">
        <v>1</v>
      </c>
    </row>
    <row r="1516" spans="6:8" x14ac:dyDescent="0.3">
      <c r="F1516" s="11">
        <v>6.9394439999999999</v>
      </c>
      <c r="G1516" s="11">
        <v>53.669443999999999</v>
      </c>
      <c r="H1516" s="11">
        <v>1</v>
      </c>
    </row>
    <row r="1517" spans="6:8" x14ac:dyDescent="0.3">
      <c r="F1517" s="11">
        <v>6.8813890000000004</v>
      </c>
      <c r="G1517" s="11">
        <v>53.674166999999997</v>
      </c>
      <c r="H1517" s="11">
        <v>1</v>
      </c>
    </row>
    <row r="1518" spans="6:8" x14ac:dyDescent="0.3">
      <c r="F1518" s="11">
        <v>6.9544439999999996</v>
      </c>
      <c r="G1518" s="11">
        <v>53.681389000000003</v>
      </c>
      <c r="H1518" s="11">
        <v>1</v>
      </c>
    </row>
    <row r="1519" spans="6:8" x14ac:dyDescent="0.3">
      <c r="F1519" s="11">
        <v>7.0327780000000004</v>
      </c>
      <c r="G1519" s="11">
        <v>53.685277999999997</v>
      </c>
      <c r="H1519" s="11">
        <v>1</v>
      </c>
    </row>
    <row r="1520" spans="6:8" x14ac:dyDescent="0.3">
      <c r="H1520" s="11">
        <v>1</v>
      </c>
    </row>
    <row r="1521" spans="6:8" x14ac:dyDescent="0.3">
      <c r="F1521" s="11">
        <v>6.8724999999999996</v>
      </c>
      <c r="G1521" s="11">
        <v>53.629443999999999</v>
      </c>
      <c r="H1521" s="11">
        <v>1</v>
      </c>
    </row>
    <row r="1522" spans="6:8" x14ac:dyDescent="0.3">
      <c r="F1522" s="11">
        <v>6.898333</v>
      </c>
      <c r="G1522" s="11">
        <v>53.651944</v>
      </c>
      <c r="H1522" s="11">
        <v>1</v>
      </c>
    </row>
    <row r="1523" spans="6:8" x14ac:dyDescent="0.3">
      <c r="H1523" s="11">
        <v>1</v>
      </c>
    </row>
    <row r="1524" spans="6:8" x14ac:dyDescent="0.3">
      <c r="F1524" s="11">
        <v>6.737222</v>
      </c>
      <c r="G1524" s="11">
        <v>53.590555999999999</v>
      </c>
      <c r="H1524" s="11">
        <v>1</v>
      </c>
    </row>
    <row r="1525" spans="6:8" x14ac:dyDescent="0.3">
      <c r="F1525" s="11">
        <v>6.7569439999999998</v>
      </c>
      <c r="G1525" s="11">
        <v>53.567500000000003</v>
      </c>
      <c r="H1525" s="11">
        <v>1</v>
      </c>
    </row>
    <row r="1526" spans="6:8" x14ac:dyDescent="0.3">
      <c r="F1526" s="11">
        <v>6.7022219999999999</v>
      </c>
      <c r="G1526" s="11">
        <v>53.570833</v>
      </c>
      <c r="H1526" s="11">
        <v>1</v>
      </c>
    </row>
    <row r="1527" spans="6:8" x14ac:dyDescent="0.3">
      <c r="F1527" s="11">
        <v>6.6586109999999996</v>
      </c>
      <c r="G1527" s="11">
        <v>53.589722000000002</v>
      </c>
      <c r="H1527" s="11">
        <v>1</v>
      </c>
    </row>
    <row r="1528" spans="6:8" x14ac:dyDescent="0.3">
      <c r="F1528" s="11">
        <v>6.7119439999999999</v>
      </c>
      <c r="G1528" s="11">
        <v>53.609166999999999</v>
      </c>
      <c r="H1528" s="11">
        <v>1</v>
      </c>
    </row>
    <row r="1529" spans="6:8" x14ac:dyDescent="0.3">
      <c r="F1529" s="11">
        <v>6.7758330000000004</v>
      </c>
      <c r="G1529" s="11">
        <v>53.615000000000002</v>
      </c>
      <c r="H1529" s="11">
        <v>1</v>
      </c>
    </row>
    <row r="1530" spans="6:8" x14ac:dyDescent="0.3">
      <c r="H1530" s="11">
        <v>1</v>
      </c>
    </row>
    <row r="1531" spans="6:8" x14ac:dyDescent="0.3">
      <c r="F1531" s="11">
        <v>6.5708330000000004</v>
      </c>
      <c r="G1531" s="11">
        <v>53.546666999999999</v>
      </c>
      <c r="H1531" s="11">
        <v>1</v>
      </c>
    </row>
    <row r="1532" spans="6:8" x14ac:dyDescent="0.3">
      <c r="H1532" s="11">
        <v>1</v>
      </c>
    </row>
    <row r="1533" spans="6:8" x14ac:dyDescent="0.3">
      <c r="F1533" s="11">
        <v>6.4391670000000003</v>
      </c>
      <c r="G1533" s="11">
        <v>53.545555999999998</v>
      </c>
      <c r="H1533" s="11">
        <v>1</v>
      </c>
    </row>
    <row r="1534" spans="6:8" x14ac:dyDescent="0.3">
      <c r="F1534" s="11">
        <v>6.4963889999999997</v>
      </c>
      <c r="G1534" s="11">
        <v>53.542499999999997</v>
      </c>
      <c r="H1534" s="11">
        <v>1</v>
      </c>
    </row>
    <row r="1535" spans="6:8" x14ac:dyDescent="0.3">
      <c r="H1535" s="11">
        <v>1</v>
      </c>
    </row>
    <row r="1536" spans="6:8" x14ac:dyDescent="0.3">
      <c r="F1536" s="11">
        <v>6.2725</v>
      </c>
      <c r="G1536" s="11">
        <v>53.484444000000003</v>
      </c>
      <c r="H1536" s="11">
        <v>1</v>
      </c>
    </row>
    <row r="1537" spans="6:8" x14ac:dyDescent="0.3">
      <c r="F1537" s="11">
        <v>6.204167</v>
      </c>
      <c r="G1537" s="11">
        <v>53.474167000000001</v>
      </c>
      <c r="H1537" s="11">
        <v>1</v>
      </c>
    </row>
    <row r="1538" spans="6:8" x14ac:dyDescent="0.3">
      <c r="F1538" s="11">
        <v>6.1433330000000002</v>
      </c>
      <c r="G1538" s="11">
        <v>53.459167000000001</v>
      </c>
      <c r="H1538" s="11">
        <v>1</v>
      </c>
    </row>
    <row r="1539" spans="6:8" x14ac:dyDescent="0.3">
      <c r="F1539" s="11">
        <v>6.1172219999999999</v>
      </c>
      <c r="G1539" s="11">
        <v>53.475000000000001</v>
      </c>
      <c r="H1539" s="11">
        <v>1</v>
      </c>
    </row>
    <row r="1540" spans="6:8" x14ac:dyDescent="0.3">
      <c r="F1540" s="11">
        <v>6.1633329999999997</v>
      </c>
      <c r="G1540" s="11">
        <v>53.499443999999997</v>
      </c>
      <c r="H1540" s="11">
        <v>1</v>
      </c>
    </row>
    <row r="1541" spans="6:8" x14ac:dyDescent="0.3">
      <c r="F1541" s="11">
        <v>6.2394439999999998</v>
      </c>
      <c r="G1541" s="11">
        <v>53.504722000000001</v>
      </c>
      <c r="H1541" s="11">
        <v>1</v>
      </c>
    </row>
    <row r="1542" spans="6:8" x14ac:dyDescent="0.3">
      <c r="F1542" s="11">
        <v>6.3147219999999997</v>
      </c>
      <c r="G1542" s="11">
        <v>53.511111</v>
      </c>
      <c r="H1542" s="11">
        <v>1</v>
      </c>
    </row>
    <row r="1543" spans="6:8" x14ac:dyDescent="0.3">
      <c r="H1543" s="11">
        <v>1</v>
      </c>
    </row>
    <row r="1544" spans="6:8" x14ac:dyDescent="0.3">
      <c r="F1544" s="11">
        <v>6.0625</v>
      </c>
      <c r="G1544" s="11">
        <v>53.458055999999999</v>
      </c>
      <c r="H1544" s="11">
        <v>1</v>
      </c>
    </row>
    <row r="1545" spans="6:8" x14ac:dyDescent="0.3">
      <c r="H1545" s="11">
        <v>1</v>
      </c>
    </row>
    <row r="1546" spans="6:8" x14ac:dyDescent="0.3">
      <c r="F1546" s="11">
        <v>8.9250000000000007</v>
      </c>
      <c r="G1546" s="11">
        <v>54.474167000000001</v>
      </c>
      <c r="H1546" s="11">
        <v>1</v>
      </c>
    </row>
    <row r="1547" spans="6:8" x14ac:dyDescent="0.3">
      <c r="F1547" s="11">
        <v>8.8594439999999999</v>
      </c>
      <c r="G1547" s="11">
        <v>54.461944000000003</v>
      </c>
      <c r="H1547" s="11">
        <v>1</v>
      </c>
    </row>
    <row r="1548" spans="6:8" x14ac:dyDescent="0.3">
      <c r="F1548" s="11">
        <v>8.8227779999999996</v>
      </c>
      <c r="G1548" s="11">
        <v>54.481389</v>
      </c>
      <c r="H1548" s="11">
        <v>1</v>
      </c>
    </row>
    <row r="1549" spans="6:8" x14ac:dyDescent="0.3">
      <c r="F1549" s="11">
        <v>8.8397220000000001</v>
      </c>
      <c r="G1549" s="11">
        <v>54.510278</v>
      </c>
      <c r="H1549" s="11">
        <v>1</v>
      </c>
    </row>
    <row r="1550" spans="6:8" x14ac:dyDescent="0.3">
      <c r="F1550" s="11">
        <v>8.8952779999999994</v>
      </c>
      <c r="G1550" s="11">
        <v>54.523888999999997</v>
      </c>
      <c r="H1550" s="11">
        <v>1</v>
      </c>
    </row>
    <row r="1551" spans="6:8" x14ac:dyDescent="0.3">
      <c r="F1551" s="11">
        <v>8.9563889999999997</v>
      </c>
      <c r="G1551" s="11">
        <v>54.515278000000002</v>
      </c>
      <c r="H1551" s="11">
        <v>1</v>
      </c>
    </row>
    <row r="1552" spans="6:8" x14ac:dyDescent="0.3">
      <c r="H1552" s="11">
        <v>1</v>
      </c>
    </row>
    <row r="1553" spans="6:8" x14ac:dyDescent="0.3">
      <c r="F1553" s="11">
        <v>-2.2847219999999999</v>
      </c>
      <c r="G1553" s="11">
        <v>47.020555999999999</v>
      </c>
      <c r="H1553" s="11">
        <v>1</v>
      </c>
    </row>
    <row r="1554" spans="6:8" x14ac:dyDescent="0.3">
      <c r="F1554" s="11">
        <v>-2.2327780000000002</v>
      </c>
      <c r="G1554" s="11">
        <v>47.030555999999997</v>
      </c>
      <c r="H1554" s="11">
        <v>1</v>
      </c>
    </row>
    <row r="1555" spans="6:8" x14ac:dyDescent="0.3">
      <c r="H1555" s="11">
        <v>1</v>
      </c>
    </row>
    <row r="1556" spans="6:8" x14ac:dyDescent="0.3">
      <c r="F1556" s="11">
        <v>-1.8638889999999999</v>
      </c>
      <c r="G1556" s="11">
        <v>47.252499999999998</v>
      </c>
      <c r="H1556" s="11">
        <v>1</v>
      </c>
    </row>
    <row r="1557" spans="6:8" x14ac:dyDescent="0.3">
      <c r="H1557" s="11">
        <v>1</v>
      </c>
    </row>
    <row r="1558" spans="6:8" x14ac:dyDescent="0.3">
      <c r="F1558" s="11">
        <v>-2.9727779999999999</v>
      </c>
      <c r="G1558" s="11">
        <v>47.391111000000002</v>
      </c>
      <c r="H1558" s="11">
        <v>1</v>
      </c>
    </row>
    <row r="1559" spans="6:8" x14ac:dyDescent="0.3">
      <c r="H1559" s="11">
        <v>1</v>
      </c>
    </row>
    <row r="1560" spans="6:8" x14ac:dyDescent="0.3">
      <c r="F1560" s="11">
        <v>-3.1672220000000002</v>
      </c>
      <c r="G1560" s="11">
        <v>47.367778000000001</v>
      </c>
      <c r="H1560" s="11">
        <v>1</v>
      </c>
    </row>
    <row r="1561" spans="6:8" x14ac:dyDescent="0.3">
      <c r="F1561" s="11">
        <v>-3.119167</v>
      </c>
      <c r="G1561" s="11">
        <v>47.331944</v>
      </c>
      <c r="H1561" s="11">
        <v>1</v>
      </c>
    </row>
    <row r="1562" spans="6:8" x14ac:dyDescent="0.3">
      <c r="F1562" s="11">
        <v>-3.0666669999999998</v>
      </c>
      <c r="G1562" s="11">
        <v>47.306666999999997</v>
      </c>
      <c r="H1562" s="11">
        <v>1</v>
      </c>
    </row>
    <row r="1563" spans="6:8" x14ac:dyDescent="0.3">
      <c r="F1563" s="11">
        <v>-3.1238890000000001</v>
      </c>
      <c r="G1563" s="11">
        <v>47.297221999999998</v>
      </c>
      <c r="H1563" s="11">
        <v>1</v>
      </c>
    </row>
    <row r="1564" spans="6:8" x14ac:dyDescent="0.3">
      <c r="F1564" s="11">
        <v>-3.1944439999999998</v>
      </c>
      <c r="G1564" s="11">
        <v>47.301943999999999</v>
      </c>
      <c r="H1564" s="11">
        <v>1</v>
      </c>
    </row>
    <row r="1565" spans="6:8" x14ac:dyDescent="0.3">
      <c r="F1565" s="11">
        <v>-3.237778</v>
      </c>
      <c r="G1565" s="11">
        <v>47.332777999999998</v>
      </c>
      <c r="H1565" s="11">
        <v>1</v>
      </c>
    </row>
    <row r="1566" spans="6:8" x14ac:dyDescent="0.3">
      <c r="F1566" s="11">
        <v>-3.253889</v>
      </c>
      <c r="G1566" s="11">
        <v>47.374721999999998</v>
      </c>
      <c r="H1566" s="11">
        <v>1</v>
      </c>
    </row>
    <row r="1567" spans="6:8" x14ac:dyDescent="0.3">
      <c r="H1567" s="11">
        <v>1</v>
      </c>
    </row>
    <row r="1568" spans="6:8" x14ac:dyDescent="0.3">
      <c r="F1568" s="11">
        <v>-2.8497219999999999</v>
      </c>
      <c r="G1568" s="11">
        <v>47.57</v>
      </c>
      <c r="H1568" s="11">
        <v>1</v>
      </c>
    </row>
    <row r="1569" spans="6:8" x14ac:dyDescent="0.3">
      <c r="F1569" s="11">
        <v>-2.835833</v>
      </c>
      <c r="G1569" s="11">
        <v>47.603056000000002</v>
      </c>
      <c r="H1569" s="11">
        <v>1</v>
      </c>
    </row>
    <row r="1570" spans="6:8" x14ac:dyDescent="0.3">
      <c r="H1570" s="11">
        <v>1</v>
      </c>
    </row>
    <row r="1571" spans="6:8" x14ac:dyDescent="0.3">
      <c r="F1571" s="11">
        <v>-2.802778</v>
      </c>
      <c r="G1571" s="11">
        <v>47.590555999999999</v>
      </c>
      <c r="H1571" s="11">
        <v>1</v>
      </c>
    </row>
    <row r="1572" spans="6:8" x14ac:dyDescent="0.3">
      <c r="H1572" s="11">
        <v>1</v>
      </c>
    </row>
    <row r="1573" spans="6:8" x14ac:dyDescent="0.3">
      <c r="F1573" s="11">
        <v>-3.138611</v>
      </c>
      <c r="G1573" s="11">
        <v>47.714444</v>
      </c>
      <c r="H1573" s="11">
        <v>1</v>
      </c>
    </row>
    <row r="1574" spans="6:8" x14ac:dyDescent="0.3">
      <c r="H1574" s="11">
        <v>1</v>
      </c>
    </row>
    <row r="1575" spans="6:8" x14ac:dyDescent="0.3">
      <c r="F1575" s="11">
        <v>-3.4224999999999999</v>
      </c>
      <c r="G1575" s="11">
        <v>47.638610999999997</v>
      </c>
      <c r="H1575" s="11">
        <v>1</v>
      </c>
    </row>
    <row r="1576" spans="6:8" x14ac:dyDescent="0.3">
      <c r="F1576" s="11">
        <v>-3.48</v>
      </c>
      <c r="G1576" s="11">
        <v>47.630833000000003</v>
      </c>
      <c r="H1576" s="11">
        <v>1</v>
      </c>
    </row>
    <row r="1577" spans="6:8" x14ac:dyDescent="0.3">
      <c r="H1577" s="11">
        <v>1</v>
      </c>
    </row>
    <row r="1578" spans="6:8" x14ac:dyDescent="0.3">
      <c r="F1578" s="11">
        <v>-5.0719440000000002</v>
      </c>
      <c r="G1578" s="11">
        <v>48.454721999999997</v>
      </c>
      <c r="H1578" s="11">
        <v>1</v>
      </c>
    </row>
    <row r="1579" spans="6:8" x14ac:dyDescent="0.3">
      <c r="F1579" s="11">
        <v>-5.0961109999999996</v>
      </c>
      <c r="G1579" s="11">
        <v>48.459167000000001</v>
      </c>
      <c r="H1579" s="11">
        <v>1</v>
      </c>
    </row>
    <row r="1580" spans="6:8" x14ac:dyDescent="0.3">
      <c r="F1580" s="11">
        <v>-5.1077779999999997</v>
      </c>
      <c r="G1580" s="11">
        <v>48.471389000000002</v>
      </c>
      <c r="H1580" s="11">
        <v>1</v>
      </c>
    </row>
    <row r="1581" spans="6:8" x14ac:dyDescent="0.3">
      <c r="H1581" s="11">
        <v>1</v>
      </c>
    </row>
    <row r="1582" spans="6:8" x14ac:dyDescent="0.3">
      <c r="F1582" s="11">
        <v>-4.0294439999999998</v>
      </c>
      <c r="G1582" s="11">
        <v>48.746667000000002</v>
      </c>
      <c r="H1582" s="11">
        <v>1</v>
      </c>
    </row>
    <row r="1583" spans="6:8" x14ac:dyDescent="0.3">
      <c r="H1583" s="11">
        <v>1</v>
      </c>
    </row>
    <row r="1584" spans="6:8" x14ac:dyDescent="0.3">
      <c r="F1584" s="11">
        <v>-3.006389</v>
      </c>
      <c r="G1584" s="11">
        <v>48.854999999999997</v>
      </c>
      <c r="H1584" s="11">
        <v>1</v>
      </c>
    </row>
    <row r="1585" spans="6:8" x14ac:dyDescent="0.3">
      <c r="H1585" s="11">
        <v>1</v>
      </c>
    </row>
    <row r="1586" spans="6:8" x14ac:dyDescent="0.3">
      <c r="F1586" s="11">
        <v>-2.019444</v>
      </c>
      <c r="G1586" s="11">
        <v>49.234999999999999</v>
      </c>
      <c r="H1586" s="11">
        <v>1</v>
      </c>
    </row>
    <row r="1587" spans="6:8" x14ac:dyDescent="0.3">
      <c r="F1587" s="11">
        <v>-2.023333</v>
      </c>
      <c r="G1587" s="11">
        <v>49.184722000000001</v>
      </c>
      <c r="H1587" s="11">
        <v>1</v>
      </c>
    </row>
    <row r="1588" spans="6:8" x14ac:dyDescent="0.3">
      <c r="F1588" s="11">
        <v>-2.0755560000000002</v>
      </c>
      <c r="G1588" s="11">
        <v>49.171388999999998</v>
      </c>
      <c r="H1588" s="11">
        <v>1</v>
      </c>
    </row>
    <row r="1589" spans="6:8" x14ac:dyDescent="0.3">
      <c r="F1589" s="11">
        <v>-2.1394440000000001</v>
      </c>
      <c r="G1589" s="11">
        <v>49.199167000000003</v>
      </c>
      <c r="H1589" s="11">
        <v>1</v>
      </c>
    </row>
    <row r="1590" spans="6:8" x14ac:dyDescent="0.3">
      <c r="F1590" s="11">
        <v>-2.1813889999999998</v>
      </c>
      <c r="G1590" s="11">
        <v>49.18</v>
      </c>
      <c r="H1590" s="11">
        <v>1</v>
      </c>
    </row>
    <row r="1591" spans="6:8" x14ac:dyDescent="0.3">
      <c r="F1591" s="11">
        <v>-2.23</v>
      </c>
      <c r="G1591" s="11">
        <v>49.1875</v>
      </c>
      <c r="H1591" s="11">
        <v>1</v>
      </c>
    </row>
    <row r="1592" spans="6:8" x14ac:dyDescent="0.3">
      <c r="F1592" s="11">
        <v>-2.2394440000000002</v>
      </c>
      <c r="G1592" s="11">
        <v>49.236944000000001</v>
      </c>
      <c r="H1592" s="11">
        <v>1</v>
      </c>
    </row>
    <row r="1593" spans="6:8" x14ac:dyDescent="0.3">
      <c r="F1593" s="11">
        <v>-2.1974999999999998</v>
      </c>
      <c r="G1593" s="11">
        <v>49.251944000000002</v>
      </c>
      <c r="H1593" s="11">
        <v>1</v>
      </c>
    </row>
    <row r="1594" spans="6:8" x14ac:dyDescent="0.3">
      <c r="F1594" s="11">
        <v>-2.1208330000000002</v>
      </c>
      <c r="G1594" s="11">
        <v>49.254443999999999</v>
      </c>
      <c r="H1594" s="11">
        <v>1</v>
      </c>
    </row>
    <row r="1595" spans="6:8" x14ac:dyDescent="0.3">
      <c r="H1595" s="11">
        <v>1</v>
      </c>
    </row>
    <row r="1596" spans="6:8" x14ac:dyDescent="0.3">
      <c r="F1596" s="11">
        <v>-2.3694440000000001</v>
      </c>
      <c r="G1596" s="11">
        <v>49.420555999999998</v>
      </c>
      <c r="H1596" s="11">
        <v>1</v>
      </c>
    </row>
    <row r="1597" spans="6:8" x14ac:dyDescent="0.3">
      <c r="H1597" s="11">
        <v>1</v>
      </c>
    </row>
    <row r="1598" spans="6:8" x14ac:dyDescent="0.3">
      <c r="F1598" s="11">
        <v>-2.5288889999999999</v>
      </c>
      <c r="G1598" s="11">
        <v>49.456111</v>
      </c>
      <c r="H1598" s="11">
        <v>1</v>
      </c>
    </row>
    <row r="1599" spans="6:8" x14ac:dyDescent="0.3">
      <c r="F1599" s="11">
        <v>-2.561944</v>
      </c>
      <c r="G1599" s="11">
        <v>49.424166999999997</v>
      </c>
      <c r="H1599" s="11">
        <v>1</v>
      </c>
    </row>
    <row r="1600" spans="6:8" x14ac:dyDescent="0.3">
      <c r="F1600" s="11">
        <v>-2.6477780000000002</v>
      </c>
      <c r="G1600" s="11">
        <v>49.425556</v>
      </c>
      <c r="H1600" s="11">
        <v>1</v>
      </c>
    </row>
    <row r="1601" spans="6:8" x14ac:dyDescent="0.3">
      <c r="F1601" s="11">
        <v>-2.6522220000000001</v>
      </c>
      <c r="G1601" s="11">
        <v>49.458888999999999</v>
      </c>
      <c r="H1601" s="11">
        <v>1</v>
      </c>
    </row>
    <row r="1602" spans="6:8" x14ac:dyDescent="0.3">
      <c r="F1602" s="11">
        <v>-2.585833</v>
      </c>
      <c r="G1602" s="11">
        <v>49.481389</v>
      </c>
      <c r="H1602" s="11">
        <v>1</v>
      </c>
    </row>
    <row r="1603" spans="6:8" x14ac:dyDescent="0.3">
      <c r="F1603" s="11">
        <v>-2.5272220000000001</v>
      </c>
      <c r="G1603" s="11">
        <v>49.508611000000002</v>
      </c>
      <c r="H1603" s="11">
        <v>1</v>
      </c>
    </row>
    <row r="1604" spans="6:8" x14ac:dyDescent="0.3">
      <c r="H1604" s="11">
        <v>1</v>
      </c>
    </row>
    <row r="1605" spans="6:8" x14ac:dyDescent="0.3">
      <c r="F1605" s="11">
        <v>-2.2000000000000002</v>
      </c>
      <c r="G1605" s="11">
        <v>49.706389000000001</v>
      </c>
      <c r="H1605" s="11">
        <v>1</v>
      </c>
    </row>
    <row r="1606" spans="6:8" x14ac:dyDescent="0.3">
      <c r="F1606" s="11">
        <v>-2.197778</v>
      </c>
      <c r="G1606" s="11">
        <v>49.725555999999997</v>
      </c>
      <c r="H1606" s="11">
        <v>1</v>
      </c>
    </row>
    <row r="1607" spans="6:8" x14ac:dyDescent="0.3">
      <c r="H1607" s="11">
        <v>1</v>
      </c>
    </row>
    <row r="1608" spans="6:8" x14ac:dyDescent="0.3">
      <c r="F1608" s="11">
        <v>4.3380559999999999</v>
      </c>
      <c r="G1608" s="11">
        <v>51.733888999999998</v>
      </c>
      <c r="H1608" s="11">
        <v>1</v>
      </c>
    </row>
    <row r="1609" spans="6:8" x14ac:dyDescent="0.3">
      <c r="F1609" s="11">
        <v>4.2755559999999999</v>
      </c>
      <c r="G1609" s="11">
        <v>51.754722000000001</v>
      </c>
      <c r="H1609" s="11">
        <v>1</v>
      </c>
    </row>
    <row r="1610" spans="6:8" x14ac:dyDescent="0.3">
      <c r="H1610" s="11">
        <v>1</v>
      </c>
    </row>
    <row r="1611" spans="6:8" x14ac:dyDescent="0.3">
      <c r="F1611" s="11">
        <v>5.8624999999999998</v>
      </c>
      <c r="G1611" s="11">
        <v>52.519444</v>
      </c>
      <c r="H1611" s="11">
        <v>1</v>
      </c>
    </row>
    <row r="1612" spans="6:8" x14ac:dyDescent="0.3">
      <c r="F1612" s="11">
        <v>5.8311109999999999</v>
      </c>
      <c r="G1612" s="11">
        <v>52.463332999999999</v>
      </c>
      <c r="H1612" s="11">
        <v>1</v>
      </c>
    </row>
    <row r="1613" spans="6:8" x14ac:dyDescent="0.3">
      <c r="F1613" s="11">
        <v>5.7824999999999998</v>
      </c>
      <c r="G1613" s="11">
        <v>52.421944000000003</v>
      </c>
      <c r="H1613" s="11">
        <v>1</v>
      </c>
    </row>
    <row r="1614" spans="6:8" x14ac:dyDescent="0.3">
      <c r="F1614" s="11">
        <v>5.6994439999999997</v>
      </c>
      <c r="G1614" s="11">
        <v>52.409166999999997</v>
      </c>
      <c r="H1614" s="11">
        <v>1</v>
      </c>
    </row>
    <row r="1615" spans="6:8" x14ac:dyDescent="0.3">
      <c r="F1615" s="11">
        <v>5.6316670000000002</v>
      </c>
      <c r="G1615" s="11">
        <v>52.383611000000002</v>
      </c>
      <c r="H1615" s="11">
        <v>1</v>
      </c>
    </row>
    <row r="1616" spans="6:8" x14ac:dyDescent="0.3">
      <c r="F1616" s="11">
        <v>5.5613890000000001</v>
      </c>
      <c r="G1616" s="11">
        <v>52.361111000000001</v>
      </c>
      <c r="H1616" s="11">
        <v>1</v>
      </c>
    </row>
    <row r="1617" spans="6:8" x14ac:dyDescent="0.3">
      <c r="F1617" s="11">
        <v>5.5549999999999997</v>
      </c>
      <c r="G1617" s="11">
        <v>52.315277999999999</v>
      </c>
      <c r="H1617" s="11">
        <v>1</v>
      </c>
    </row>
    <row r="1618" spans="6:8" x14ac:dyDescent="0.3">
      <c r="F1618" s="11">
        <v>5.505833</v>
      </c>
      <c r="G1618" s="11">
        <v>52.276389000000002</v>
      </c>
      <c r="H1618" s="11">
        <v>1</v>
      </c>
    </row>
    <row r="1619" spans="6:8" x14ac:dyDescent="0.3">
      <c r="F1619" s="11">
        <v>5.4225000000000003</v>
      </c>
      <c r="G1619" s="11">
        <v>52.263888999999999</v>
      </c>
      <c r="H1619" s="11">
        <v>1</v>
      </c>
    </row>
    <row r="1620" spans="6:8" x14ac:dyDescent="0.3">
      <c r="F1620" s="11">
        <v>5.3577779999999997</v>
      </c>
      <c r="G1620" s="11">
        <v>52.294167000000002</v>
      </c>
      <c r="H1620" s="11">
        <v>1</v>
      </c>
    </row>
    <row r="1621" spans="6:8" x14ac:dyDescent="0.3">
      <c r="F1621" s="11">
        <v>5.289167</v>
      </c>
      <c r="G1621" s="11">
        <v>52.322499999999998</v>
      </c>
      <c r="H1621" s="11">
        <v>1</v>
      </c>
    </row>
    <row r="1622" spans="6:8" x14ac:dyDescent="0.3">
      <c r="F1622" s="11">
        <v>5.1988890000000003</v>
      </c>
      <c r="G1622" s="11">
        <v>52.339722000000002</v>
      </c>
      <c r="H1622" s="11">
        <v>1</v>
      </c>
    </row>
    <row r="1623" spans="6:8" x14ac:dyDescent="0.3">
      <c r="F1623" s="11">
        <v>5.141667</v>
      </c>
      <c r="G1623" s="11">
        <v>52.358888999999998</v>
      </c>
      <c r="H1623" s="11">
        <v>1</v>
      </c>
    </row>
    <row r="1624" spans="6:8" x14ac:dyDescent="0.3">
      <c r="F1624" s="11">
        <v>5.1722219999999997</v>
      </c>
      <c r="G1624" s="11">
        <v>52.396667000000001</v>
      </c>
      <c r="H1624" s="11">
        <v>1</v>
      </c>
    </row>
    <row r="1625" spans="6:8" x14ac:dyDescent="0.3">
      <c r="F1625" s="11">
        <v>5.2355559999999999</v>
      </c>
      <c r="G1625" s="11">
        <v>52.426110999999999</v>
      </c>
      <c r="H1625" s="11">
        <v>1</v>
      </c>
    </row>
    <row r="1626" spans="6:8" x14ac:dyDescent="0.3">
      <c r="F1626" s="11">
        <v>5.3013890000000004</v>
      </c>
      <c r="G1626" s="11">
        <v>52.453055999999997</v>
      </c>
      <c r="H1626" s="11">
        <v>1</v>
      </c>
    </row>
    <row r="1627" spans="6:8" x14ac:dyDescent="0.3">
      <c r="F1627" s="11">
        <v>5.369167</v>
      </c>
      <c r="G1627" s="11">
        <v>52.478611000000001</v>
      </c>
      <c r="H1627" s="11">
        <v>1</v>
      </c>
    </row>
    <row r="1628" spans="6:8" x14ac:dyDescent="0.3">
      <c r="F1628" s="11">
        <v>5.4383330000000001</v>
      </c>
      <c r="G1628" s="11">
        <v>52.503056000000001</v>
      </c>
      <c r="H1628" s="11">
        <v>1</v>
      </c>
    </row>
    <row r="1629" spans="6:8" x14ac:dyDescent="0.3">
      <c r="F1629" s="11">
        <v>5.4780559999999996</v>
      </c>
      <c r="G1629" s="11">
        <v>52.548889000000003</v>
      </c>
      <c r="H1629" s="11">
        <v>1</v>
      </c>
    </row>
    <row r="1630" spans="6:8" x14ac:dyDescent="0.3">
      <c r="F1630" s="11">
        <v>5.5452779999999997</v>
      </c>
      <c r="G1630" s="11">
        <v>52.573611</v>
      </c>
      <c r="H1630" s="11">
        <v>1</v>
      </c>
    </row>
    <row r="1631" spans="6:8" x14ac:dyDescent="0.3">
      <c r="F1631" s="11">
        <v>5.6194439999999997</v>
      </c>
      <c r="G1631" s="11">
        <v>52.593611000000003</v>
      </c>
      <c r="H1631" s="11">
        <v>1</v>
      </c>
    </row>
    <row r="1632" spans="6:8" x14ac:dyDescent="0.3">
      <c r="F1632" s="11">
        <v>5.6863890000000001</v>
      </c>
      <c r="G1632" s="11">
        <v>52.590555999999999</v>
      </c>
      <c r="H1632" s="11">
        <v>1</v>
      </c>
    </row>
    <row r="1633" spans="6:8" x14ac:dyDescent="0.3">
      <c r="F1633" s="11">
        <v>5.7797219999999996</v>
      </c>
      <c r="G1633" s="11">
        <v>52.574167000000003</v>
      </c>
      <c r="H1633" s="11">
        <v>1</v>
      </c>
    </row>
    <row r="1634" spans="6:8" x14ac:dyDescent="0.3">
      <c r="H1634" s="11">
        <v>1</v>
      </c>
    </row>
    <row r="1635" spans="6:8" x14ac:dyDescent="0.3">
      <c r="F1635" s="11">
        <v>4.9127780000000003</v>
      </c>
      <c r="G1635" s="11">
        <v>53.138333000000003</v>
      </c>
      <c r="H1635" s="11">
        <v>1</v>
      </c>
    </row>
    <row r="1636" spans="6:8" x14ac:dyDescent="0.3">
      <c r="F1636" s="11">
        <v>4.91</v>
      </c>
      <c r="G1636" s="11">
        <v>53.101666999999999</v>
      </c>
      <c r="H1636" s="11">
        <v>1</v>
      </c>
    </row>
    <row r="1637" spans="6:8" x14ac:dyDescent="0.3">
      <c r="F1637" s="11">
        <v>4.8730560000000001</v>
      </c>
      <c r="G1637" s="11">
        <v>53.054721999999998</v>
      </c>
      <c r="H1637" s="11">
        <v>1</v>
      </c>
    </row>
    <row r="1638" spans="6:8" x14ac:dyDescent="0.3">
      <c r="F1638" s="11">
        <v>4.8169440000000003</v>
      </c>
      <c r="G1638" s="11">
        <v>53.018889000000001</v>
      </c>
      <c r="H1638" s="11">
        <v>1</v>
      </c>
    </row>
    <row r="1639" spans="6:8" x14ac:dyDescent="0.3">
      <c r="F1639" s="11">
        <v>4.7536110000000003</v>
      </c>
      <c r="G1639" s="11">
        <v>52.988610999999999</v>
      </c>
      <c r="H1639" s="11">
        <v>1</v>
      </c>
    </row>
    <row r="1640" spans="6:8" x14ac:dyDescent="0.3">
      <c r="F1640" s="11">
        <v>4.7072219999999998</v>
      </c>
      <c r="G1640" s="11">
        <v>53.028055999999999</v>
      </c>
      <c r="H1640" s="11">
        <v>1</v>
      </c>
    </row>
    <row r="1641" spans="6:8" x14ac:dyDescent="0.3">
      <c r="F1641" s="11">
        <v>4.737222</v>
      </c>
      <c r="G1641" s="11">
        <v>53.080278</v>
      </c>
      <c r="H1641" s="11">
        <v>1</v>
      </c>
    </row>
    <row r="1642" spans="6:8" x14ac:dyDescent="0.3">
      <c r="F1642" s="11">
        <v>4.7872219999999999</v>
      </c>
      <c r="G1642" s="11">
        <v>53.121110999999999</v>
      </c>
      <c r="H1642" s="11">
        <v>1</v>
      </c>
    </row>
    <row r="1643" spans="6:8" x14ac:dyDescent="0.3">
      <c r="F1643" s="11">
        <v>4.8344440000000004</v>
      </c>
      <c r="G1643" s="11">
        <v>53.164166999999999</v>
      </c>
      <c r="H1643" s="11">
        <v>1</v>
      </c>
    </row>
    <row r="1644" spans="6:8" x14ac:dyDescent="0.3">
      <c r="H1644" s="11">
        <v>1</v>
      </c>
    </row>
    <row r="1645" spans="6:8" x14ac:dyDescent="0.3">
      <c r="F1645" s="11">
        <v>5.0094440000000002</v>
      </c>
      <c r="G1645" s="11">
        <v>53.276944</v>
      </c>
      <c r="H1645" s="11">
        <v>1</v>
      </c>
    </row>
    <row r="1646" spans="6:8" x14ac:dyDescent="0.3">
      <c r="F1646" s="11">
        <v>4.9572219999999998</v>
      </c>
      <c r="G1646" s="11">
        <v>53.237777999999999</v>
      </c>
      <c r="H1646" s="11">
        <v>1</v>
      </c>
    </row>
    <row r="1647" spans="6:8" x14ac:dyDescent="0.3">
      <c r="F1647" s="11">
        <v>4.8897219999999999</v>
      </c>
      <c r="G1647" s="11">
        <v>53.210833000000001</v>
      </c>
      <c r="H1647" s="11">
        <v>1</v>
      </c>
    </row>
    <row r="1648" spans="6:8" x14ac:dyDescent="0.3">
      <c r="F1648" s="11">
        <v>4.9244440000000003</v>
      </c>
      <c r="G1648" s="11">
        <v>53.248888999999998</v>
      </c>
      <c r="H1648" s="11">
        <v>1</v>
      </c>
    </row>
    <row r="1649" spans="6:8" x14ac:dyDescent="0.3">
      <c r="F1649" s="11">
        <v>4.9855559999999999</v>
      </c>
      <c r="G1649" s="11">
        <v>53.280833000000001</v>
      </c>
      <c r="H1649" s="11">
        <v>1</v>
      </c>
    </row>
    <row r="1650" spans="6:8" x14ac:dyDescent="0.3">
      <c r="F1650" s="11">
        <v>5.0547219999999999</v>
      </c>
      <c r="G1650" s="11">
        <v>53.304721999999998</v>
      </c>
      <c r="H1650" s="11">
        <v>1</v>
      </c>
    </row>
    <row r="1651" spans="6:8" x14ac:dyDescent="0.3">
      <c r="F1651" s="11">
        <v>5.0788890000000002</v>
      </c>
      <c r="G1651" s="11">
        <v>53.298333</v>
      </c>
      <c r="H1651" s="11">
        <v>1</v>
      </c>
    </row>
    <row r="1652" spans="6:8" x14ac:dyDescent="0.3">
      <c r="H1652" s="11">
        <v>1</v>
      </c>
    </row>
    <row r="1653" spans="6:8" x14ac:dyDescent="0.3">
      <c r="F1653" s="11">
        <v>5.5108329999999999</v>
      </c>
      <c r="G1653" s="11">
        <v>53.422221999999998</v>
      </c>
      <c r="H1653" s="11">
        <v>1</v>
      </c>
    </row>
    <row r="1654" spans="6:8" x14ac:dyDescent="0.3">
      <c r="F1654" s="11">
        <v>5.4591669999999999</v>
      </c>
      <c r="G1654" s="11">
        <v>53.404167000000001</v>
      </c>
      <c r="H1654" s="11">
        <v>1</v>
      </c>
    </row>
    <row r="1655" spans="6:8" x14ac:dyDescent="0.3">
      <c r="F1655" s="11">
        <v>5.3758330000000001</v>
      </c>
      <c r="G1655" s="11">
        <v>53.390278000000002</v>
      </c>
      <c r="H1655" s="11">
        <v>1</v>
      </c>
    </row>
    <row r="1656" spans="6:8" x14ac:dyDescent="0.3">
      <c r="F1656" s="11">
        <v>5.299722</v>
      </c>
      <c r="G1656" s="11">
        <v>53.371389000000001</v>
      </c>
      <c r="H1656" s="11">
        <v>1</v>
      </c>
    </row>
    <row r="1657" spans="6:8" x14ac:dyDescent="0.3">
      <c r="F1657" s="11">
        <v>5.223611</v>
      </c>
      <c r="G1657" s="11">
        <v>53.352221999999998</v>
      </c>
      <c r="H1657" s="11">
        <v>1</v>
      </c>
    </row>
    <row r="1658" spans="6:8" x14ac:dyDescent="0.3">
      <c r="F1658" s="11">
        <v>5.1711109999999998</v>
      </c>
      <c r="G1658" s="11">
        <v>53.377499999999998</v>
      </c>
      <c r="H1658" s="11">
        <v>1</v>
      </c>
    </row>
    <row r="1659" spans="6:8" x14ac:dyDescent="0.3">
      <c r="F1659" s="11">
        <v>5.246111</v>
      </c>
      <c r="G1659" s="11">
        <v>53.398333000000001</v>
      </c>
      <c r="H1659" s="11">
        <v>1</v>
      </c>
    </row>
    <row r="1660" spans="6:8" x14ac:dyDescent="0.3">
      <c r="F1660" s="11">
        <v>5.3347220000000002</v>
      </c>
      <c r="G1660" s="11">
        <v>53.408332999999999</v>
      </c>
      <c r="H1660" s="11">
        <v>1</v>
      </c>
    </row>
    <row r="1661" spans="6:8" x14ac:dyDescent="0.3">
      <c r="F1661" s="11">
        <v>5.4161109999999999</v>
      </c>
      <c r="G1661" s="11">
        <v>53.423889000000003</v>
      </c>
      <c r="H1661" s="11">
        <v>1</v>
      </c>
    </row>
    <row r="1662" spans="6:8" x14ac:dyDescent="0.3">
      <c r="F1662" s="11">
        <v>5.4958330000000002</v>
      </c>
      <c r="G1662" s="11">
        <v>53.441110999999999</v>
      </c>
      <c r="H1662" s="11">
        <v>1</v>
      </c>
    </row>
    <row r="1663" spans="6:8" x14ac:dyDescent="0.3">
      <c r="F1663" s="11">
        <v>5.5797220000000003</v>
      </c>
      <c r="G1663" s="11">
        <v>53.450833000000003</v>
      </c>
      <c r="H1663" s="11">
        <v>1</v>
      </c>
    </row>
    <row r="1664" spans="6:8" x14ac:dyDescent="0.3">
      <c r="H1664" s="11">
        <v>1</v>
      </c>
    </row>
    <row r="1665" spans="6:8" x14ac:dyDescent="0.3">
      <c r="F1665" s="11">
        <v>5.7641669999999996</v>
      </c>
      <c r="G1665" s="11">
        <v>53.464444</v>
      </c>
      <c r="H1665" s="11">
        <v>1</v>
      </c>
    </row>
    <row r="1666" spans="6:8" x14ac:dyDescent="0.3">
      <c r="F1666" s="11">
        <v>5.8616669999999997</v>
      </c>
      <c r="G1666" s="11">
        <v>53.466667000000001</v>
      </c>
      <c r="H1666" s="11">
        <v>1</v>
      </c>
    </row>
    <row r="1667" spans="6:8" x14ac:dyDescent="0.3">
      <c r="F1667" s="11">
        <v>5.9555559999999996</v>
      </c>
      <c r="G1667" s="11">
        <v>53.466667000000001</v>
      </c>
      <c r="H1667" s="11">
        <v>1</v>
      </c>
    </row>
    <row r="1668" spans="6:8" x14ac:dyDescent="0.3">
      <c r="F1668" s="11">
        <v>5.8794440000000003</v>
      </c>
      <c r="G1668" s="11">
        <v>53.448889000000001</v>
      </c>
      <c r="H1668" s="11">
        <v>1</v>
      </c>
    </row>
    <row r="1669" spans="6:8" x14ac:dyDescent="0.3">
      <c r="F1669" s="11">
        <v>5.7916670000000003</v>
      </c>
      <c r="G1669" s="11">
        <v>53.439722000000003</v>
      </c>
      <c r="H1669" s="11">
        <v>1</v>
      </c>
    </row>
    <row r="1670" spans="6:8" x14ac:dyDescent="0.3">
      <c r="F1670" s="11">
        <v>5.7044439999999996</v>
      </c>
      <c r="G1670" s="11">
        <v>53.430278000000001</v>
      </c>
      <c r="H1670" s="11">
        <v>1</v>
      </c>
    </row>
    <row r="1671" spans="6:8" x14ac:dyDescent="0.3">
      <c r="F1671" s="11">
        <v>5.6325000000000003</v>
      </c>
      <c r="G1671" s="11">
        <v>53.445556000000003</v>
      </c>
      <c r="H1671" s="11">
        <v>1</v>
      </c>
    </row>
    <row r="1672" spans="6:8" x14ac:dyDescent="0.3">
      <c r="H1672" s="11">
        <v>1</v>
      </c>
    </row>
    <row r="1673" spans="6:8" x14ac:dyDescent="0.3">
      <c r="F1673" s="11">
        <v>-7.2874999999999996</v>
      </c>
      <c r="G1673" s="11">
        <v>55.361389000000003</v>
      </c>
      <c r="H1673" s="11">
        <v>1</v>
      </c>
    </row>
    <row r="1674" spans="6:8" x14ac:dyDescent="0.3">
      <c r="F1674" s="11">
        <v>-7.2047220000000003</v>
      </c>
      <c r="G1674" s="11">
        <v>55.340277999999998</v>
      </c>
      <c r="H1674" s="11">
        <v>1</v>
      </c>
    </row>
    <row r="1675" spans="6:8" x14ac:dyDescent="0.3">
      <c r="F1675" s="11">
        <v>-7.1555559999999998</v>
      </c>
      <c r="G1675" s="11">
        <v>55.300277999999999</v>
      </c>
      <c r="H1675" s="11">
        <v>1</v>
      </c>
    </row>
    <row r="1676" spans="6:8" x14ac:dyDescent="0.3">
      <c r="F1676" s="11">
        <v>-7.085833</v>
      </c>
      <c r="G1676" s="11">
        <v>55.270555999999999</v>
      </c>
      <c r="H1676" s="11">
        <v>1</v>
      </c>
    </row>
    <row r="1677" spans="6:8" x14ac:dyDescent="0.3">
      <c r="F1677" s="11">
        <v>-7.0163890000000002</v>
      </c>
      <c r="G1677" s="11">
        <v>55.257221999999999</v>
      </c>
      <c r="H1677" s="11">
        <v>1</v>
      </c>
    </row>
    <row r="1678" spans="6:8" x14ac:dyDescent="0.3">
      <c r="F1678" s="11">
        <v>-6.9344440000000001</v>
      </c>
      <c r="G1678" s="11">
        <v>55.238889</v>
      </c>
      <c r="H1678" s="11">
        <v>1</v>
      </c>
    </row>
    <row r="1679" spans="6:8" x14ac:dyDescent="0.3">
      <c r="F1679" s="11">
        <v>-6.9850000000000003</v>
      </c>
      <c r="G1679" s="11">
        <v>55.203055999999997</v>
      </c>
      <c r="H1679" s="11">
        <v>1</v>
      </c>
    </row>
    <row r="1680" spans="6:8" x14ac:dyDescent="0.3">
      <c r="F1680" s="11">
        <v>-7.0594440000000001</v>
      </c>
      <c r="G1680" s="11">
        <v>55.178055999999998</v>
      </c>
      <c r="H1680" s="11">
        <v>1</v>
      </c>
    </row>
    <row r="1681" spans="6:8" x14ac:dyDescent="0.3">
      <c r="F1681" s="11">
        <v>-7.1333330000000004</v>
      </c>
      <c r="G1681" s="11">
        <v>55.154167000000001</v>
      </c>
      <c r="H1681" s="11">
        <v>1</v>
      </c>
    </row>
    <row r="1682" spans="6:8" x14ac:dyDescent="0.3">
      <c r="F1682" s="11">
        <v>-7.1974999999999998</v>
      </c>
      <c r="G1682" s="11">
        <v>55.121667000000002</v>
      </c>
      <c r="H1682" s="11">
        <v>1</v>
      </c>
    </row>
    <row r="1683" spans="6:8" x14ac:dyDescent="0.3">
      <c r="F1683" s="11">
        <v>-7.2438890000000002</v>
      </c>
      <c r="G1683" s="11">
        <v>55.079721999999997</v>
      </c>
      <c r="H1683" s="11">
        <v>1</v>
      </c>
    </row>
    <row r="1684" spans="6:8" x14ac:dyDescent="0.3">
      <c r="F1684" s="11">
        <v>-7.2338889999999996</v>
      </c>
      <c r="G1684" s="11">
        <v>55.049166999999997</v>
      </c>
      <c r="H1684" s="11">
        <v>1</v>
      </c>
    </row>
    <row r="1685" spans="6:8" x14ac:dyDescent="0.3">
      <c r="F1685" s="11">
        <v>-7.1469440000000004</v>
      </c>
      <c r="G1685" s="11">
        <v>55.045833000000002</v>
      </c>
      <c r="H1685" s="11">
        <v>1</v>
      </c>
    </row>
    <row r="1686" spans="6:8" x14ac:dyDescent="0.3">
      <c r="F1686" s="11">
        <v>-7.0552780000000004</v>
      </c>
      <c r="G1686" s="11">
        <v>55.045000000000002</v>
      </c>
      <c r="H1686" s="11">
        <v>1</v>
      </c>
    </row>
    <row r="1687" spans="6:8" x14ac:dyDescent="0.3">
      <c r="F1687" s="11">
        <v>-7.019444</v>
      </c>
      <c r="G1687" s="11">
        <v>55.088332999999999</v>
      </c>
      <c r="H1687" s="11">
        <v>1</v>
      </c>
    </row>
    <row r="1688" spans="6:8" x14ac:dyDescent="0.3">
      <c r="F1688" s="11">
        <v>-6.9772220000000003</v>
      </c>
      <c r="G1688" s="11">
        <v>55.134166999999998</v>
      </c>
      <c r="H1688" s="11">
        <v>1</v>
      </c>
    </row>
    <row r="1689" spans="6:8" x14ac:dyDescent="0.3">
      <c r="F1689" s="11">
        <v>-6.9636110000000002</v>
      </c>
      <c r="G1689" s="11">
        <v>55.190556000000001</v>
      </c>
      <c r="H1689" s="11">
        <v>1</v>
      </c>
    </row>
    <row r="1690" spans="6:8" x14ac:dyDescent="0.3">
      <c r="F1690" s="11">
        <v>-6.8825000000000003</v>
      </c>
      <c r="G1690" s="11">
        <v>55.167499999999997</v>
      </c>
      <c r="H1690" s="11">
        <v>1</v>
      </c>
    </row>
    <row r="1691" spans="6:8" x14ac:dyDescent="0.3">
      <c r="F1691" s="11">
        <v>-6.7777779999999996</v>
      </c>
      <c r="G1691" s="11">
        <v>55.171388999999998</v>
      </c>
      <c r="H1691" s="11">
        <v>1</v>
      </c>
    </row>
    <row r="1692" spans="6:8" x14ac:dyDescent="0.3">
      <c r="F1692" s="11">
        <v>-6.7074999999999996</v>
      </c>
      <c r="G1692" s="11">
        <v>55.190556000000001</v>
      </c>
      <c r="H1692" s="11">
        <v>1</v>
      </c>
    </row>
    <row r="1693" spans="6:8" x14ac:dyDescent="0.3">
      <c r="F1693" s="11">
        <v>-6.6244440000000004</v>
      </c>
      <c r="G1693" s="11">
        <v>55.206389000000001</v>
      </c>
      <c r="H1693" s="11">
        <v>1</v>
      </c>
    </row>
    <row r="1694" spans="6:8" x14ac:dyDescent="0.3">
      <c r="F1694" s="11">
        <v>-6.5394439999999996</v>
      </c>
      <c r="G1694" s="11">
        <v>55.222499999999997</v>
      </c>
      <c r="H1694" s="11">
        <v>1</v>
      </c>
    </row>
    <row r="1695" spans="6:8" x14ac:dyDescent="0.3">
      <c r="F1695" s="11">
        <v>-6.4727779999999999</v>
      </c>
      <c r="G1695" s="11">
        <v>55.241110999999997</v>
      </c>
      <c r="H1695" s="11">
        <v>1</v>
      </c>
    </row>
    <row r="1696" spans="6:8" x14ac:dyDescent="0.3">
      <c r="F1696" s="11">
        <v>-6.3830559999999998</v>
      </c>
      <c r="G1696" s="11">
        <v>55.238889</v>
      </c>
      <c r="H1696" s="11">
        <v>1</v>
      </c>
    </row>
    <row r="1697" spans="6:8" x14ac:dyDescent="0.3">
      <c r="F1697" s="11">
        <v>-6.2908330000000001</v>
      </c>
      <c r="G1697" s="11">
        <v>55.223056</v>
      </c>
      <c r="H1697" s="11">
        <v>1</v>
      </c>
    </row>
    <row r="1698" spans="6:8" x14ac:dyDescent="0.3">
      <c r="F1698" s="11">
        <v>-6.2191669999999997</v>
      </c>
      <c r="G1698" s="11">
        <v>55.207777999999998</v>
      </c>
      <c r="H1698" s="11">
        <v>1</v>
      </c>
    </row>
    <row r="1699" spans="6:8" x14ac:dyDescent="0.3">
      <c r="F1699" s="11">
        <v>-6.1338889999999999</v>
      </c>
      <c r="G1699" s="11">
        <v>55.216388999999999</v>
      </c>
      <c r="H1699" s="11">
        <v>1</v>
      </c>
    </row>
    <row r="1700" spans="6:8" x14ac:dyDescent="0.3">
      <c r="F1700" s="11">
        <v>-6.0608329999999997</v>
      </c>
      <c r="G1700" s="11">
        <v>55.189166999999998</v>
      </c>
      <c r="H1700" s="11">
        <v>1</v>
      </c>
    </row>
    <row r="1701" spans="6:8" x14ac:dyDescent="0.3">
      <c r="F1701" s="11">
        <v>-6.0394439999999996</v>
      </c>
      <c r="G1701" s="11">
        <v>55.140555999999997</v>
      </c>
      <c r="H1701" s="11">
        <v>1</v>
      </c>
    </row>
    <row r="1702" spans="6:8" x14ac:dyDescent="0.3">
      <c r="F1702" s="11">
        <v>-6.0541669999999996</v>
      </c>
      <c r="G1702" s="11">
        <v>55.081111</v>
      </c>
      <c r="H1702" s="11">
        <v>1</v>
      </c>
    </row>
    <row r="1703" spans="6:8" x14ac:dyDescent="0.3">
      <c r="F1703" s="11">
        <v>-6.009722</v>
      </c>
      <c r="G1703" s="11">
        <v>55.057777999999999</v>
      </c>
      <c r="H1703" s="11">
        <v>1</v>
      </c>
    </row>
    <row r="1704" spans="6:8" x14ac:dyDescent="0.3">
      <c r="F1704" s="11">
        <v>-5.9683330000000003</v>
      </c>
      <c r="G1704" s="11">
        <v>55.016666999999998</v>
      </c>
      <c r="H1704" s="11">
        <v>1</v>
      </c>
    </row>
    <row r="1705" spans="6:8" x14ac:dyDescent="0.3">
      <c r="F1705" s="11">
        <v>-5.9627780000000001</v>
      </c>
      <c r="G1705" s="11">
        <v>54.977221999999998</v>
      </c>
      <c r="H1705" s="11">
        <v>1</v>
      </c>
    </row>
    <row r="1706" spans="6:8" x14ac:dyDescent="0.3">
      <c r="F1706" s="11">
        <v>-5.9030560000000003</v>
      </c>
      <c r="G1706" s="11">
        <v>54.944443999999997</v>
      </c>
      <c r="H1706" s="11">
        <v>1</v>
      </c>
    </row>
    <row r="1707" spans="6:8" x14ac:dyDescent="0.3">
      <c r="F1707" s="11">
        <v>-5.86</v>
      </c>
      <c r="G1707" s="11">
        <v>54.901944</v>
      </c>
      <c r="H1707" s="11">
        <v>1</v>
      </c>
    </row>
    <row r="1708" spans="6:8" x14ac:dyDescent="0.3">
      <c r="F1708" s="11">
        <v>-5.8113890000000001</v>
      </c>
      <c r="G1708" s="11">
        <v>54.861389000000003</v>
      </c>
      <c r="H1708" s="11">
        <v>1</v>
      </c>
    </row>
    <row r="1709" spans="6:8" x14ac:dyDescent="0.3">
      <c r="F1709" s="11">
        <v>-5.7933329999999996</v>
      </c>
      <c r="G1709" s="11">
        <v>54.811388999999998</v>
      </c>
      <c r="H1709" s="11">
        <v>1</v>
      </c>
    </row>
    <row r="1710" spans="6:8" x14ac:dyDescent="0.3">
      <c r="F1710" s="11">
        <v>-5.7244440000000001</v>
      </c>
      <c r="G1710" s="11">
        <v>54.784166999999997</v>
      </c>
      <c r="H1710" s="11">
        <v>1</v>
      </c>
    </row>
    <row r="1711" spans="6:8" x14ac:dyDescent="0.3">
      <c r="F1711" s="11">
        <v>-5.7566670000000002</v>
      </c>
      <c r="G1711" s="11">
        <v>54.817777999999997</v>
      </c>
      <c r="H1711" s="11">
        <v>1</v>
      </c>
    </row>
    <row r="1712" spans="6:8" x14ac:dyDescent="0.3">
      <c r="F1712" s="11">
        <v>-5.7819440000000002</v>
      </c>
      <c r="G1712" s="11">
        <v>54.855556</v>
      </c>
      <c r="H1712" s="11">
        <v>1</v>
      </c>
    </row>
    <row r="1713" spans="6:8" x14ac:dyDescent="0.3">
      <c r="F1713" s="11">
        <v>-5.7077780000000002</v>
      </c>
      <c r="G1713" s="11">
        <v>54.830556000000001</v>
      </c>
      <c r="H1713" s="11">
        <v>1</v>
      </c>
    </row>
    <row r="1714" spans="6:8" x14ac:dyDescent="0.3">
      <c r="F1714" s="11">
        <v>-5.6869440000000004</v>
      </c>
      <c r="G1714" s="11">
        <v>54.777777999999998</v>
      </c>
      <c r="H1714" s="11">
        <v>1</v>
      </c>
    </row>
    <row r="1715" spans="6:8" x14ac:dyDescent="0.3">
      <c r="F1715" s="11">
        <v>-5.7202780000000004</v>
      </c>
      <c r="G1715" s="11">
        <v>54.735833</v>
      </c>
      <c r="H1715" s="11">
        <v>1</v>
      </c>
    </row>
    <row r="1716" spans="6:8" x14ac:dyDescent="0.3">
      <c r="F1716" s="11">
        <v>-5.7977780000000001</v>
      </c>
      <c r="G1716" s="11">
        <v>54.713332999999999</v>
      </c>
      <c r="H1716" s="11">
        <v>1</v>
      </c>
    </row>
    <row r="1717" spans="6:8" x14ac:dyDescent="0.3">
      <c r="F1717" s="11">
        <v>-5.8708330000000002</v>
      </c>
      <c r="G1717" s="11">
        <v>54.688056000000003</v>
      </c>
      <c r="H1717" s="11">
        <v>1</v>
      </c>
    </row>
    <row r="1718" spans="6:8" x14ac:dyDescent="0.3">
      <c r="F1718" s="11">
        <v>-5.9155559999999996</v>
      </c>
      <c r="G1718" s="11">
        <v>54.643611</v>
      </c>
      <c r="H1718" s="11">
        <v>1</v>
      </c>
    </row>
    <row r="1719" spans="6:8" x14ac:dyDescent="0.3">
      <c r="F1719" s="11">
        <v>-5.8927779999999998</v>
      </c>
      <c r="G1719" s="11">
        <v>54.602778000000001</v>
      </c>
      <c r="H1719" s="11">
        <v>1</v>
      </c>
    </row>
    <row r="1720" spans="6:8" x14ac:dyDescent="0.3">
      <c r="F1720" s="11">
        <v>-5.8416670000000002</v>
      </c>
      <c r="G1720" s="11">
        <v>54.643332999999998</v>
      </c>
      <c r="H1720" s="11">
        <v>1</v>
      </c>
    </row>
    <row r="1721" spans="6:8" x14ac:dyDescent="0.3">
      <c r="F1721" s="11">
        <v>-5.7672220000000003</v>
      </c>
      <c r="G1721" s="11">
        <v>54.667499999999997</v>
      </c>
      <c r="H1721" s="11">
        <v>1</v>
      </c>
    </row>
    <row r="1722" spans="6:8" x14ac:dyDescent="0.3">
      <c r="F1722" s="11">
        <v>-5.6855560000000001</v>
      </c>
      <c r="G1722" s="11">
        <v>54.667222000000002</v>
      </c>
      <c r="H1722" s="11">
        <v>1</v>
      </c>
    </row>
    <row r="1723" spans="6:8" x14ac:dyDescent="0.3">
      <c r="F1723" s="11">
        <v>-5.5988889999999998</v>
      </c>
      <c r="G1723" s="11">
        <v>54.679443999999997</v>
      </c>
      <c r="H1723" s="11">
        <v>1</v>
      </c>
    </row>
    <row r="1724" spans="6:8" x14ac:dyDescent="0.3">
      <c r="F1724" s="11">
        <v>-5.5333329999999998</v>
      </c>
      <c r="G1724" s="11">
        <v>54.648888999999997</v>
      </c>
      <c r="H1724" s="11">
        <v>1</v>
      </c>
    </row>
    <row r="1725" spans="6:8" x14ac:dyDescent="0.3">
      <c r="F1725" s="11">
        <v>-5.5133330000000003</v>
      </c>
      <c r="G1725" s="11">
        <v>54.594721999999997</v>
      </c>
      <c r="H1725" s="11">
        <v>1</v>
      </c>
    </row>
    <row r="1726" spans="6:8" x14ac:dyDescent="0.3">
      <c r="F1726" s="11">
        <v>-5.4761110000000004</v>
      </c>
      <c r="G1726" s="11">
        <v>54.549444000000001</v>
      </c>
      <c r="H1726" s="11">
        <v>1</v>
      </c>
    </row>
    <row r="1727" spans="6:8" x14ac:dyDescent="0.3">
      <c r="F1727" s="11">
        <v>-5.4627780000000001</v>
      </c>
      <c r="G1727" s="11">
        <v>54.497500000000002</v>
      </c>
      <c r="H1727" s="11">
        <v>1</v>
      </c>
    </row>
    <row r="1728" spans="6:8" x14ac:dyDescent="0.3">
      <c r="F1728" s="11">
        <v>-5.4363890000000001</v>
      </c>
      <c r="G1728" s="11">
        <v>54.456667000000003</v>
      </c>
      <c r="H1728" s="11">
        <v>1</v>
      </c>
    </row>
    <row r="1729" spans="6:8" x14ac:dyDescent="0.3">
      <c r="F1729" s="11">
        <v>-5.458056</v>
      </c>
      <c r="G1729" s="11">
        <v>54.414721999999998</v>
      </c>
      <c r="H1729" s="11">
        <v>1</v>
      </c>
    </row>
    <row r="1730" spans="6:8" x14ac:dyDescent="0.3">
      <c r="F1730" s="11">
        <v>-5.4922219999999999</v>
      </c>
      <c r="G1730" s="11">
        <v>54.366943999999997</v>
      </c>
      <c r="H1730" s="11">
        <v>1</v>
      </c>
    </row>
    <row r="1731" spans="6:8" x14ac:dyDescent="0.3">
      <c r="F1731" s="11">
        <v>-5.5111109999999996</v>
      </c>
      <c r="G1731" s="11">
        <v>54.330832999999998</v>
      </c>
      <c r="H1731" s="11">
        <v>1</v>
      </c>
    </row>
    <row r="1732" spans="6:8" x14ac:dyDescent="0.3">
      <c r="F1732" s="11">
        <v>-5.55</v>
      </c>
      <c r="G1732" s="11">
        <v>54.375278000000002</v>
      </c>
      <c r="H1732" s="11">
        <v>1</v>
      </c>
    </row>
    <row r="1733" spans="6:8" x14ac:dyDescent="0.3">
      <c r="F1733" s="11">
        <v>-5.5691670000000002</v>
      </c>
      <c r="G1733" s="11">
        <v>54.422778000000001</v>
      </c>
      <c r="H1733" s="11">
        <v>1</v>
      </c>
    </row>
    <row r="1734" spans="6:8" x14ac:dyDescent="0.3">
      <c r="F1734" s="11">
        <v>-5.5433329999999996</v>
      </c>
      <c r="G1734" s="11">
        <v>54.473056</v>
      </c>
      <c r="H1734" s="11">
        <v>1</v>
      </c>
    </row>
    <row r="1735" spans="6:8" x14ac:dyDescent="0.3">
      <c r="F1735" s="11">
        <v>-5.5680560000000003</v>
      </c>
      <c r="G1735" s="11">
        <v>54.524721999999997</v>
      </c>
      <c r="H1735" s="11">
        <v>1</v>
      </c>
    </row>
    <row r="1736" spans="6:8" x14ac:dyDescent="0.3">
      <c r="F1736" s="11">
        <v>-5.6261109999999999</v>
      </c>
      <c r="G1736" s="11">
        <v>54.553610999999997</v>
      </c>
      <c r="H1736" s="11">
        <v>1</v>
      </c>
    </row>
    <row r="1737" spans="6:8" x14ac:dyDescent="0.3">
      <c r="F1737" s="11">
        <v>-5.7005559999999997</v>
      </c>
      <c r="G1737" s="11">
        <v>54.571111000000002</v>
      </c>
      <c r="H1737" s="11">
        <v>1</v>
      </c>
    </row>
    <row r="1738" spans="6:8" x14ac:dyDescent="0.3">
      <c r="F1738" s="11">
        <v>-5.691389</v>
      </c>
      <c r="G1738" s="11">
        <v>54.531944000000003</v>
      </c>
      <c r="H1738" s="11">
        <v>1</v>
      </c>
    </row>
    <row r="1739" spans="6:8" x14ac:dyDescent="0.3">
      <c r="F1739" s="11">
        <v>-5.6786110000000001</v>
      </c>
      <c r="G1739" s="11">
        <v>54.495832999999998</v>
      </c>
      <c r="H1739" s="11">
        <v>1</v>
      </c>
    </row>
    <row r="1740" spans="6:8" x14ac:dyDescent="0.3">
      <c r="F1740" s="11">
        <v>-5.6427779999999998</v>
      </c>
      <c r="G1740" s="11">
        <v>54.462499999999999</v>
      </c>
      <c r="H1740" s="11">
        <v>1</v>
      </c>
    </row>
    <row r="1741" spans="6:8" x14ac:dyDescent="0.3">
      <c r="F1741" s="11">
        <v>-5.6305560000000003</v>
      </c>
      <c r="G1741" s="11">
        <v>54.421388999999998</v>
      </c>
      <c r="H1741" s="11">
        <v>1</v>
      </c>
    </row>
    <row r="1742" spans="6:8" x14ac:dyDescent="0.3">
      <c r="F1742" s="11">
        <v>-5.6691669999999998</v>
      </c>
      <c r="G1742" s="11">
        <v>54.374167</v>
      </c>
      <c r="H1742" s="11">
        <v>1</v>
      </c>
    </row>
    <row r="1743" spans="6:8" x14ac:dyDescent="0.3">
      <c r="F1743" s="11">
        <v>-5.6952780000000001</v>
      </c>
      <c r="G1743" s="11">
        <v>54.349167000000001</v>
      </c>
      <c r="H1743" s="11">
        <v>1</v>
      </c>
    </row>
    <row r="1744" spans="6:8" x14ac:dyDescent="0.3">
      <c r="F1744" s="11">
        <v>-5.6183329999999998</v>
      </c>
      <c r="G1744" s="11">
        <v>54.371389000000001</v>
      </c>
      <c r="H1744" s="11">
        <v>1</v>
      </c>
    </row>
    <row r="1745" spans="6:8" x14ac:dyDescent="0.3">
      <c r="F1745" s="11">
        <v>-5.5619440000000004</v>
      </c>
      <c r="G1745" s="11">
        <v>54.368889000000003</v>
      </c>
      <c r="H1745" s="11">
        <v>1</v>
      </c>
    </row>
    <row r="1746" spans="6:8" x14ac:dyDescent="0.3">
      <c r="F1746" s="11">
        <v>-5.5386110000000004</v>
      </c>
      <c r="G1746" s="11">
        <v>54.32</v>
      </c>
      <c r="H1746" s="11">
        <v>1</v>
      </c>
    </row>
    <row r="1747" spans="6:8" x14ac:dyDescent="0.3">
      <c r="F1747" s="11">
        <v>-5.5741670000000001</v>
      </c>
      <c r="G1747" s="11">
        <v>54.276667000000003</v>
      </c>
      <c r="H1747" s="11">
        <v>1</v>
      </c>
    </row>
    <row r="1748" spans="6:8" x14ac:dyDescent="0.3">
      <c r="F1748" s="11">
        <v>-5.6322219999999996</v>
      </c>
      <c r="G1748" s="11">
        <v>54.246667000000002</v>
      </c>
      <c r="H1748" s="11">
        <v>1</v>
      </c>
    </row>
    <row r="1749" spans="6:8" x14ac:dyDescent="0.3">
      <c r="F1749" s="11">
        <v>-5.6844440000000001</v>
      </c>
      <c r="G1749" s="11">
        <v>54.243611000000001</v>
      </c>
      <c r="H1749" s="11">
        <v>1</v>
      </c>
    </row>
    <row r="1750" spans="6:8" x14ac:dyDescent="0.3">
      <c r="F1750" s="11">
        <v>-5.7813889999999999</v>
      </c>
      <c r="G1750" s="11">
        <v>54.242778000000001</v>
      </c>
      <c r="H1750" s="11">
        <v>1</v>
      </c>
    </row>
    <row r="1751" spans="6:8" x14ac:dyDescent="0.3">
      <c r="F1751" s="11">
        <v>-5.8638890000000004</v>
      </c>
      <c r="G1751" s="11">
        <v>54.224167000000001</v>
      </c>
      <c r="H1751" s="11">
        <v>1</v>
      </c>
    </row>
    <row r="1752" spans="6:8" x14ac:dyDescent="0.3">
      <c r="F1752" s="11">
        <v>-5.8641670000000001</v>
      </c>
      <c r="G1752" s="11">
        <v>54.176110999999999</v>
      </c>
      <c r="H1752" s="11">
        <v>1</v>
      </c>
    </row>
    <row r="1753" spans="6:8" x14ac:dyDescent="0.3">
      <c r="F1753" s="11">
        <v>-5.8849999999999998</v>
      </c>
      <c r="G1753" s="11">
        <v>54.116943999999997</v>
      </c>
      <c r="H1753" s="11">
        <v>1</v>
      </c>
    </row>
    <row r="1754" spans="6:8" x14ac:dyDescent="0.3">
      <c r="F1754" s="11">
        <v>-5.9405559999999999</v>
      </c>
      <c r="G1754" s="11">
        <v>54.080278</v>
      </c>
      <c r="H1754" s="11">
        <v>1</v>
      </c>
    </row>
    <row r="1755" spans="6:8" x14ac:dyDescent="0.3">
      <c r="F1755" s="11">
        <v>-6.0072219999999996</v>
      </c>
      <c r="G1755" s="11">
        <v>54.051389</v>
      </c>
      <c r="H1755" s="11">
        <v>1</v>
      </c>
    </row>
    <row r="1756" spans="6:8" x14ac:dyDescent="0.3">
      <c r="F1756" s="11">
        <v>-6.0816670000000004</v>
      </c>
      <c r="G1756" s="11">
        <v>54.028610999999998</v>
      </c>
      <c r="H1756" s="11">
        <v>1</v>
      </c>
    </row>
    <row r="1757" spans="6:8" x14ac:dyDescent="0.3">
      <c r="F1757" s="11">
        <v>-6.0838890000000001</v>
      </c>
      <c r="G1757" s="11">
        <v>54.056944000000001</v>
      </c>
      <c r="H1757" s="11">
        <v>1</v>
      </c>
    </row>
    <row r="1758" spans="6:8" x14ac:dyDescent="0.3">
      <c r="F1758" s="11">
        <v>-6.1833330000000002</v>
      </c>
      <c r="G1758" s="11">
        <v>54.069443999999997</v>
      </c>
      <c r="H1758" s="11">
        <v>1</v>
      </c>
    </row>
    <row r="1759" spans="6:8" x14ac:dyDescent="0.3">
      <c r="F1759" s="11">
        <v>-6.2580559999999998</v>
      </c>
      <c r="G1759" s="11">
        <v>54.093333000000001</v>
      </c>
      <c r="H1759" s="11">
        <v>1</v>
      </c>
    </row>
    <row r="1760" spans="6:8" x14ac:dyDescent="0.3">
      <c r="F1760" s="11">
        <v>-6.2083329999999997</v>
      </c>
      <c r="G1760" s="11">
        <v>54.063333</v>
      </c>
      <c r="H1760" s="11">
        <v>1</v>
      </c>
    </row>
    <row r="1761" spans="6:8" x14ac:dyDescent="0.3">
      <c r="F1761" s="11">
        <v>-6.1502780000000001</v>
      </c>
      <c r="G1761" s="11">
        <v>54.030278000000003</v>
      </c>
      <c r="H1761" s="11">
        <v>1</v>
      </c>
    </row>
    <row r="1762" spans="6:8" x14ac:dyDescent="0.3">
      <c r="F1762" s="11">
        <v>-6.1330559999999998</v>
      </c>
      <c r="G1762" s="11">
        <v>53.990833000000002</v>
      </c>
      <c r="H1762" s="11">
        <v>1</v>
      </c>
    </row>
    <row r="1763" spans="6:8" x14ac:dyDescent="0.3">
      <c r="F1763" s="11">
        <v>-6.2227779999999999</v>
      </c>
      <c r="G1763" s="11">
        <v>53.986666999999997</v>
      </c>
      <c r="H1763" s="11">
        <v>1</v>
      </c>
    </row>
    <row r="1764" spans="6:8" x14ac:dyDescent="0.3">
      <c r="F1764" s="11">
        <v>-6.3052780000000004</v>
      </c>
      <c r="G1764" s="11">
        <v>54.009166999999998</v>
      </c>
      <c r="H1764" s="11">
        <v>1</v>
      </c>
    </row>
    <row r="1765" spans="6:8" x14ac:dyDescent="0.3">
      <c r="F1765" s="11">
        <v>-6.3449999999999998</v>
      </c>
      <c r="G1765" s="11">
        <v>53.993889000000003</v>
      </c>
      <c r="H1765" s="11">
        <v>1</v>
      </c>
    </row>
    <row r="1766" spans="6:8" x14ac:dyDescent="0.3">
      <c r="F1766" s="11">
        <v>-6.38</v>
      </c>
      <c r="G1766" s="11">
        <v>53.946666999999998</v>
      </c>
      <c r="H1766" s="11">
        <v>1</v>
      </c>
    </row>
    <row r="1767" spans="6:8" x14ac:dyDescent="0.3">
      <c r="F1767" s="11">
        <v>-6.365278</v>
      </c>
      <c r="G1767" s="11">
        <v>53.891388999999997</v>
      </c>
      <c r="H1767" s="11">
        <v>1</v>
      </c>
    </row>
    <row r="1768" spans="6:8" x14ac:dyDescent="0.3">
      <c r="F1768" s="11">
        <v>-6.2955560000000004</v>
      </c>
      <c r="G1768" s="11">
        <v>53.865278000000004</v>
      </c>
      <c r="H1768" s="11">
        <v>1</v>
      </c>
    </row>
    <row r="1769" spans="6:8" x14ac:dyDescent="0.3">
      <c r="F1769" s="11">
        <v>-6.2549999999999999</v>
      </c>
      <c r="G1769" s="11">
        <v>53.833888999999999</v>
      </c>
      <c r="H1769" s="11">
        <v>1</v>
      </c>
    </row>
    <row r="1770" spans="6:8" x14ac:dyDescent="0.3">
      <c r="F1770" s="11">
        <v>-6.2219439999999997</v>
      </c>
      <c r="G1770" s="11">
        <v>53.790832999999999</v>
      </c>
      <c r="H1770" s="11">
        <v>1</v>
      </c>
    </row>
    <row r="1771" spans="6:8" x14ac:dyDescent="0.3">
      <c r="F1771" s="11">
        <v>-6.2483329999999997</v>
      </c>
      <c r="G1771" s="11">
        <v>53.736944000000001</v>
      </c>
      <c r="H1771" s="11">
        <v>1</v>
      </c>
    </row>
    <row r="1772" spans="6:8" x14ac:dyDescent="0.3">
      <c r="F1772" s="11">
        <v>-6.240278</v>
      </c>
      <c r="G1772" s="11">
        <v>53.678333000000002</v>
      </c>
      <c r="H1772" s="11">
        <v>1</v>
      </c>
    </row>
    <row r="1773" spans="6:8" x14ac:dyDescent="0.3">
      <c r="F1773" s="11">
        <v>-6.2047220000000003</v>
      </c>
      <c r="G1773" s="11">
        <v>53.632221999999999</v>
      </c>
      <c r="H1773" s="11">
        <v>1</v>
      </c>
    </row>
    <row r="1774" spans="6:8" x14ac:dyDescent="0.3">
      <c r="F1774" s="11">
        <v>-6.1538890000000004</v>
      </c>
      <c r="G1774" s="11">
        <v>53.595832999999999</v>
      </c>
      <c r="H1774" s="11">
        <v>1</v>
      </c>
    </row>
    <row r="1775" spans="6:8" x14ac:dyDescent="0.3">
      <c r="F1775" s="11">
        <v>-6.0880559999999999</v>
      </c>
      <c r="G1775" s="11">
        <v>53.568888999999999</v>
      </c>
      <c r="H1775" s="11">
        <v>1</v>
      </c>
    </row>
    <row r="1776" spans="6:8" x14ac:dyDescent="0.3">
      <c r="F1776" s="11">
        <v>-6.0863889999999996</v>
      </c>
      <c r="G1776" s="11">
        <v>53.518332999999998</v>
      </c>
      <c r="H1776" s="11">
        <v>1</v>
      </c>
    </row>
    <row r="1777" spans="6:8" x14ac:dyDescent="0.3">
      <c r="F1777" s="11">
        <v>-6.1194439999999997</v>
      </c>
      <c r="G1777" s="11">
        <v>53.474722</v>
      </c>
      <c r="H1777" s="11">
        <v>1</v>
      </c>
    </row>
    <row r="1778" spans="6:8" x14ac:dyDescent="0.3">
      <c r="F1778" s="11">
        <v>-6.1261109999999999</v>
      </c>
      <c r="G1778" s="11">
        <v>53.431944000000001</v>
      </c>
      <c r="H1778" s="11">
        <v>1</v>
      </c>
    </row>
    <row r="1779" spans="6:8" x14ac:dyDescent="0.3">
      <c r="F1779" s="11">
        <v>-6.0980559999999997</v>
      </c>
      <c r="G1779" s="11">
        <v>53.391388999999997</v>
      </c>
      <c r="H1779" s="11">
        <v>1</v>
      </c>
    </row>
    <row r="1780" spans="6:8" x14ac:dyDescent="0.3">
      <c r="H1780" s="11">
        <v>1</v>
      </c>
    </row>
    <row r="1781" spans="6:8" x14ac:dyDescent="0.3">
      <c r="F1781" s="11">
        <v>-10.335832999999999</v>
      </c>
      <c r="G1781" s="11">
        <v>51.828055999999997</v>
      </c>
      <c r="H1781" s="11">
        <v>1</v>
      </c>
    </row>
    <row r="1782" spans="6:8" x14ac:dyDescent="0.3">
      <c r="F1782" s="11">
        <v>-10.385</v>
      </c>
      <c r="G1782" s="11">
        <v>51.854166999999997</v>
      </c>
      <c r="H1782" s="11">
        <v>1</v>
      </c>
    </row>
    <row r="1783" spans="6:8" x14ac:dyDescent="0.3">
      <c r="F1783" s="11">
        <v>-10.352778000000001</v>
      </c>
      <c r="G1783" s="11">
        <v>51.881110999999997</v>
      </c>
      <c r="H1783" s="11">
        <v>1</v>
      </c>
    </row>
    <row r="1784" spans="6:8" x14ac:dyDescent="0.3">
      <c r="F1784" s="11">
        <v>-10.280556000000001</v>
      </c>
      <c r="G1784" s="11">
        <v>51.903888999999999</v>
      </c>
      <c r="H1784" s="11">
        <v>1</v>
      </c>
    </row>
    <row r="1785" spans="6:8" x14ac:dyDescent="0.3">
      <c r="F1785" s="11">
        <v>-10.270833</v>
      </c>
      <c r="G1785" s="11">
        <v>51.925277999999999</v>
      </c>
      <c r="H1785" s="11">
        <v>1</v>
      </c>
    </row>
    <row r="1786" spans="6:8" x14ac:dyDescent="0.3">
      <c r="F1786" s="11">
        <v>-10.295278</v>
      </c>
      <c r="G1786" s="11">
        <v>51.961111000000002</v>
      </c>
      <c r="H1786" s="11">
        <v>1</v>
      </c>
    </row>
    <row r="1787" spans="6:8" x14ac:dyDescent="0.3">
      <c r="F1787" s="11">
        <v>-10.249444</v>
      </c>
      <c r="G1787" s="11">
        <v>51.993333</v>
      </c>
      <c r="H1787" s="11">
        <v>1</v>
      </c>
    </row>
    <row r="1788" spans="6:8" x14ac:dyDescent="0.3">
      <c r="F1788" s="11">
        <v>-10.179167</v>
      </c>
      <c r="G1788" s="11">
        <v>52.009721999999996</v>
      </c>
      <c r="H1788" s="11">
        <v>1</v>
      </c>
    </row>
    <row r="1789" spans="6:8" x14ac:dyDescent="0.3">
      <c r="F1789" s="11">
        <v>-10.104722000000001</v>
      </c>
      <c r="G1789" s="11">
        <v>52.028333000000003</v>
      </c>
      <c r="H1789" s="11">
        <v>1</v>
      </c>
    </row>
    <row r="1790" spans="6:8" x14ac:dyDescent="0.3">
      <c r="F1790" s="11">
        <v>-10.016667</v>
      </c>
      <c r="G1790" s="11">
        <v>52.041389000000002</v>
      </c>
      <c r="H1790" s="11">
        <v>1</v>
      </c>
    </row>
    <row r="1791" spans="6:8" x14ac:dyDescent="0.3">
      <c r="F1791" s="11">
        <v>-9.9716670000000001</v>
      </c>
      <c r="G1791" s="11">
        <v>52.082777999999998</v>
      </c>
      <c r="H1791" s="11">
        <v>1</v>
      </c>
    </row>
    <row r="1792" spans="6:8" x14ac:dyDescent="0.3">
      <c r="F1792" s="11">
        <v>-9.9425000000000008</v>
      </c>
      <c r="G1792" s="11">
        <v>52.069721999999999</v>
      </c>
      <c r="H1792" s="11">
        <v>1</v>
      </c>
    </row>
    <row r="1793" spans="6:8" x14ac:dyDescent="0.3">
      <c r="F1793" s="11">
        <v>-9.9230560000000008</v>
      </c>
      <c r="G1793" s="11">
        <v>52.093611000000003</v>
      </c>
      <c r="H1793" s="11">
        <v>1</v>
      </c>
    </row>
    <row r="1794" spans="6:8" x14ac:dyDescent="0.3">
      <c r="F1794" s="11">
        <v>-9.8941669999999995</v>
      </c>
      <c r="G1794" s="11">
        <v>52.116388999999998</v>
      </c>
      <c r="H1794" s="11">
        <v>1</v>
      </c>
    </row>
    <row r="1795" spans="6:8" x14ac:dyDescent="0.3">
      <c r="F1795" s="11">
        <v>-9.8158329999999996</v>
      </c>
      <c r="G1795" s="11">
        <v>52.123333000000002</v>
      </c>
      <c r="H1795" s="11">
        <v>1</v>
      </c>
    </row>
    <row r="1796" spans="6:8" x14ac:dyDescent="0.3">
      <c r="F1796" s="11">
        <v>-9.8041669999999996</v>
      </c>
      <c r="G1796" s="11">
        <v>52.139167</v>
      </c>
      <c r="H1796" s="11">
        <v>1</v>
      </c>
    </row>
    <row r="1797" spans="6:8" x14ac:dyDescent="0.3">
      <c r="F1797" s="11">
        <v>-9.8755559999999996</v>
      </c>
      <c r="G1797" s="11">
        <v>52.150832999999999</v>
      </c>
      <c r="H1797" s="11">
        <v>1</v>
      </c>
    </row>
    <row r="1798" spans="6:8" x14ac:dyDescent="0.3">
      <c r="F1798" s="11">
        <v>-9.9627780000000001</v>
      </c>
      <c r="G1798" s="11">
        <v>52.140278000000002</v>
      </c>
      <c r="H1798" s="11">
        <v>1</v>
      </c>
    </row>
    <row r="1799" spans="6:8" x14ac:dyDescent="0.3">
      <c r="F1799" s="11">
        <v>-9.9605560000000004</v>
      </c>
      <c r="G1799" s="11">
        <v>52.115555999999998</v>
      </c>
      <c r="H1799" s="11">
        <v>1</v>
      </c>
    </row>
    <row r="1800" spans="6:8" x14ac:dyDescent="0.3">
      <c r="F1800" s="11">
        <v>-10.030832999999999</v>
      </c>
      <c r="G1800" s="11">
        <v>52.135832999999998</v>
      </c>
      <c r="H1800" s="11">
        <v>1</v>
      </c>
    </row>
    <row r="1801" spans="6:8" x14ac:dyDescent="0.3">
      <c r="F1801" s="11">
        <v>-10.116944</v>
      </c>
      <c r="G1801" s="11">
        <v>52.120556000000001</v>
      </c>
      <c r="H1801" s="11">
        <v>1</v>
      </c>
    </row>
    <row r="1802" spans="6:8" x14ac:dyDescent="0.3">
      <c r="F1802" s="11">
        <v>-10.196667</v>
      </c>
      <c r="G1802" s="11">
        <v>52.109721999999998</v>
      </c>
      <c r="H1802" s="11">
        <v>1</v>
      </c>
    </row>
    <row r="1803" spans="6:8" x14ac:dyDescent="0.3">
      <c r="F1803" s="11">
        <v>-10.2525</v>
      </c>
      <c r="G1803" s="11">
        <v>52.119722000000003</v>
      </c>
      <c r="H1803" s="11">
        <v>1</v>
      </c>
    </row>
    <row r="1804" spans="6:8" x14ac:dyDescent="0.3">
      <c r="F1804" s="11">
        <v>-10.291389000000001</v>
      </c>
      <c r="G1804" s="11">
        <v>52.119722000000003</v>
      </c>
      <c r="H1804" s="11">
        <v>1</v>
      </c>
    </row>
    <row r="1805" spans="6:8" x14ac:dyDescent="0.3">
      <c r="F1805" s="11">
        <v>-10.33</v>
      </c>
      <c r="G1805" s="11">
        <v>52.113610999999999</v>
      </c>
      <c r="H1805" s="11">
        <v>1</v>
      </c>
    </row>
    <row r="1806" spans="6:8" x14ac:dyDescent="0.3">
      <c r="F1806" s="11">
        <v>-10.359166999999999</v>
      </c>
      <c r="G1806" s="11">
        <v>52.104166999999997</v>
      </c>
      <c r="H1806" s="11">
        <v>1</v>
      </c>
    </row>
    <row r="1807" spans="6:8" x14ac:dyDescent="0.3">
      <c r="F1807" s="11">
        <v>-10.449444</v>
      </c>
      <c r="G1807" s="11">
        <v>52.094166999999999</v>
      </c>
      <c r="H1807" s="11">
        <v>1</v>
      </c>
    </row>
    <row r="1808" spans="6:8" x14ac:dyDescent="0.3">
      <c r="F1808" s="11">
        <v>-10.472778</v>
      </c>
      <c r="G1808" s="11">
        <v>52.138333000000003</v>
      </c>
      <c r="H1808" s="11">
        <v>1</v>
      </c>
    </row>
    <row r="1809" spans="6:8" x14ac:dyDescent="0.3">
      <c r="F1809" s="11">
        <v>-10.466944</v>
      </c>
      <c r="G1809" s="11">
        <v>52.176943999999999</v>
      </c>
      <c r="H1809" s="11">
        <v>1</v>
      </c>
    </row>
    <row r="1810" spans="6:8" x14ac:dyDescent="0.3">
      <c r="F1810" s="11">
        <v>-10.413055999999999</v>
      </c>
      <c r="G1810" s="11">
        <v>52.185833000000002</v>
      </c>
      <c r="H1810" s="11">
        <v>1</v>
      </c>
    </row>
    <row r="1811" spans="6:8" x14ac:dyDescent="0.3">
      <c r="F1811" s="11">
        <v>-10.373889</v>
      </c>
      <c r="G1811" s="11">
        <v>52.182499999999997</v>
      </c>
      <c r="H1811" s="11">
        <v>1</v>
      </c>
    </row>
    <row r="1812" spans="6:8" x14ac:dyDescent="0.3">
      <c r="F1812" s="11">
        <v>-10.361943999999999</v>
      </c>
      <c r="G1812" s="11">
        <v>52.226944000000003</v>
      </c>
      <c r="H1812" s="11">
        <v>1</v>
      </c>
    </row>
    <row r="1813" spans="6:8" x14ac:dyDescent="0.3">
      <c r="F1813" s="11">
        <v>-10.293333000000001</v>
      </c>
      <c r="G1813" s="11">
        <v>52.253332999999998</v>
      </c>
      <c r="H1813" s="11">
        <v>1</v>
      </c>
    </row>
    <row r="1814" spans="6:8" x14ac:dyDescent="0.3">
      <c r="F1814" s="11">
        <v>-10.217499999999999</v>
      </c>
      <c r="G1814" s="11">
        <v>52.272500000000001</v>
      </c>
      <c r="H1814" s="11">
        <v>1</v>
      </c>
    </row>
    <row r="1815" spans="6:8" x14ac:dyDescent="0.3">
      <c r="F1815" s="11">
        <v>-10.156943999999999</v>
      </c>
      <c r="G1815" s="11">
        <v>52.274444000000003</v>
      </c>
      <c r="H1815" s="11">
        <v>1</v>
      </c>
    </row>
    <row r="1816" spans="6:8" x14ac:dyDescent="0.3">
      <c r="F1816" s="11">
        <v>-10.149722000000001</v>
      </c>
      <c r="G1816" s="11">
        <v>52.233611000000003</v>
      </c>
      <c r="H1816" s="11">
        <v>1</v>
      </c>
    </row>
    <row r="1817" spans="6:8" x14ac:dyDescent="0.3">
      <c r="F1817" s="11">
        <v>-10.068611000000001</v>
      </c>
      <c r="G1817" s="11">
        <v>52.249443999999997</v>
      </c>
      <c r="H1817" s="11">
        <v>1</v>
      </c>
    </row>
    <row r="1818" spans="6:8" x14ac:dyDescent="0.3">
      <c r="F1818" s="11">
        <v>-10.037777999999999</v>
      </c>
      <c r="G1818" s="11">
        <v>52.294167000000002</v>
      </c>
      <c r="H1818" s="11">
        <v>1</v>
      </c>
    </row>
    <row r="1819" spans="6:8" x14ac:dyDescent="0.3">
      <c r="F1819" s="11">
        <v>-10.011944</v>
      </c>
      <c r="G1819" s="11">
        <v>52.309443999999999</v>
      </c>
      <c r="H1819" s="11">
        <v>1</v>
      </c>
    </row>
    <row r="1820" spans="6:8" x14ac:dyDescent="0.3">
      <c r="F1820" s="11">
        <v>-10.013889000000001</v>
      </c>
      <c r="G1820" s="11">
        <v>52.256943999999997</v>
      </c>
      <c r="H1820" s="11">
        <v>1</v>
      </c>
    </row>
    <row r="1821" spans="6:8" x14ac:dyDescent="0.3">
      <c r="F1821" s="11">
        <v>-9.9458330000000004</v>
      </c>
      <c r="G1821" s="11">
        <v>52.230556</v>
      </c>
      <c r="H1821" s="11">
        <v>1</v>
      </c>
    </row>
    <row r="1822" spans="6:8" x14ac:dyDescent="0.3">
      <c r="F1822" s="11">
        <v>-9.8538890000000006</v>
      </c>
      <c r="G1822" s="11">
        <v>52.236666999999997</v>
      </c>
      <c r="H1822" s="11">
        <v>1</v>
      </c>
    </row>
    <row r="1823" spans="6:8" x14ac:dyDescent="0.3">
      <c r="F1823" s="11">
        <v>-9.8172219999999992</v>
      </c>
      <c r="G1823" s="11">
        <v>52.239443999999999</v>
      </c>
      <c r="H1823" s="11">
        <v>1</v>
      </c>
    </row>
    <row r="1824" spans="6:8" x14ac:dyDescent="0.3">
      <c r="F1824" s="11">
        <v>-9.7408330000000003</v>
      </c>
      <c r="G1824" s="11">
        <v>52.252222000000003</v>
      </c>
      <c r="H1824" s="11">
        <v>1</v>
      </c>
    </row>
    <row r="1825" spans="6:8" x14ac:dyDescent="0.3">
      <c r="F1825" s="11">
        <v>-9.8183330000000009</v>
      </c>
      <c r="G1825" s="11">
        <v>52.273611000000002</v>
      </c>
      <c r="H1825" s="11">
        <v>1</v>
      </c>
    </row>
    <row r="1826" spans="6:8" x14ac:dyDescent="0.3">
      <c r="F1826" s="11">
        <v>-9.8841669999999997</v>
      </c>
      <c r="G1826" s="11">
        <v>52.285277999999998</v>
      </c>
      <c r="H1826" s="11">
        <v>1</v>
      </c>
    </row>
    <row r="1827" spans="6:8" x14ac:dyDescent="0.3">
      <c r="F1827" s="11">
        <v>-9.8358329999999992</v>
      </c>
      <c r="G1827" s="11">
        <v>52.318333000000003</v>
      </c>
      <c r="H1827" s="11">
        <v>1</v>
      </c>
    </row>
    <row r="1828" spans="6:8" x14ac:dyDescent="0.3">
      <c r="F1828" s="11">
        <v>-9.8394440000000003</v>
      </c>
      <c r="G1828" s="11">
        <v>52.381110999999997</v>
      </c>
      <c r="H1828" s="11">
        <v>1</v>
      </c>
    </row>
    <row r="1829" spans="6:8" x14ac:dyDescent="0.3">
      <c r="F1829" s="11">
        <v>-9.9275000000000002</v>
      </c>
      <c r="G1829" s="11">
        <v>52.395555999999999</v>
      </c>
      <c r="H1829" s="11">
        <v>1</v>
      </c>
    </row>
    <row r="1830" spans="6:8" x14ac:dyDescent="0.3">
      <c r="F1830" s="11">
        <v>-9.9027779999999996</v>
      </c>
      <c r="G1830" s="11">
        <v>52.424722000000003</v>
      </c>
      <c r="H1830" s="11">
        <v>1</v>
      </c>
    </row>
    <row r="1831" spans="6:8" x14ac:dyDescent="0.3">
      <c r="F1831" s="11">
        <v>-9.8133330000000001</v>
      </c>
      <c r="G1831" s="11">
        <v>52.433332999999998</v>
      </c>
      <c r="H1831" s="11">
        <v>1</v>
      </c>
    </row>
    <row r="1832" spans="6:8" x14ac:dyDescent="0.3">
      <c r="F1832" s="11">
        <v>-9.7411110000000001</v>
      </c>
      <c r="G1832" s="11">
        <v>52.457777999999998</v>
      </c>
      <c r="H1832" s="11">
        <v>1</v>
      </c>
    </row>
    <row r="1833" spans="6:8" x14ac:dyDescent="0.3">
      <c r="F1833" s="11">
        <v>-9.6663890000000006</v>
      </c>
      <c r="G1833" s="11">
        <v>52.478332999999999</v>
      </c>
      <c r="H1833" s="11">
        <v>1</v>
      </c>
    </row>
    <row r="1834" spans="6:8" x14ac:dyDescent="0.3">
      <c r="F1834" s="11">
        <v>-9.6638889999999993</v>
      </c>
      <c r="G1834" s="11">
        <v>52.489722</v>
      </c>
      <c r="H1834" s="11">
        <v>1</v>
      </c>
    </row>
    <row r="1835" spans="6:8" x14ac:dyDescent="0.3">
      <c r="F1835" s="11">
        <v>-9.6705559999999995</v>
      </c>
      <c r="G1835" s="11">
        <v>52.530555999999997</v>
      </c>
      <c r="H1835" s="11">
        <v>1</v>
      </c>
    </row>
    <row r="1836" spans="6:8" x14ac:dyDescent="0.3">
      <c r="F1836" s="11">
        <v>-9.6463889999999992</v>
      </c>
      <c r="G1836" s="11">
        <v>52.562778000000002</v>
      </c>
      <c r="H1836" s="11">
        <v>1</v>
      </c>
    </row>
    <row r="1837" spans="6:8" x14ac:dyDescent="0.3">
      <c r="F1837" s="11">
        <v>-9.5580560000000006</v>
      </c>
      <c r="G1837" s="11">
        <v>52.565832999999998</v>
      </c>
      <c r="H1837" s="11">
        <v>1</v>
      </c>
    </row>
    <row r="1838" spans="6:8" x14ac:dyDescent="0.3">
      <c r="F1838" s="11">
        <v>-9.4697220000000009</v>
      </c>
      <c r="G1838" s="11">
        <v>52.558332999999998</v>
      </c>
      <c r="H1838" s="11">
        <v>1</v>
      </c>
    </row>
    <row r="1839" spans="6:8" x14ac:dyDescent="0.3">
      <c r="F1839" s="11">
        <v>-9.3966670000000008</v>
      </c>
      <c r="G1839" s="11">
        <v>52.574722000000001</v>
      </c>
      <c r="H1839" s="11">
        <v>1</v>
      </c>
    </row>
    <row r="1840" spans="6:8" x14ac:dyDescent="0.3">
      <c r="F1840" s="11">
        <v>-9.3177780000000006</v>
      </c>
      <c r="G1840" s="11">
        <v>52.570278000000002</v>
      </c>
      <c r="H1840" s="11">
        <v>1</v>
      </c>
    </row>
    <row r="1841" spans="6:8" x14ac:dyDescent="0.3">
      <c r="F1841" s="11">
        <v>-9.2369439999999994</v>
      </c>
      <c r="G1841" s="11">
        <v>52.580556000000001</v>
      </c>
      <c r="H1841" s="11">
        <v>1</v>
      </c>
    </row>
    <row r="1842" spans="6:8" x14ac:dyDescent="0.3">
      <c r="F1842" s="11">
        <v>-9.16</v>
      </c>
      <c r="G1842" s="11">
        <v>52.601944000000003</v>
      </c>
      <c r="H1842" s="11">
        <v>1</v>
      </c>
    </row>
    <row r="1843" spans="6:8" x14ac:dyDescent="0.3">
      <c r="F1843" s="11">
        <v>-9.0755560000000006</v>
      </c>
      <c r="G1843" s="11">
        <v>52.618333</v>
      </c>
      <c r="H1843" s="11">
        <v>1</v>
      </c>
    </row>
    <row r="1844" spans="6:8" x14ac:dyDescent="0.3">
      <c r="F1844" s="11">
        <v>-9.0169440000000005</v>
      </c>
      <c r="G1844" s="11">
        <v>52.619166999999997</v>
      </c>
      <c r="H1844" s="11">
        <v>1</v>
      </c>
    </row>
    <row r="1845" spans="6:8" x14ac:dyDescent="0.3">
      <c r="F1845" s="11">
        <v>-8.9641669999999998</v>
      </c>
      <c r="G1845" s="11">
        <v>52.646667000000001</v>
      </c>
      <c r="H1845" s="11">
        <v>1</v>
      </c>
    </row>
    <row r="1846" spans="6:8" x14ac:dyDescent="0.3">
      <c r="F1846" s="11">
        <v>-8.8797219999999992</v>
      </c>
      <c r="G1846" s="11">
        <v>52.663055999999997</v>
      </c>
      <c r="H1846" s="11">
        <v>1</v>
      </c>
    </row>
    <row r="1847" spans="6:8" x14ac:dyDescent="0.3">
      <c r="F1847" s="11">
        <v>-8.8011110000000006</v>
      </c>
      <c r="G1847" s="11">
        <v>52.653610999999998</v>
      </c>
      <c r="H1847" s="11">
        <v>1</v>
      </c>
    </row>
    <row r="1848" spans="6:8" x14ac:dyDescent="0.3">
      <c r="F1848" s="11">
        <v>-8.7552780000000006</v>
      </c>
      <c r="G1848" s="11">
        <v>52.672499999999999</v>
      </c>
      <c r="H1848" s="11">
        <v>1</v>
      </c>
    </row>
    <row r="1849" spans="6:8" x14ac:dyDescent="0.3">
      <c r="F1849" s="11">
        <v>-8.8438890000000008</v>
      </c>
      <c r="G1849" s="11">
        <v>52.688889000000003</v>
      </c>
      <c r="H1849" s="11">
        <v>1</v>
      </c>
    </row>
    <row r="1850" spans="6:8" x14ac:dyDescent="0.3">
      <c r="F1850" s="11">
        <v>-8.9344439999999992</v>
      </c>
      <c r="G1850" s="11">
        <v>52.683056000000001</v>
      </c>
      <c r="H1850" s="11">
        <v>1</v>
      </c>
    </row>
    <row r="1851" spans="6:8" x14ac:dyDescent="0.3">
      <c r="F1851" s="11">
        <v>-8.9324999999999992</v>
      </c>
      <c r="G1851" s="11">
        <v>52.709167000000001</v>
      </c>
      <c r="H1851" s="11">
        <v>1</v>
      </c>
    </row>
    <row r="1852" spans="6:8" x14ac:dyDescent="0.3">
      <c r="F1852" s="11">
        <v>-8.9591670000000008</v>
      </c>
      <c r="G1852" s="11">
        <v>52.750833</v>
      </c>
      <c r="H1852" s="11">
        <v>1</v>
      </c>
    </row>
    <row r="1853" spans="6:8" x14ac:dyDescent="0.3">
      <c r="F1853" s="11">
        <v>-9.0130560000000006</v>
      </c>
      <c r="G1853" s="11">
        <v>52.752222000000003</v>
      </c>
      <c r="H1853" s="11">
        <v>1</v>
      </c>
    </row>
    <row r="1854" spans="6:8" x14ac:dyDescent="0.3">
      <c r="F1854" s="11">
        <v>-9.0388889999999993</v>
      </c>
      <c r="G1854" s="11">
        <v>52.714167000000003</v>
      </c>
      <c r="H1854" s="11">
        <v>1</v>
      </c>
    </row>
    <row r="1855" spans="6:8" x14ac:dyDescent="0.3">
      <c r="F1855" s="11">
        <v>-9.0836109999999994</v>
      </c>
      <c r="G1855" s="11">
        <v>52.672499999999999</v>
      </c>
      <c r="H1855" s="11">
        <v>1</v>
      </c>
    </row>
    <row r="1856" spans="6:8" x14ac:dyDescent="0.3">
      <c r="F1856" s="11">
        <v>-9.1316670000000002</v>
      </c>
      <c r="G1856" s="11">
        <v>52.6325</v>
      </c>
      <c r="H1856" s="11">
        <v>1</v>
      </c>
    </row>
    <row r="1857" spans="6:8" x14ac:dyDescent="0.3">
      <c r="F1857" s="11">
        <v>-9.2158329999999999</v>
      </c>
      <c r="G1857" s="11">
        <v>52.616110999999997</v>
      </c>
      <c r="H1857" s="11">
        <v>1</v>
      </c>
    </row>
    <row r="1858" spans="6:8" x14ac:dyDescent="0.3">
      <c r="F1858" s="11">
        <v>-9.2816670000000006</v>
      </c>
      <c r="G1858" s="11">
        <v>52.587778</v>
      </c>
      <c r="H1858" s="11">
        <v>1</v>
      </c>
    </row>
    <row r="1859" spans="6:8" x14ac:dyDescent="0.3">
      <c r="F1859" s="11">
        <v>-9.3094439999999992</v>
      </c>
      <c r="G1859" s="11">
        <v>52.608333000000002</v>
      </c>
      <c r="H1859" s="11">
        <v>1</v>
      </c>
    </row>
    <row r="1860" spans="6:8" x14ac:dyDescent="0.3">
      <c r="F1860" s="11">
        <v>-9.2944440000000004</v>
      </c>
      <c r="G1860" s="11">
        <v>52.629443999999999</v>
      </c>
      <c r="H1860" s="11">
        <v>1</v>
      </c>
    </row>
    <row r="1861" spans="6:8" x14ac:dyDescent="0.3">
      <c r="F1861" s="11">
        <v>-9.3797219999999992</v>
      </c>
      <c r="G1861" s="11">
        <v>52.613889</v>
      </c>
      <c r="H1861" s="11">
        <v>1</v>
      </c>
    </row>
    <row r="1862" spans="6:8" x14ac:dyDescent="0.3">
      <c r="F1862" s="11">
        <v>-9.4625000000000004</v>
      </c>
      <c r="G1862" s="11">
        <v>52.611389000000003</v>
      </c>
      <c r="H1862" s="11">
        <v>1</v>
      </c>
    </row>
    <row r="1863" spans="6:8" x14ac:dyDescent="0.3">
      <c r="F1863" s="11">
        <v>-9.5355559999999997</v>
      </c>
      <c r="G1863" s="11">
        <v>52.633333</v>
      </c>
      <c r="H1863" s="11">
        <v>1</v>
      </c>
    </row>
    <row r="1864" spans="6:8" x14ac:dyDescent="0.3">
      <c r="F1864" s="11">
        <v>-9.5786110000000004</v>
      </c>
      <c r="G1864" s="11">
        <v>52.655278000000003</v>
      </c>
      <c r="H1864" s="11">
        <v>1</v>
      </c>
    </row>
    <row r="1865" spans="6:8" x14ac:dyDescent="0.3">
      <c r="F1865" s="11">
        <v>-9.5936109999999992</v>
      </c>
      <c r="G1865" s="11">
        <v>52.6175</v>
      </c>
      <c r="H1865" s="11">
        <v>1</v>
      </c>
    </row>
    <row r="1866" spans="6:8" x14ac:dyDescent="0.3">
      <c r="F1866" s="11">
        <v>-9.6827780000000008</v>
      </c>
      <c r="G1866" s="11">
        <v>52.604722000000002</v>
      </c>
      <c r="H1866" s="11">
        <v>1</v>
      </c>
    </row>
    <row r="1867" spans="6:8" x14ac:dyDescent="0.3">
      <c r="F1867" s="11">
        <v>-9.7308330000000005</v>
      </c>
      <c r="G1867" s="11">
        <v>52.580278</v>
      </c>
      <c r="H1867" s="11">
        <v>1</v>
      </c>
    </row>
    <row r="1868" spans="6:8" x14ac:dyDescent="0.3">
      <c r="F1868" s="11">
        <v>-9.8074999999999992</v>
      </c>
      <c r="G1868" s="11">
        <v>52.561388999999998</v>
      </c>
      <c r="H1868" s="11">
        <v>1</v>
      </c>
    </row>
    <row r="1869" spans="6:8" x14ac:dyDescent="0.3">
      <c r="F1869" s="11">
        <v>-9.8927779999999998</v>
      </c>
      <c r="G1869" s="11">
        <v>52.550277999999999</v>
      </c>
      <c r="H1869" s="11">
        <v>1</v>
      </c>
    </row>
    <row r="1870" spans="6:8" x14ac:dyDescent="0.3">
      <c r="F1870" s="11">
        <v>-9.9058329999999994</v>
      </c>
      <c r="G1870" s="11">
        <v>52.574167000000003</v>
      </c>
      <c r="H1870" s="11">
        <v>1</v>
      </c>
    </row>
    <row r="1871" spans="6:8" x14ac:dyDescent="0.3">
      <c r="F1871" s="11">
        <v>-9.8216669999999997</v>
      </c>
      <c r="G1871" s="11">
        <v>52.591110999999998</v>
      </c>
      <c r="H1871" s="11">
        <v>1</v>
      </c>
    </row>
    <row r="1872" spans="6:8" x14ac:dyDescent="0.3">
      <c r="F1872" s="11">
        <v>-9.7650000000000006</v>
      </c>
      <c r="G1872" s="11">
        <v>52.625556000000003</v>
      </c>
      <c r="H1872" s="11">
        <v>1</v>
      </c>
    </row>
    <row r="1873" spans="6:8" x14ac:dyDescent="0.3">
      <c r="F1873" s="11">
        <v>-9.7061109999999999</v>
      </c>
      <c r="G1873" s="11">
        <v>52.658056000000002</v>
      </c>
      <c r="H1873" s="11">
        <v>1</v>
      </c>
    </row>
    <row r="1874" spans="6:8" x14ac:dyDescent="0.3">
      <c r="F1874" s="11">
        <v>-9.6541669999999993</v>
      </c>
      <c r="G1874" s="11">
        <v>52.695</v>
      </c>
      <c r="H1874" s="11">
        <v>1</v>
      </c>
    </row>
    <row r="1875" spans="6:8" x14ac:dyDescent="0.3">
      <c r="F1875" s="11">
        <v>-9.6147220000000004</v>
      </c>
      <c r="G1875" s="11">
        <v>52.726111000000003</v>
      </c>
      <c r="H1875" s="11">
        <v>1</v>
      </c>
    </row>
    <row r="1876" spans="6:8" x14ac:dyDescent="0.3">
      <c r="F1876" s="11">
        <v>-9.5486109999999993</v>
      </c>
      <c r="G1876" s="11">
        <v>52.737777999999999</v>
      </c>
      <c r="H1876" s="11">
        <v>1</v>
      </c>
    </row>
    <row r="1877" spans="6:8" x14ac:dyDescent="0.3">
      <c r="F1877" s="11">
        <v>-9.4963890000000006</v>
      </c>
      <c r="G1877" s="11">
        <v>52.764443999999997</v>
      </c>
      <c r="H1877" s="11">
        <v>1</v>
      </c>
    </row>
    <row r="1878" spans="6:8" x14ac:dyDescent="0.3">
      <c r="F1878" s="11">
        <v>-9.4722220000000004</v>
      </c>
      <c r="G1878" s="11">
        <v>52.806389000000003</v>
      </c>
      <c r="H1878" s="11">
        <v>1</v>
      </c>
    </row>
    <row r="1879" spans="6:8" x14ac:dyDescent="0.3">
      <c r="F1879" s="11">
        <v>-9.4433330000000009</v>
      </c>
      <c r="G1879" s="11">
        <v>52.847222000000002</v>
      </c>
      <c r="H1879" s="11">
        <v>1</v>
      </c>
    </row>
    <row r="1880" spans="6:8" x14ac:dyDescent="0.3">
      <c r="F1880" s="11">
        <v>-9.4147219999999994</v>
      </c>
      <c r="G1880" s="11">
        <v>52.883333</v>
      </c>
      <c r="H1880" s="11">
        <v>1</v>
      </c>
    </row>
    <row r="1881" spans="6:8" x14ac:dyDescent="0.3">
      <c r="F1881" s="11">
        <v>-9.3588889999999996</v>
      </c>
      <c r="G1881" s="11">
        <v>52.918332999999997</v>
      </c>
      <c r="H1881" s="11">
        <v>1</v>
      </c>
    </row>
    <row r="1882" spans="6:8" x14ac:dyDescent="0.3">
      <c r="F1882" s="11">
        <v>-9.4077780000000004</v>
      </c>
      <c r="G1882" s="11">
        <v>52.927778000000004</v>
      </c>
      <c r="H1882" s="11">
        <v>1</v>
      </c>
    </row>
    <row r="1883" spans="6:8" x14ac:dyDescent="0.3">
      <c r="F1883" s="11">
        <v>-9.4702780000000004</v>
      </c>
      <c r="G1883" s="11">
        <v>52.943610999999997</v>
      </c>
      <c r="H1883" s="11">
        <v>1</v>
      </c>
    </row>
    <row r="1884" spans="6:8" x14ac:dyDescent="0.3">
      <c r="F1884" s="11">
        <v>-9.4194440000000004</v>
      </c>
      <c r="G1884" s="11">
        <v>52.981943999999999</v>
      </c>
      <c r="H1884" s="11">
        <v>1</v>
      </c>
    </row>
    <row r="1885" spans="6:8" x14ac:dyDescent="0.3">
      <c r="F1885" s="11">
        <v>-9.3852779999999996</v>
      </c>
      <c r="G1885" s="11">
        <v>53.023055999999997</v>
      </c>
      <c r="H1885" s="11">
        <v>1</v>
      </c>
    </row>
    <row r="1886" spans="6:8" x14ac:dyDescent="0.3">
      <c r="F1886" s="11">
        <v>-9.3505559999999992</v>
      </c>
      <c r="G1886" s="11">
        <v>53.071389000000003</v>
      </c>
      <c r="H1886" s="11">
        <v>1</v>
      </c>
    </row>
    <row r="1887" spans="6:8" x14ac:dyDescent="0.3">
      <c r="F1887" s="11">
        <v>-9.2955559999999995</v>
      </c>
      <c r="G1887" s="11">
        <v>53.107222</v>
      </c>
      <c r="H1887" s="11">
        <v>1</v>
      </c>
    </row>
    <row r="1888" spans="6:8" x14ac:dyDescent="0.3">
      <c r="F1888" s="11">
        <v>-9.2536109999999994</v>
      </c>
      <c r="G1888" s="11">
        <v>53.150278</v>
      </c>
      <c r="H1888" s="11">
        <v>1</v>
      </c>
    </row>
    <row r="1889" spans="6:8" x14ac:dyDescent="0.3">
      <c r="F1889" s="11">
        <v>-9.1766670000000001</v>
      </c>
      <c r="G1889" s="11">
        <v>53.126944000000002</v>
      </c>
      <c r="H1889" s="11">
        <v>1</v>
      </c>
    </row>
    <row r="1890" spans="6:8" x14ac:dyDescent="0.3">
      <c r="F1890" s="11">
        <v>-9.0963890000000003</v>
      </c>
      <c r="G1890" s="11">
        <v>53.134444000000002</v>
      </c>
      <c r="H1890" s="11">
        <v>1</v>
      </c>
    </row>
    <row r="1891" spans="6:8" x14ac:dyDescent="0.3">
      <c r="F1891" s="11">
        <v>-9.0877780000000001</v>
      </c>
      <c r="G1891" s="11">
        <v>53.152500000000003</v>
      </c>
      <c r="H1891" s="11">
        <v>1</v>
      </c>
    </row>
    <row r="1892" spans="6:8" x14ac:dyDescent="0.3">
      <c r="F1892" s="11">
        <v>-8.9966670000000004</v>
      </c>
      <c r="G1892" s="11">
        <v>53.143889000000001</v>
      </c>
      <c r="H1892" s="11">
        <v>1</v>
      </c>
    </row>
    <row r="1893" spans="6:8" x14ac:dyDescent="0.3">
      <c r="F1893" s="11">
        <v>-9.072222</v>
      </c>
      <c r="G1893" s="11">
        <v>53.159722000000002</v>
      </c>
      <c r="H1893" s="11">
        <v>1</v>
      </c>
    </row>
    <row r="1894" spans="6:8" x14ac:dyDescent="0.3">
      <c r="F1894" s="11">
        <v>-8.9849999999999994</v>
      </c>
      <c r="G1894" s="11">
        <v>53.167499999999997</v>
      </c>
      <c r="H1894" s="11">
        <v>1</v>
      </c>
    </row>
    <row r="1895" spans="6:8" x14ac:dyDescent="0.3">
      <c r="F1895" s="11">
        <v>-8.9397219999999997</v>
      </c>
      <c r="G1895" s="11">
        <v>53.138610999999997</v>
      </c>
      <c r="H1895" s="11">
        <v>1</v>
      </c>
    </row>
    <row r="1896" spans="6:8" x14ac:dyDescent="0.3">
      <c r="F1896" s="11">
        <v>-8.9402779999999993</v>
      </c>
      <c r="G1896" s="11">
        <v>53.173889000000003</v>
      </c>
      <c r="H1896" s="11">
        <v>1</v>
      </c>
    </row>
    <row r="1897" spans="6:8" x14ac:dyDescent="0.3">
      <c r="F1897" s="11">
        <v>-8.9005559999999999</v>
      </c>
      <c r="G1897" s="11">
        <v>53.216388999999999</v>
      </c>
      <c r="H1897" s="11">
        <v>1</v>
      </c>
    </row>
    <row r="1898" spans="6:8" x14ac:dyDescent="0.3">
      <c r="F1898" s="11">
        <v>-8.9766670000000008</v>
      </c>
      <c r="G1898" s="11">
        <v>53.211666999999998</v>
      </c>
      <c r="H1898" s="11">
        <v>1</v>
      </c>
    </row>
    <row r="1899" spans="6:8" x14ac:dyDescent="0.3">
      <c r="F1899" s="11">
        <v>-8.9725000000000001</v>
      </c>
      <c r="G1899" s="11">
        <v>53.237222000000003</v>
      </c>
      <c r="H1899" s="11">
        <v>1</v>
      </c>
    </row>
    <row r="1900" spans="6:8" x14ac:dyDescent="0.3">
      <c r="F1900" s="11">
        <v>-8.9480559999999993</v>
      </c>
      <c r="G1900" s="11">
        <v>53.266944000000002</v>
      </c>
      <c r="H1900" s="11">
        <v>1</v>
      </c>
    </row>
    <row r="1901" spans="6:8" x14ac:dyDescent="0.3">
      <c r="F1901" s="11">
        <v>-9.0352779999999999</v>
      </c>
      <c r="G1901" s="11">
        <v>53.264721999999999</v>
      </c>
      <c r="H1901" s="11">
        <v>1</v>
      </c>
    </row>
    <row r="1902" spans="6:8" x14ac:dyDescent="0.3">
      <c r="F1902" s="11">
        <v>-9.1194439999999997</v>
      </c>
      <c r="G1902" s="11">
        <v>53.247500000000002</v>
      </c>
      <c r="H1902" s="11">
        <v>1</v>
      </c>
    </row>
    <row r="1903" spans="6:8" x14ac:dyDescent="0.3">
      <c r="F1903" s="11">
        <v>-9.2191670000000006</v>
      </c>
      <c r="G1903" s="11">
        <v>53.240833000000002</v>
      </c>
      <c r="H1903" s="11">
        <v>1</v>
      </c>
    </row>
    <row r="1904" spans="6:8" x14ac:dyDescent="0.3">
      <c r="F1904" s="11">
        <v>-9.3213889999999999</v>
      </c>
      <c r="G1904" s="11">
        <v>53.234444000000003</v>
      </c>
      <c r="H1904" s="11">
        <v>1</v>
      </c>
    </row>
    <row r="1905" spans="6:8" x14ac:dyDescent="0.3">
      <c r="F1905" s="11">
        <v>-9.4224999999999994</v>
      </c>
      <c r="G1905" s="11">
        <v>53.228611000000001</v>
      </c>
      <c r="H1905" s="11">
        <v>1</v>
      </c>
    </row>
    <row r="1906" spans="6:8" x14ac:dyDescent="0.3">
      <c r="F1906" s="11">
        <v>-9.5202779999999994</v>
      </c>
      <c r="G1906" s="11">
        <v>53.226111000000003</v>
      </c>
      <c r="H1906" s="11">
        <v>1</v>
      </c>
    </row>
    <row r="1907" spans="6:8" x14ac:dyDescent="0.3">
      <c r="F1907" s="11">
        <v>-9.5555559999999993</v>
      </c>
      <c r="G1907" s="11">
        <v>53.262222000000001</v>
      </c>
      <c r="H1907" s="11">
        <v>1</v>
      </c>
    </row>
    <row r="1908" spans="6:8" x14ac:dyDescent="0.3">
      <c r="F1908" s="11">
        <v>-9.5736109999999996</v>
      </c>
      <c r="G1908" s="11">
        <v>53.249167</v>
      </c>
      <c r="H1908" s="11">
        <v>1</v>
      </c>
    </row>
    <row r="1909" spans="6:8" x14ac:dyDescent="0.3">
      <c r="F1909" s="11">
        <v>-9.6274999999999995</v>
      </c>
      <c r="G1909" s="11">
        <v>53.25</v>
      </c>
      <c r="H1909" s="11">
        <v>1</v>
      </c>
    </row>
    <row r="1910" spans="6:8" x14ac:dyDescent="0.3">
      <c r="F1910" s="11">
        <v>-9.6097219999999997</v>
      </c>
      <c r="G1910" s="11">
        <v>53.301389</v>
      </c>
      <c r="H1910" s="11">
        <v>1</v>
      </c>
    </row>
    <row r="1911" spans="6:8" x14ac:dyDescent="0.3">
      <c r="F1911" s="11">
        <v>-9.572222</v>
      </c>
      <c r="G1911" s="11">
        <v>53.339722000000002</v>
      </c>
      <c r="H1911" s="11">
        <v>1</v>
      </c>
    </row>
    <row r="1912" spans="6:8" x14ac:dyDescent="0.3">
      <c r="F1912" s="11">
        <v>-9.6008329999999997</v>
      </c>
      <c r="G1912" s="11">
        <v>53.336944000000003</v>
      </c>
      <c r="H1912" s="11">
        <v>1</v>
      </c>
    </row>
    <row r="1913" spans="6:8" x14ac:dyDescent="0.3">
      <c r="F1913" s="11">
        <v>-9.6536109999999997</v>
      </c>
      <c r="G1913" s="11">
        <v>53.338889000000002</v>
      </c>
      <c r="H1913" s="11">
        <v>1</v>
      </c>
    </row>
    <row r="1914" spans="6:8" x14ac:dyDescent="0.3">
      <c r="F1914" s="11">
        <v>-9.644444</v>
      </c>
      <c r="G1914" s="11">
        <v>53.378332999999998</v>
      </c>
      <c r="H1914" s="11">
        <v>1</v>
      </c>
    </row>
    <row r="1915" spans="6:8" x14ac:dyDescent="0.3">
      <c r="F1915" s="11">
        <v>-9.7038890000000002</v>
      </c>
      <c r="G1915" s="11">
        <v>53.346944000000001</v>
      </c>
      <c r="H1915" s="11">
        <v>1</v>
      </c>
    </row>
    <row r="1916" spans="6:8" x14ac:dyDescent="0.3">
      <c r="F1916" s="11">
        <v>-9.7436109999999996</v>
      </c>
      <c r="G1916" s="11">
        <v>53.302500000000002</v>
      </c>
      <c r="H1916" s="11">
        <v>1</v>
      </c>
    </row>
    <row r="1917" spans="6:8" x14ac:dyDescent="0.3">
      <c r="F1917" s="11">
        <v>-9.8216669999999997</v>
      </c>
      <c r="G1917" s="11">
        <v>53.309722000000001</v>
      </c>
      <c r="H1917" s="11">
        <v>1</v>
      </c>
    </row>
    <row r="1918" spans="6:8" x14ac:dyDescent="0.3">
      <c r="F1918" s="11">
        <v>-9.8949999999999996</v>
      </c>
      <c r="G1918" s="11">
        <v>53.313889000000003</v>
      </c>
      <c r="H1918" s="11">
        <v>1</v>
      </c>
    </row>
    <row r="1919" spans="6:8" x14ac:dyDescent="0.3">
      <c r="F1919" s="11">
        <v>-9.891667</v>
      </c>
      <c r="G1919" s="11">
        <v>53.351111000000003</v>
      </c>
      <c r="H1919" s="11">
        <v>1</v>
      </c>
    </row>
    <row r="1920" spans="6:8" x14ac:dyDescent="0.3">
      <c r="F1920" s="11">
        <v>-9.8288890000000002</v>
      </c>
      <c r="G1920" s="11">
        <v>53.372777999999997</v>
      </c>
      <c r="H1920" s="11">
        <v>1</v>
      </c>
    </row>
    <row r="1921" spans="6:8" x14ac:dyDescent="0.3">
      <c r="F1921" s="11">
        <v>-9.8044440000000002</v>
      </c>
      <c r="G1921" s="11">
        <v>53.395000000000003</v>
      </c>
      <c r="H1921" s="11">
        <v>1</v>
      </c>
    </row>
    <row r="1922" spans="6:8" x14ac:dyDescent="0.3">
      <c r="F1922" s="11">
        <v>-9.8308330000000002</v>
      </c>
      <c r="G1922" s="11">
        <v>53.412222</v>
      </c>
      <c r="H1922" s="11">
        <v>1</v>
      </c>
    </row>
    <row r="1923" spans="6:8" x14ac:dyDescent="0.3">
      <c r="F1923" s="11">
        <v>-9.8761109999999999</v>
      </c>
      <c r="G1923" s="11">
        <v>53.410832999999997</v>
      </c>
      <c r="H1923" s="11">
        <v>1</v>
      </c>
    </row>
    <row r="1924" spans="6:8" x14ac:dyDescent="0.3">
      <c r="F1924" s="11">
        <v>-9.9152780000000007</v>
      </c>
      <c r="G1924" s="11">
        <v>53.412500000000001</v>
      </c>
      <c r="H1924" s="11">
        <v>1</v>
      </c>
    </row>
    <row r="1925" spans="6:8" x14ac:dyDescent="0.3">
      <c r="F1925" s="11">
        <v>-9.9594439999999995</v>
      </c>
      <c r="G1925" s="11">
        <v>53.37</v>
      </c>
      <c r="H1925" s="11">
        <v>1</v>
      </c>
    </row>
    <row r="1926" spans="6:8" x14ac:dyDescent="0.3">
      <c r="F1926" s="11">
        <v>-10.034167</v>
      </c>
      <c r="G1926" s="11">
        <v>53.387222000000001</v>
      </c>
      <c r="H1926" s="11">
        <v>1</v>
      </c>
    </row>
    <row r="1927" spans="6:8" x14ac:dyDescent="0.3">
      <c r="F1927" s="11">
        <v>-10.081111</v>
      </c>
      <c r="G1927" s="11">
        <v>53.416666999999997</v>
      </c>
      <c r="H1927" s="11">
        <v>1</v>
      </c>
    </row>
    <row r="1928" spans="6:8" x14ac:dyDescent="0.3">
      <c r="F1928" s="11">
        <v>-10.143333</v>
      </c>
      <c r="G1928" s="11">
        <v>53.417777999999998</v>
      </c>
      <c r="H1928" s="11">
        <v>1</v>
      </c>
    </row>
    <row r="1929" spans="6:8" x14ac:dyDescent="0.3">
      <c r="F1929" s="11">
        <v>-10.168889</v>
      </c>
      <c r="G1929" s="11">
        <v>53.432499999999997</v>
      </c>
      <c r="H1929" s="11">
        <v>1</v>
      </c>
    </row>
    <row r="1930" spans="6:8" x14ac:dyDescent="0.3">
      <c r="F1930" s="11">
        <v>-10.104444000000001</v>
      </c>
      <c r="G1930" s="11">
        <v>53.439444000000002</v>
      </c>
      <c r="H1930" s="11">
        <v>1</v>
      </c>
    </row>
    <row r="1931" spans="6:8" x14ac:dyDescent="0.3">
      <c r="F1931" s="11">
        <v>-10.057778000000001</v>
      </c>
      <c r="G1931" s="11">
        <v>53.461111000000002</v>
      </c>
      <c r="H1931" s="11">
        <v>1</v>
      </c>
    </row>
    <row r="1932" spans="6:8" x14ac:dyDescent="0.3">
      <c r="F1932" s="11">
        <v>-10.118611</v>
      </c>
      <c r="G1932" s="11">
        <v>53.4925</v>
      </c>
      <c r="H1932" s="11">
        <v>1</v>
      </c>
    </row>
    <row r="1933" spans="6:8" x14ac:dyDescent="0.3">
      <c r="F1933" s="11">
        <v>-10.146388999999999</v>
      </c>
      <c r="G1933" s="11">
        <v>53.526111</v>
      </c>
      <c r="H1933" s="11">
        <v>1</v>
      </c>
    </row>
    <row r="1934" spans="6:8" x14ac:dyDescent="0.3">
      <c r="F1934" s="11">
        <v>-10.194444000000001</v>
      </c>
      <c r="G1934" s="11">
        <v>53.546111000000003</v>
      </c>
      <c r="H1934" s="11">
        <v>1</v>
      </c>
    </row>
    <row r="1935" spans="6:8" x14ac:dyDescent="0.3">
      <c r="F1935" s="11">
        <v>-10.111943999999999</v>
      </c>
      <c r="G1935" s="11">
        <v>53.550277999999999</v>
      </c>
      <c r="H1935" s="11">
        <v>1</v>
      </c>
    </row>
    <row r="1936" spans="6:8" x14ac:dyDescent="0.3">
      <c r="F1936" s="11">
        <v>-10.064722</v>
      </c>
      <c r="G1936" s="11">
        <v>53.563889000000003</v>
      </c>
      <c r="H1936" s="11">
        <v>1</v>
      </c>
    </row>
    <row r="1937" spans="6:8" x14ac:dyDescent="0.3">
      <c r="F1937" s="11">
        <v>-10.032778</v>
      </c>
      <c r="G1937" s="11">
        <v>53.580556000000001</v>
      </c>
      <c r="H1937" s="11">
        <v>1</v>
      </c>
    </row>
    <row r="1938" spans="6:8" x14ac:dyDescent="0.3">
      <c r="F1938" s="11">
        <v>-9.9988890000000001</v>
      </c>
      <c r="G1938" s="11">
        <v>53.607500000000002</v>
      </c>
      <c r="H1938" s="11">
        <v>1</v>
      </c>
    </row>
    <row r="1939" spans="6:8" x14ac:dyDescent="0.3">
      <c r="F1939" s="11">
        <v>-9.9127779999999994</v>
      </c>
      <c r="G1939" s="11">
        <v>53.599443999999998</v>
      </c>
      <c r="H1939" s="11">
        <v>1</v>
      </c>
    </row>
    <row r="1940" spans="6:8" x14ac:dyDescent="0.3">
      <c r="F1940" s="11">
        <v>-9.8908330000000007</v>
      </c>
      <c r="G1940" s="11">
        <v>53.640833000000001</v>
      </c>
      <c r="H1940" s="11">
        <v>1</v>
      </c>
    </row>
    <row r="1941" spans="6:8" x14ac:dyDescent="0.3">
      <c r="F1941" s="11">
        <v>-9.9183330000000005</v>
      </c>
      <c r="G1941" s="11">
        <v>53.682222000000003</v>
      </c>
      <c r="H1941" s="11">
        <v>1</v>
      </c>
    </row>
    <row r="1942" spans="6:8" x14ac:dyDescent="0.3">
      <c r="F1942" s="11">
        <v>-9.9069439999999993</v>
      </c>
      <c r="G1942" s="11">
        <v>53.736944000000001</v>
      </c>
      <c r="H1942" s="11">
        <v>1</v>
      </c>
    </row>
    <row r="1943" spans="6:8" x14ac:dyDescent="0.3">
      <c r="F1943" s="11">
        <v>-9.8458330000000007</v>
      </c>
      <c r="G1943" s="11">
        <v>53.765833000000001</v>
      </c>
      <c r="H1943" s="11">
        <v>1</v>
      </c>
    </row>
    <row r="1944" spans="6:8" x14ac:dyDescent="0.3">
      <c r="F1944" s="11">
        <v>-9.7572220000000005</v>
      </c>
      <c r="G1944" s="11">
        <v>53.770277999999998</v>
      </c>
      <c r="H1944" s="11">
        <v>1</v>
      </c>
    </row>
    <row r="1945" spans="6:8" x14ac:dyDescent="0.3">
      <c r="F1945" s="11">
        <v>-9.6658329999999992</v>
      </c>
      <c r="G1945" s="11">
        <v>53.776667000000003</v>
      </c>
      <c r="H1945" s="11">
        <v>1</v>
      </c>
    </row>
    <row r="1946" spans="6:8" x14ac:dyDescent="0.3">
      <c r="F1946" s="11">
        <v>-9.5827779999999994</v>
      </c>
      <c r="G1946" s="11">
        <v>53.778888999999999</v>
      </c>
      <c r="H1946" s="11">
        <v>1</v>
      </c>
    </row>
    <row r="1947" spans="6:8" x14ac:dyDescent="0.3">
      <c r="F1947" s="11">
        <v>-9.5805559999999996</v>
      </c>
      <c r="G1947" s="11">
        <v>53.8</v>
      </c>
      <c r="H1947" s="11">
        <v>1</v>
      </c>
    </row>
    <row r="1948" spans="6:8" x14ac:dyDescent="0.3">
      <c r="F1948" s="11">
        <v>-9.5988889999999998</v>
      </c>
      <c r="G1948" s="11">
        <v>53.827221999999999</v>
      </c>
      <c r="H1948" s="11">
        <v>1</v>
      </c>
    </row>
    <row r="1949" spans="6:8" x14ac:dyDescent="0.3">
      <c r="F1949" s="11">
        <v>-9.5716669999999997</v>
      </c>
      <c r="G1949" s="11">
        <v>53.854444000000001</v>
      </c>
      <c r="H1949" s="11">
        <v>1</v>
      </c>
    </row>
    <row r="1950" spans="6:8" x14ac:dyDescent="0.3">
      <c r="F1950" s="11">
        <v>-9.5705559999999998</v>
      </c>
      <c r="G1950" s="11">
        <v>53.884444000000002</v>
      </c>
      <c r="H1950" s="11">
        <v>1</v>
      </c>
    </row>
    <row r="1951" spans="6:8" x14ac:dyDescent="0.3">
      <c r="F1951" s="11">
        <v>-9.6402780000000003</v>
      </c>
      <c r="G1951" s="11">
        <v>53.890833000000001</v>
      </c>
      <c r="H1951" s="11">
        <v>1</v>
      </c>
    </row>
    <row r="1952" spans="6:8" x14ac:dyDescent="0.3">
      <c r="F1952" s="11">
        <v>-9.7349999999999994</v>
      </c>
      <c r="G1952" s="11">
        <v>53.892778</v>
      </c>
      <c r="H1952" s="11">
        <v>1</v>
      </c>
    </row>
    <row r="1953" spans="6:8" x14ac:dyDescent="0.3">
      <c r="F1953" s="11">
        <v>-9.8077780000000008</v>
      </c>
      <c r="G1953" s="11">
        <v>53.874721999999998</v>
      </c>
      <c r="H1953" s="11">
        <v>1</v>
      </c>
    </row>
    <row r="1954" spans="6:8" x14ac:dyDescent="0.3">
      <c r="F1954" s="11">
        <v>-9.8966670000000008</v>
      </c>
      <c r="G1954" s="11">
        <v>53.859166999999999</v>
      </c>
      <c r="H1954" s="11">
        <v>1</v>
      </c>
    </row>
    <row r="1955" spans="6:8" x14ac:dyDescent="0.3">
      <c r="F1955" s="11">
        <v>-9.9308329999999998</v>
      </c>
      <c r="G1955" s="11">
        <v>53.89</v>
      </c>
      <c r="H1955" s="11">
        <v>1</v>
      </c>
    </row>
    <row r="1956" spans="6:8" x14ac:dyDescent="0.3">
      <c r="F1956" s="11">
        <v>-9.9122219999999999</v>
      </c>
      <c r="G1956" s="11">
        <v>53.938611000000002</v>
      </c>
      <c r="H1956" s="11">
        <v>1</v>
      </c>
    </row>
    <row r="1957" spans="6:8" x14ac:dyDescent="0.3">
      <c r="F1957" s="11">
        <v>-9.8452780000000004</v>
      </c>
      <c r="G1957" s="11">
        <v>53.948332999999998</v>
      </c>
      <c r="H1957" s="11">
        <v>1</v>
      </c>
    </row>
    <row r="1958" spans="6:8" x14ac:dyDescent="0.3">
      <c r="F1958" s="11">
        <v>-9.802778</v>
      </c>
      <c r="G1958" s="11">
        <v>53.911389</v>
      </c>
      <c r="H1958" s="11">
        <v>1</v>
      </c>
    </row>
    <row r="1959" spans="6:8" x14ac:dyDescent="0.3">
      <c r="F1959" s="11">
        <v>-9.8013890000000004</v>
      </c>
      <c r="G1959" s="11">
        <v>53.952500000000001</v>
      </c>
      <c r="H1959" s="11">
        <v>1</v>
      </c>
    </row>
    <row r="1960" spans="6:8" x14ac:dyDescent="0.3">
      <c r="F1960" s="11">
        <v>-9.8424999999999994</v>
      </c>
      <c r="G1960" s="11">
        <v>53.966110999999998</v>
      </c>
      <c r="H1960" s="11">
        <v>1</v>
      </c>
    </row>
    <row r="1961" spans="6:8" x14ac:dyDescent="0.3">
      <c r="F1961" s="11">
        <v>-9.8841669999999997</v>
      </c>
      <c r="G1961" s="11">
        <v>54.003610999999999</v>
      </c>
      <c r="H1961" s="11">
        <v>1</v>
      </c>
    </row>
    <row r="1962" spans="6:8" x14ac:dyDescent="0.3">
      <c r="F1962" s="11">
        <v>-9.8969439999999995</v>
      </c>
      <c r="G1962" s="11">
        <v>54.052222</v>
      </c>
      <c r="H1962" s="11">
        <v>1</v>
      </c>
    </row>
    <row r="1963" spans="6:8" x14ac:dyDescent="0.3">
      <c r="F1963" s="11">
        <v>-9.8766669999999994</v>
      </c>
      <c r="G1963" s="11">
        <v>54.08</v>
      </c>
      <c r="H1963" s="11">
        <v>1</v>
      </c>
    </row>
    <row r="1964" spans="6:8" x14ac:dyDescent="0.3">
      <c r="F1964" s="11">
        <v>-9.8369440000000008</v>
      </c>
      <c r="G1964" s="11">
        <v>54.111389000000003</v>
      </c>
      <c r="H1964" s="11">
        <v>1</v>
      </c>
    </row>
    <row r="1965" spans="6:8" x14ac:dyDescent="0.3">
      <c r="F1965" s="11">
        <v>-9.8913890000000002</v>
      </c>
      <c r="G1965" s="11">
        <v>54.085555999999997</v>
      </c>
      <c r="H1965" s="11">
        <v>1</v>
      </c>
    </row>
    <row r="1966" spans="6:8" x14ac:dyDescent="0.3">
      <c r="F1966" s="11">
        <v>-9.9613890000000005</v>
      </c>
      <c r="G1966" s="11">
        <v>54.063056000000003</v>
      </c>
      <c r="H1966" s="11">
        <v>1</v>
      </c>
    </row>
    <row r="1967" spans="6:8" x14ac:dyDescent="0.3">
      <c r="F1967" s="11">
        <v>-9.9705560000000002</v>
      </c>
      <c r="G1967" s="11">
        <v>54.102778000000001</v>
      </c>
      <c r="H1967" s="11">
        <v>1</v>
      </c>
    </row>
    <row r="1968" spans="6:8" x14ac:dyDescent="0.3">
      <c r="F1968" s="11">
        <v>-9.9263890000000004</v>
      </c>
      <c r="G1968" s="11">
        <v>54.124443999999997</v>
      </c>
      <c r="H1968" s="11">
        <v>1</v>
      </c>
    </row>
    <row r="1969" spans="6:8" x14ac:dyDescent="0.3">
      <c r="F1969" s="11">
        <v>-9.9350000000000005</v>
      </c>
      <c r="G1969" s="11">
        <v>54.149166999999998</v>
      </c>
      <c r="H1969" s="11">
        <v>1</v>
      </c>
    </row>
    <row r="1970" spans="6:8" x14ac:dyDescent="0.3">
      <c r="F1970" s="11">
        <v>-9.9502780000000008</v>
      </c>
      <c r="G1970" s="11">
        <v>54.170555999999998</v>
      </c>
      <c r="H1970" s="11">
        <v>1</v>
      </c>
    </row>
    <row r="1971" spans="6:8" x14ac:dyDescent="0.3">
      <c r="F1971" s="11">
        <v>-9.9774999999999991</v>
      </c>
      <c r="G1971" s="11">
        <v>54.199444</v>
      </c>
      <c r="H1971" s="11">
        <v>1</v>
      </c>
    </row>
    <row r="1972" spans="6:8" x14ac:dyDescent="0.3">
      <c r="F1972" s="11">
        <v>-10.020555999999999</v>
      </c>
      <c r="G1972" s="11">
        <v>54.200277999999997</v>
      </c>
      <c r="H1972" s="11">
        <v>1</v>
      </c>
    </row>
    <row r="1973" spans="6:8" x14ac:dyDescent="0.3">
      <c r="F1973" s="11">
        <v>-10.0525</v>
      </c>
      <c r="G1973" s="11">
        <v>54.176667000000002</v>
      </c>
      <c r="H1973" s="11">
        <v>1</v>
      </c>
    </row>
    <row r="1974" spans="6:8" x14ac:dyDescent="0.3">
      <c r="F1974" s="11">
        <v>-10.077222000000001</v>
      </c>
      <c r="G1974" s="11">
        <v>54.148055999999997</v>
      </c>
      <c r="H1974" s="11">
        <v>1</v>
      </c>
    </row>
    <row r="1975" spans="6:8" x14ac:dyDescent="0.3">
      <c r="F1975" s="11">
        <v>-10.091388999999999</v>
      </c>
      <c r="G1975" s="11">
        <v>54.115833000000002</v>
      </c>
      <c r="H1975" s="11">
        <v>1</v>
      </c>
    </row>
    <row r="1976" spans="6:8" x14ac:dyDescent="0.3">
      <c r="F1976" s="11">
        <v>-10.099722</v>
      </c>
      <c r="G1976" s="11">
        <v>54.088332999999999</v>
      </c>
      <c r="H1976" s="11">
        <v>1</v>
      </c>
    </row>
    <row r="1977" spans="6:8" x14ac:dyDescent="0.3">
      <c r="F1977" s="11">
        <v>-10.1175</v>
      </c>
      <c r="G1977" s="11">
        <v>54.133333</v>
      </c>
      <c r="H1977" s="11">
        <v>1</v>
      </c>
    </row>
    <row r="1978" spans="6:8" x14ac:dyDescent="0.3">
      <c r="F1978" s="11">
        <v>-10.092777999999999</v>
      </c>
      <c r="G1978" s="11">
        <v>54.185277999999997</v>
      </c>
      <c r="H1978" s="11">
        <v>1</v>
      </c>
    </row>
    <row r="1979" spans="6:8" x14ac:dyDescent="0.3">
      <c r="F1979" s="11">
        <v>-10.082777999999999</v>
      </c>
      <c r="G1979" s="11">
        <v>54.22</v>
      </c>
      <c r="H1979" s="11">
        <v>1</v>
      </c>
    </row>
    <row r="1980" spans="6:8" x14ac:dyDescent="0.3">
      <c r="F1980" s="11">
        <v>-10.083610999999999</v>
      </c>
      <c r="G1980" s="11">
        <v>54.249443999999997</v>
      </c>
      <c r="H1980" s="11">
        <v>1</v>
      </c>
    </row>
    <row r="1981" spans="6:8" x14ac:dyDescent="0.3">
      <c r="H1981" s="11">
        <v>1</v>
      </c>
    </row>
    <row r="1982" spans="6:8" x14ac:dyDescent="0.3">
      <c r="F1982" s="11">
        <v>-10.022500000000001</v>
      </c>
      <c r="G1982" s="11">
        <v>54.286389</v>
      </c>
      <c r="H1982" s="11">
        <v>1</v>
      </c>
    </row>
    <row r="1983" spans="6:8" x14ac:dyDescent="0.3">
      <c r="F1983" s="11">
        <v>-9.9794440000000009</v>
      </c>
      <c r="G1983" s="11">
        <v>54.275556000000002</v>
      </c>
      <c r="H1983" s="11">
        <v>1</v>
      </c>
    </row>
    <row r="1984" spans="6:8" x14ac:dyDescent="0.3">
      <c r="F1984" s="11">
        <v>-9.9102779999999999</v>
      </c>
      <c r="G1984" s="11">
        <v>54.255277999999997</v>
      </c>
      <c r="H1984" s="11">
        <v>1</v>
      </c>
    </row>
    <row r="1985" spans="6:8" x14ac:dyDescent="0.3">
      <c r="F1985" s="11">
        <v>-9.9433330000000009</v>
      </c>
      <c r="G1985" s="11">
        <v>54.219444000000003</v>
      </c>
      <c r="H1985" s="11">
        <v>1</v>
      </c>
    </row>
    <row r="1986" spans="6:8" x14ac:dyDescent="0.3">
      <c r="F1986" s="11">
        <v>-9.9794440000000009</v>
      </c>
      <c r="G1986" s="11">
        <v>54.219721999999997</v>
      </c>
      <c r="H1986" s="11">
        <v>1</v>
      </c>
    </row>
    <row r="1987" spans="6:8" x14ac:dyDescent="0.3">
      <c r="F1987" s="11">
        <v>-9.8888890000000007</v>
      </c>
      <c r="G1987" s="11">
        <v>54.210555999999997</v>
      </c>
      <c r="H1987" s="11">
        <v>1</v>
      </c>
    </row>
    <row r="1988" spans="6:8" x14ac:dyDescent="0.3">
      <c r="F1988" s="11">
        <v>-9.8774999999999995</v>
      </c>
      <c r="G1988" s="11">
        <v>54.255000000000003</v>
      </c>
      <c r="H1988" s="11">
        <v>1</v>
      </c>
    </row>
    <row r="1989" spans="6:8" x14ac:dyDescent="0.3">
      <c r="F1989" s="11">
        <v>-9.8058329999999998</v>
      </c>
      <c r="G1989" s="11">
        <v>54.265555999999997</v>
      </c>
      <c r="H1989" s="11">
        <v>1</v>
      </c>
    </row>
    <row r="1990" spans="6:8" x14ac:dyDescent="0.3">
      <c r="F1990" s="11">
        <v>-9.7922220000000006</v>
      </c>
      <c r="G1990" s="11">
        <v>54.272500000000001</v>
      </c>
      <c r="H1990" s="11">
        <v>1</v>
      </c>
    </row>
    <row r="1991" spans="6:8" x14ac:dyDescent="0.3">
      <c r="F1991" s="11">
        <v>-9.8466670000000001</v>
      </c>
      <c r="G1991" s="11">
        <v>54.293889</v>
      </c>
      <c r="H1991" s="11">
        <v>1</v>
      </c>
    </row>
    <row r="1992" spans="6:8" x14ac:dyDescent="0.3">
      <c r="F1992" s="11">
        <v>-9.8377780000000001</v>
      </c>
      <c r="G1992" s="11">
        <v>54.328611000000002</v>
      </c>
      <c r="H1992" s="11">
        <v>1</v>
      </c>
    </row>
    <row r="1993" spans="6:8" x14ac:dyDescent="0.3">
      <c r="F1993" s="11">
        <v>-9.7522219999999997</v>
      </c>
      <c r="G1993" s="11">
        <v>54.331111</v>
      </c>
      <c r="H1993" s="11">
        <v>1</v>
      </c>
    </row>
    <row r="1994" spans="6:8" x14ac:dyDescent="0.3">
      <c r="F1994" s="11">
        <v>-9.6702779999999997</v>
      </c>
      <c r="G1994" s="11">
        <v>54.310555999999998</v>
      </c>
      <c r="H1994" s="11">
        <v>1</v>
      </c>
    </row>
    <row r="1995" spans="6:8" x14ac:dyDescent="0.3">
      <c r="F1995" s="11">
        <v>-9.5836109999999994</v>
      </c>
      <c r="G1995" s="11">
        <v>54.315832999999998</v>
      </c>
      <c r="H1995" s="11">
        <v>1</v>
      </c>
    </row>
    <row r="1996" spans="6:8" x14ac:dyDescent="0.3">
      <c r="F1996" s="11">
        <v>-9.5116669999999992</v>
      </c>
      <c r="G1996" s="11">
        <v>54.314999999999998</v>
      </c>
      <c r="H1996" s="11">
        <v>1</v>
      </c>
    </row>
    <row r="1997" spans="6:8" x14ac:dyDescent="0.3">
      <c r="F1997" s="11">
        <v>-9.4255560000000003</v>
      </c>
      <c r="G1997" s="11">
        <v>54.306666999999997</v>
      </c>
      <c r="H1997" s="11">
        <v>1</v>
      </c>
    </row>
    <row r="1998" spans="6:8" x14ac:dyDescent="0.3">
      <c r="F1998" s="11">
        <v>-9.3574999999999999</v>
      </c>
      <c r="G1998" s="11">
        <v>54.306111000000001</v>
      </c>
      <c r="H1998" s="11">
        <v>1</v>
      </c>
    </row>
    <row r="1999" spans="6:8" x14ac:dyDescent="0.3">
      <c r="F1999" s="11">
        <v>-9.2836110000000005</v>
      </c>
      <c r="G1999" s="11">
        <v>54.305278000000001</v>
      </c>
      <c r="H1999" s="11">
        <v>1</v>
      </c>
    </row>
    <row r="2000" spans="6:8" x14ac:dyDescent="0.3">
      <c r="F2000" s="11">
        <v>-9.2469439999999992</v>
      </c>
      <c r="G2000" s="11">
        <v>54.269444</v>
      </c>
      <c r="H2000" s="11">
        <v>1</v>
      </c>
    </row>
    <row r="2001" spans="6:8" x14ac:dyDescent="0.3">
      <c r="F2001" s="11">
        <v>-9.2125000000000004</v>
      </c>
      <c r="G2001" s="11">
        <v>54.249167</v>
      </c>
      <c r="H2001" s="11">
        <v>1</v>
      </c>
    </row>
    <row r="2002" spans="6:8" x14ac:dyDescent="0.3">
      <c r="F2002" s="11">
        <v>-9.2200000000000006</v>
      </c>
      <c r="G2002" s="11">
        <v>54.217222</v>
      </c>
      <c r="H2002" s="11">
        <v>1</v>
      </c>
    </row>
    <row r="2003" spans="6:8" x14ac:dyDescent="0.3">
      <c r="F2003" s="11">
        <v>-9.1580560000000002</v>
      </c>
      <c r="G2003" s="11">
        <v>54.185555999999998</v>
      </c>
      <c r="H2003" s="11">
        <v>1</v>
      </c>
    </row>
    <row r="2004" spans="6:8" x14ac:dyDescent="0.3">
      <c r="F2004" s="11">
        <v>-9.1138890000000004</v>
      </c>
      <c r="G2004" s="11">
        <v>54.195</v>
      </c>
      <c r="H2004" s="11">
        <v>1</v>
      </c>
    </row>
    <row r="2005" spans="6:8" x14ac:dyDescent="0.3">
      <c r="F2005" s="11">
        <v>-9.0802779999999998</v>
      </c>
      <c r="G2005" s="11">
        <v>54.238056</v>
      </c>
      <c r="H2005" s="11">
        <v>1</v>
      </c>
    </row>
    <row r="2006" spans="6:8" x14ac:dyDescent="0.3">
      <c r="F2006" s="11">
        <v>-9.0497219999999992</v>
      </c>
      <c r="G2006" s="11">
        <v>54.286943999999998</v>
      </c>
      <c r="H2006" s="11">
        <v>1</v>
      </c>
    </row>
    <row r="2007" spans="6:8" x14ac:dyDescent="0.3">
      <c r="F2007" s="11">
        <v>-8.9447220000000005</v>
      </c>
      <c r="G2007" s="11">
        <v>54.286110999999998</v>
      </c>
      <c r="H2007" s="11">
        <v>1</v>
      </c>
    </row>
    <row r="2008" spans="6:8" x14ac:dyDescent="0.3">
      <c r="F2008" s="11">
        <v>-8.8722220000000007</v>
      </c>
      <c r="G2008" s="11">
        <v>54.260556000000001</v>
      </c>
      <c r="H2008" s="11">
        <v>1</v>
      </c>
    </row>
    <row r="2009" spans="6:8" x14ac:dyDescent="0.3">
      <c r="F2009" s="11">
        <v>-8.7908329999999992</v>
      </c>
      <c r="G2009" s="11">
        <v>54.263610999999997</v>
      </c>
      <c r="H2009" s="11">
        <v>1</v>
      </c>
    </row>
    <row r="2010" spans="6:8" x14ac:dyDescent="0.3">
      <c r="F2010" s="11">
        <v>-8.713889</v>
      </c>
      <c r="G2010" s="11">
        <v>54.263055999999999</v>
      </c>
      <c r="H2010" s="11">
        <v>1</v>
      </c>
    </row>
    <row r="2011" spans="6:8" x14ac:dyDescent="0.3">
      <c r="F2011" s="11">
        <v>-8.6461109999999994</v>
      </c>
      <c r="G2011" s="11">
        <v>54.243611000000001</v>
      </c>
      <c r="H2011" s="11">
        <v>1</v>
      </c>
    </row>
    <row r="2012" spans="6:8" x14ac:dyDescent="0.3">
      <c r="F2012" s="11">
        <v>-8.5877780000000001</v>
      </c>
      <c r="G2012" s="11">
        <v>54.208610999999998</v>
      </c>
      <c r="H2012" s="11">
        <v>1</v>
      </c>
    </row>
    <row r="2013" spans="6:8" x14ac:dyDescent="0.3">
      <c r="F2013" s="11">
        <v>-8.5116669999999992</v>
      </c>
      <c r="G2013" s="11">
        <v>54.208333000000003</v>
      </c>
      <c r="H2013" s="11">
        <v>1</v>
      </c>
    </row>
    <row r="2014" spans="6:8" x14ac:dyDescent="0.3">
      <c r="F2014" s="11">
        <v>-8.5741669999999992</v>
      </c>
      <c r="G2014" s="11">
        <v>54.240833000000002</v>
      </c>
      <c r="H2014" s="11">
        <v>1</v>
      </c>
    </row>
    <row r="2015" spans="6:8" x14ac:dyDescent="0.3">
      <c r="F2015" s="11">
        <v>-8.5963890000000003</v>
      </c>
      <c r="G2015" s="11">
        <v>54.273611000000002</v>
      </c>
      <c r="H2015" s="11">
        <v>1</v>
      </c>
    </row>
    <row r="2016" spans="6:8" x14ac:dyDescent="0.3">
      <c r="F2016" s="11">
        <v>-8.5127780000000008</v>
      </c>
      <c r="G2016" s="11">
        <v>54.273333000000001</v>
      </c>
      <c r="H2016" s="11">
        <v>1</v>
      </c>
    </row>
    <row r="2017" spans="6:8" x14ac:dyDescent="0.3">
      <c r="F2017" s="11">
        <v>-8.5036109999999994</v>
      </c>
      <c r="G2017" s="11">
        <v>54.291389000000002</v>
      </c>
      <c r="H2017" s="11">
        <v>1</v>
      </c>
    </row>
    <row r="2018" spans="6:8" x14ac:dyDescent="0.3">
      <c r="F2018" s="11">
        <v>-8.5661109999999994</v>
      </c>
      <c r="G2018" s="11">
        <v>54.322499999999998</v>
      </c>
      <c r="H2018" s="11">
        <v>1</v>
      </c>
    </row>
    <row r="2019" spans="6:8" x14ac:dyDescent="0.3">
      <c r="F2019" s="11">
        <v>-8.4975000000000005</v>
      </c>
      <c r="G2019" s="11">
        <v>54.314722000000003</v>
      </c>
      <c r="H2019" s="11">
        <v>1</v>
      </c>
    </row>
    <row r="2020" spans="6:8" x14ac:dyDescent="0.3">
      <c r="F2020" s="11">
        <v>-8.5811109999999999</v>
      </c>
      <c r="G2020" s="11">
        <v>54.334721999999999</v>
      </c>
      <c r="H2020" s="11">
        <v>1</v>
      </c>
    </row>
    <row r="2021" spans="6:8" x14ac:dyDescent="0.3">
      <c r="F2021" s="11">
        <v>-8.6558329999999994</v>
      </c>
      <c r="G2021" s="11">
        <v>54.322499999999998</v>
      </c>
      <c r="H2021" s="11">
        <v>1</v>
      </c>
    </row>
    <row r="2022" spans="6:8" x14ac:dyDescent="0.3">
      <c r="F2022" s="11">
        <v>-8.6627779999999994</v>
      </c>
      <c r="G2022" s="11">
        <v>54.361111000000001</v>
      </c>
      <c r="H2022" s="11">
        <v>1</v>
      </c>
    </row>
    <row r="2023" spans="6:8" x14ac:dyDescent="0.3">
      <c r="F2023" s="11">
        <v>-8.5855560000000004</v>
      </c>
      <c r="G2023" s="11">
        <v>54.378332999999998</v>
      </c>
      <c r="H2023" s="11">
        <v>1</v>
      </c>
    </row>
    <row r="2024" spans="6:8" x14ac:dyDescent="0.3">
      <c r="F2024" s="11">
        <v>-8.5272220000000001</v>
      </c>
      <c r="G2024" s="11">
        <v>54.395833000000003</v>
      </c>
      <c r="H2024" s="11">
        <v>1</v>
      </c>
    </row>
    <row r="2025" spans="6:8" x14ac:dyDescent="0.3">
      <c r="F2025" s="11">
        <v>-8.4722220000000004</v>
      </c>
      <c r="G2025" s="11">
        <v>54.431944000000001</v>
      </c>
      <c r="H2025" s="11">
        <v>1</v>
      </c>
    </row>
    <row r="2026" spans="6:8" x14ac:dyDescent="0.3">
      <c r="F2026" s="11">
        <v>-8.4444440000000007</v>
      </c>
      <c r="G2026" s="11">
        <v>54.461111000000002</v>
      </c>
      <c r="H2026" s="11">
        <v>1</v>
      </c>
    </row>
    <row r="2027" spans="6:8" x14ac:dyDescent="0.3">
      <c r="F2027" s="11">
        <v>-8.3697219999999994</v>
      </c>
      <c r="G2027" s="11">
        <v>54.460278000000002</v>
      </c>
      <c r="H2027" s="11">
        <v>1</v>
      </c>
    </row>
    <row r="2028" spans="6:8" x14ac:dyDescent="0.3">
      <c r="F2028" s="11">
        <v>-8.2788889999999995</v>
      </c>
      <c r="G2028" s="11">
        <v>54.475000000000001</v>
      </c>
      <c r="H2028" s="11">
        <v>1</v>
      </c>
    </row>
    <row r="2029" spans="6:8" x14ac:dyDescent="0.3">
      <c r="F2029" s="11">
        <v>-8.2550000000000008</v>
      </c>
      <c r="G2029" s="11">
        <v>54.523888999999997</v>
      </c>
      <c r="H2029" s="11">
        <v>1</v>
      </c>
    </row>
    <row r="2030" spans="6:8" x14ac:dyDescent="0.3">
      <c r="F2030" s="11">
        <v>-8.2088889999999992</v>
      </c>
      <c r="G2030" s="11">
        <v>54.563611000000002</v>
      </c>
      <c r="H2030" s="11">
        <v>1</v>
      </c>
    </row>
    <row r="2031" spans="6:8" x14ac:dyDescent="0.3">
      <c r="F2031" s="11">
        <v>-8.1558329999999994</v>
      </c>
      <c r="G2031" s="11">
        <v>54.601666999999999</v>
      </c>
      <c r="H2031" s="11">
        <v>1</v>
      </c>
    </row>
    <row r="2032" spans="6:8" x14ac:dyDescent="0.3">
      <c r="F2032" s="11">
        <v>-8.1180559999999993</v>
      </c>
      <c r="G2032" s="11">
        <v>54.605832999999997</v>
      </c>
      <c r="H2032" s="11">
        <v>1</v>
      </c>
    </row>
    <row r="2033" spans="6:8" x14ac:dyDescent="0.3">
      <c r="F2033" s="11">
        <v>-8.134722</v>
      </c>
      <c r="G2033" s="11">
        <v>54.639167</v>
      </c>
      <c r="H2033" s="11">
        <v>1</v>
      </c>
    </row>
    <row r="2034" spans="6:8" x14ac:dyDescent="0.3">
      <c r="F2034" s="11">
        <v>-8.2105560000000004</v>
      </c>
      <c r="G2034" s="11">
        <v>54.621389000000001</v>
      </c>
      <c r="H2034" s="11">
        <v>1</v>
      </c>
    </row>
    <row r="2035" spans="6:8" x14ac:dyDescent="0.3">
      <c r="F2035" s="11">
        <v>-8.2911110000000008</v>
      </c>
      <c r="G2035" s="11">
        <v>54.599722</v>
      </c>
      <c r="H2035" s="11">
        <v>1</v>
      </c>
    </row>
    <row r="2036" spans="6:8" x14ac:dyDescent="0.3">
      <c r="F2036" s="11">
        <v>-8.2988890000000008</v>
      </c>
      <c r="G2036" s="11">
        <v>54.638055999999999</v>
      </c>
      <c r="H2036" s="11">
        <v>1</v>
      </c>
    </row>
    <row r="2037" spans="6:8" x14ac:dyDescent="0.3">
      <c r="F2037" s="11">
        <v>-8.3633330000000008</v>
      </c>
      <c r="G2037" s="11">
        <v>54.607778000000003</v>
      </c>
      <c r="H2037" s="11">
        <v>1</v>
      </c>
    </row>
    <row r="2038" spans="6:8" x14ac:dyDescent="0.3">
      <c r="F2038" s="11">
        <v>-8.4263890000000004</v>
      </c>
      <c r="G2038" s="11">
        <v>54.575555999999999</v>
      </c>
      <c r="H2038" s="11">
        <v>1</v>
      </c>
    </row>
    <row r="2039" spans="6:8" x14ac:dyDescent="0.3">
      <c r="F2039" s="11">
        <v>-8.4463889999999999</v>
      </c>
      <c r="G2039" s="11">
        <v>54.581667000000003</v>
      </c>
      <c r="H2039" s="11">
        <v>1</v>
      </c>
    </row>
    <row r="2040" spans="6:8" x14ac:dyDescent="0.3">
      <c r="F2040" s="11">
        <v>-8.3819440000000007</v>
      </c>
      <c r="G2040" s="11">
        <v>54.612777999999999</v>
      </c>
      <c r="H2040" s="11">
        <v>1</v>
      </c>
    </row>
    <row r="2041" spans="6:8" x14ac:dyDescent="0.3">
      <c r="F2041" s="11">
        <v>-8.4516670000000005</v>
      </c>
      <c r="G2041" s="11">
        <v>54.608611000000003</v>
      </c>
      <c r="H2041" s="11">
        <v>1</v>
      </c>
    </row>
    <row r="2042" spans="6:8" x14ac:dyDescent="0.3">
      <c r="F2042" s="11">
        <v>-8.4897220000000004</v>
      </c>
      <c r="G2042" s="11">
        <v>54.620832999999998</v>
      </c>
      <c r="H2042" s="11">
        <v>1</v>
      </c>
    </row>
    <row r="2043" spans="6:8" x14ac:dyDescent="0.3">
      <c r="F2043" s="11">
        <v>-8.58</v>
      </c>
      <c r="G2043" s="11">
        <v>54.605832999999997</v>
      </c>
      <c r="H2043" s="11">
        <v>1</v>
      </c>
    </row>
    <row r="2044" spans="6:8" x14ac:dyDescent="0.3">
      <c r="F2044" s="11">
        <v>-8.6688890000000001</v>
      </c>
      <c r="G2044" s="11">
        <v>54.613610999999999</v>
      </c>
      <c r="H2044" s="11">
        <v>1</v>
      </c>
    </row>
    <row r="2045" spans="6:8" x14ac:dyDescent="0.3">
      <c r="F2045" s="11">
        <v>-8.7386110000000006</v>
      </c>
      <c r="G2045" s="11">
        <v>54.640555999999997</v>
      </c>
      <c r="H2045" s="11">
        <v>1</v>
      </c>
    </row>
    <row r="2046" spans="6:8" x14ac:dyDescent="0.3">
      <c r="F2046" s="11">
        <v>-8.7949999999999999</v>
      </c>
      <c r="G2046" s="11">
        <v>54.667222000000002</v>
      </c>
      <c r="H2046" s="11">
        <v>1</v>
      </c>
    </row>
    <row r="2047" spans="6:8" x14ac:dyDescent="0.3">
      <c r="F2047" s="11">
        <v>-8.7813890000000008</v>
      </c>
      <c r="G2047" s="11">
        <v>54.698611</v>
      </c>
      <c r="H2047" s="11">
        <v>1</v>
      </c>
    </row>
    <row r="2048" spans="6:8" x14ac:dyDescent="0.3">
      <c r="F2048" s="11">
        <v>-8.7263889999999993</v>
      </c>
      <c r="G2048" s="11">
        <v>54.732778000000003</v>
      </c>
      <c r="H2048" s="11">
        <v>1</v>
      </c>
    </row>
    <row r="2049" spans="6:8" x14ac:dyDescent="0.3">
      <c r="F2049" s="11">
        <v>-8.6633329999999997</v>
      </c>
      <c r="G2049" s="11">
        <v>54.765555999999997</v>
      </c>
      <c r="H2049" s="11">
        <v>1</v>
      </c>
    </row>
    <row r="2050" spans="6:8" x14ac:dyDescent="0.3">
      <c r="F2050" s="11">
        <v>-8.5594439999999992</v>
      </c>
      <c r="G2050" s="11">
        <v>54.765833000000001</v>
      </c>
      <c r="H2050" s="11">
        <v>1</v>
      </c>
    </row>
    <row r="2051" spans="6:8" x14ac:dyDescent="0.3">
      <c r="F2051" s="11">
        <v>-8.4747219999999999</v>
      </c>
      <c r="G2051" s="11">
        <v>54.749721999999998</v>
      </c>
      <c r="H2051" s="11">
        <v>1</v>
      </c>
    </row>
    <row r="2052" spans="6:8" x14ac:dyDescent="0.3">
      <c r="F2052" s="11">
        <v>-8.4966670000000004</v>
      </c>
      <c r="G2052" s="11">
        <v>54.768889000000001</v>
      </c>
      <c r="H2052" s="11">
        <v>1</v>
      </c>
    </row>
    <row r="2053" spans="6:8" x14ac:dyDescent="0.3">
      <c r="F2053" s="11">
        <v>-8.4888890000000004</v>
      </c>
      <c r="G2053" s="11">
        <v>54.778610999999998</v>
      </c>
      <c r="H2053" s="11">
        <v>1</v>
      </c>
    </row>
    <row r="2054" spans="6:8" x14ac:dyDescent="0.3">
      <c r="F2054" s="11">
        <v>-8.4130559999999992</v>
      </c>
      <c r="G2054" s="11">
        <v>54.755277999999997</v>
      </c>
      <c r="H2054" s="11">
        <v>1</v>
      </c>
    </row>
    <row r="2055" spans="6:8" x14ac:dyDescent="0.3">
      <c r="F2055" s="11">
        <v>-8.4627780000000001</v>
      </c>
      <c r="G2055" s="11">
        <v>54.788611000000003</v>
      </c>
      <c r="H2055" s="11">
        <v>1</v>
      </c>
    </row>
    <row r="2056" spans="6:8" x14ac:dyDescent="0.3">
      <c r="F2056" s="11">
        <v>-8.5341670000000001</v>
      </c>
      <c r="G2056" s="11">
        <v>54.816389000000001</v>
      </c>
      <c r="H2056" s="11">
        <v>1</v>
      </c>
    </row>
    <row r="2057" spans="6:8" x14ac:dyDescent="0.3">
      <c r="F2057" s="11">
        <v>-8.4980560000000001</v>
      </c>
      <c r="G2057" s="11">
        <v>54.834167000000001</v>
      </c>
      <c r="H2057" s="11">
        <v>1</v>
      </c>
    </row>
    <row r="2058" spans="6:8" x14ac:dyDescent="0.3">
      <c r="F2058" s="11">
        <v>-8.4158329999999992</v>
      </c>
      <c r="G2058" s="11">
        <v>54.841110999999998</v>
      </c>
      <c r="H2058" s="11">
        <v>1</v>
      </c>
    </row>
    <row r="2059" spans="6:8" x14ac:dyDescent="0.3">
      <c r="F2059" s="11">
        <v>-8.3255560000000006</v>
      </c>
      <c r="G2059" s="11">
        <v>54.834443999999998</v>
      </c>
      <c r="H2059" s="11">
        <v>1</v>
      </c>
    </row>
    <row r="2060" spans="6:8" x14ac:dyDescent="0.3">
      <c r="F2060" s="11">
        <v>-8.3802780000000006</v>
      </c>
      <c r="G2060" s="11">
        <v>54.86</v>
      </c>
      <c r="H2060" s="11">
        <v>1</v>
      </c>
    </row>
    <row r="2061" spans="6:8" x14ac:dyDescent="0.3">
      <c r="F2061" s="11">
        <v>-8.3147219999999997</v>
      </c>
      <c r="G2061" s="11">
        <v>54.874721999999998</v>
      </c>
      <c r="H2061" s="11">
        <v>1</v>
      </c>
    </row>
    <row r="2062" spans="6:8" x14ac:dyDescent="0.3">
      <c r="F2062" s="11">
        <v>-8.3638890000000004</v>
      </c>
      <c r="G2062" s="11">
        <v>54.893889000000001</v>
      </c>
      <c r="H2062" s="11">
        <v>1</v>
      </c>
    </row>
    <row r="2063" spans="6:8" x14ac:dyDescent="0.3">
      <c r="F2063" s="11">
        <v>-8.4258330000000008</v>
      </c>
      <c r="G2063" s="11">
        <v>54.894444</v>
      </c>
      <c r="H2063" s="11">
        <v>1</v>
      </c>
    </row>
    <row r="2064" spans="6:8" x14ac:dyDescent="0.3">
      <c r="F2064" s="11">
        <v>-8.4352780000000003</v>
      </c>
      <c r="G2064" s="11">
        <v>54.931666999999997</v>
      </c>
      <c r="H2064" s="11">
        <v>1</v>
      </c>
    </row>
    <row r="2065" spans="6:8" x14ac:dyDescent="0.3">
      <c r="F2065" s="11">
        <v>-8.3922220000000003</v>
      </c>
      <c r="G2065" s="11">
        <v>54.948611</v>
      </c>
      <c r="H2065" s="11">
        <v>1</v>
      </c>
    </row>
    <row r="2066" spans="6:8" x14ac:dyDescent="0.3">
      <c r="F2066" s="11">
        <v>-8.4427780000000006</v>
      </c>
      <c r="G2066" s="11">
        <v>54.987777999999999</v>
      </c>
      <c r="H2066" s="11">
        <v>1</v>
      </c>
    </row>
    <row r="2067" spans="6:8" x14ac:dyDescent="0.3">
      <c r="F2067" s="11">
        <v>-8.4044439999999998</v>
      </c>
      <c r="G2067" s="11">
        <v>55.014443999999997</v>
      </c>
      <c r="H2067" s="11">
        <v>1</v>
      </c>
    </row>
    <row r="2068" spans="6:8" x14ac:dyDescent="0.3">
      <c r="F2068" s="11">
        <v>-8.3480559999999997</v>
      </c>
      <c r="G2068" s="11">
        <v>55.046111000000003</v>
      </c>
      <c r="H2068" s="11">
        <v>1</v>
      </c>
    </row>
    <row r="2069" spans="6:8" x14ac:dyDescent="0.3">
      <c r="F2069" s="11">
        <v>-8.3155560000000008</v>
      </c>
      <c r="G2069" s="11">
        <v>55.065556000000001</v>
      </c>
      <c r="H2069" s="11">
        <v>1</v>
      </c>
    </row>
    <row r="2070" spans="6:8" x14ac:dyDescent="0.3">
      <c r="F2070" s="11">
        <v>-8.3180560000000003</v>
      </c>
      <c r="G2070" s="11">
        <v>55.100833000000002</v>
      </c>
      <c r="H2070" s="11">
        <v>1</v>
      </c>
    </row>
    <row r="2071" spans="6:8" x14ac:dyDescent="0.3">
      <c r="F2071" s="11">
        <v>-8.2780559999999994</v>
      </c>
      <c r="G2071" s="11">
        <v>55.147778000000002</v>
      </c>
      <c r="H2071" s="11">
        <v>1</v>
      </c>
    </row>
    <row r="2072" spans="6:8" x14ac:dyDescent="0.3">
      <c r="F2072" s="11">
        <v>-8.1766670000000001</v>
      </c>
      <c r="G2072" s="11">
        <v>55.141666999999998</v>
      </c>
      <c r="H2072" s="11">
        <v>1</v>
      </c>
    </row>
    <row r="2073" spans="6:8" x14ac:dyDescent="0.3">
      <c r="F2073" s="11">
        <v>-8.1433330000000002</v>
      </c>
      <c r="G2073" s="11">
        <v>55.138610999999997</v>
      </c>
      <c r="H2073" s="11">
        <v>1</v>
      </c>
    </row>
    <row r="2074" spans="6:8" x14ac:dyDescent="0.3">
      <c r="F2074" s="11">
        <v>-8.1180559999999993</v>
      </c>
      <c r="G2074" s="11">
        <v>55.131667</v>
      </c>
      <c r="H2074" s="11">
        <v>1</v>
      </c>
    </row>
    <row r="2075" spans="6:8" x14ac:dyDescent="0.3">
      <c r="F2075" s="11">
        <v>-8.0558329999999998</v>
      </c>
      <c r="G2075" s="11">
        <v>55.162778000000003</v>
      </c>
      <c r="H2075" s="11">
        <v>1</v>
      </c>
    </row>
    <row r="2076" spans="6:8" x14ac:dyDescent="0.3">
      <c r="F2076" s="11">
        <v>-8.0211109999999994</v>
      </c>
      <c r="G2076" s="11">
        <v>55.199444</v>
      </c>
      <c r="H2076" s="11">
        <v>1</v>
      </c>
    </row>
    <row r="2077" spans="6:8" x14ac:dyDescent="0.3">
      <c r="F2077" s="11">
        <v>-7.9594440000000004</v>
      </c>
      <c r="G2077" s="11">
        <v>55.206111</v>
      </c>
      <c r="H2077" s="11">
        <v>1</v>
      </c>
    </row>
    <row r="2078" spans="6:8" x14ac:dyDescent="0.3">
      <c r="F2078" s="11">
        <v>-7.9205560000000004</v>
      </c>
      <c r="G2078" s="11">
        <v>55.178333000000002</v>
      </c>
      <c r="H2078" s="11">
        <v>1</v>
      </c>
    </row>
    <row r="2079" spans="6:8" x14ac:dyDescent="0.3">
      <c r="F2079" s="11">
        <v>-7.9030560000000003</v>
      </c>
      <c r="G2079" s="11">
        <v>55.147500000000001</v>
      </c>
      <c r="H2079" s="11">
        <v>1</v>
      </c>
    </row>
    <row r="2080" spans="6:8" x14ac:dyDescent="0.3">
      <c r="F2080" s="11">
        <v>-7.8875000000000002</v>
      </c>
      <c r="G2080" s="11">
        <v>55.141666999999998</v>
      </c>
      <c r="H2080" s="11">
        <v>1</v>
      </c>
    </row>
    <row r="2081" spans="6:8" x14ac:dyDescent="0.3">
      <c r="F2081" s="11">
        <v>-7.8566669999999998</v>
      </c>
      <c r="G2081" s="11">
        <v>55.134999999999998</v>
      </c>
      <c r="H2081" s="11">
        <v>1</v>
      </c>
    </row>
    <row r="2082" spans="6:8" x14ac:dyDescent="0.3">
      <c r="F2082" s="11">
        <v>-7.8375000000000004</v>
      </c>
      <c r="G2082" s="11">
        <v>55.186110999999997</v>
      </c>
      <c r="H2082" s="11">
        <v>1</v>
      </c>
    </row>
    <row r="2083" spans="6:8" x14ac:dyDescent="0.3">
      <c r="F2083" s="11">
        <v>-7.8641670000000001</v>
      </c>
      <c r="G2083" s="11">
        <v>55.222222000000002</v>
      </c>
      <c r="H2083" s="11">
        <v>1</v>
      </c>
    </row>
    <row r="2084" spans="6:8" x14ac:dyDescent="0.3">
      <c r="F2084" s="11">
        <v>-7.7966670000000002</v>
      </c>
      <c r="G2084" s="11">
        <v>55.245277999999999</v>
      </c>
      <c r="H2084" s="11">
        <v>1</v>
      </c>
    </row>
    <row r="2085" spans="6:8" x14ac:dyDescent="0.3">
      <c r="F2085" s="11">
        <v>-7.822222</v>
      </c>
      <c r="G2085" s="11">
        <v>55.195</v>
      </c>
      <c r="H2085" s="11">
        <v>1</v>
      </c>
    </row>
    <row r="2086" spans="6:8" x14ac:dyDescent="0.3">
      <c r="F2086" s="11">
        <v>-7.7580559999999998</v>
      </c>
      <c r="G2086" s="11">
        <v>55.174166999999997</v>
      </c>
      <c r="H2086" s="11">
        <v>1</v>
      </c>
    </row>
    <row r="2087" spans="6:8" x14ac:dyDescent="0.3">
      <c r="F2087" s="11">
        <v>-7.6961110000000001</v>
      </c>
      <c r="G2087" s="11">
        <v>55.140833000000001</v>
      </c>
      <c r="H2087" s="11">
        <v>1</v>
      </c>
    </row>
    <row r="2088" spans="6:8" x14ac:dyDescent="0.3">
      <c r="F2088" s="11">
        <v>-7.6916669999999998</v>
      </c>
      <c r="G2088" s="11">
        <v>55.094721999999997</v>
      </c>
      <c r="H2088" s="11">
        <v>1</v>
      </c>
    </row>
    <row r="2089" spans="6:8" x14ac:dyDescent="0.3">
      <c r="F2089" s="11">
        <v>-7.668056</v>
      </c>
      <c r="G2089" s="11">
        <v>55.15</v>
      </c>
      <c r="H2089" s="11">
        <v>1</v>
      </c>
    </row>
    <row r="2090" spans="6:8" x14ac:dyDescent="0.3">
      <c r="F2090" s="11">
        <v>-7.6969440000000002</v>
      </c>
      <c r="G2090" s="11">
        <v>55.184722000000001</v>
      </c>
      <c r="H2090" s="11">
        <v>1</v>
      </c>
    </row>
    <row r="2091" spans="6:8" x14ac:dyDescent="0.3">
      <c r="F2091" s="11">
        <v>-7.7208329999999998</v>
      </c>
      <c r="G2091" s="11">
        <v>55.207500000000003</v>
      </c>
      <c r="H2091" s="11">
        <v>1</v>
      </c>
    </row>
    <row r="2092" spans="6:8" x14ac:dyDescent="0.3">
      <c r="F2092" s="11">
        <v>-7.7327779999999997</v>
      </c>
      <c r="G2092" s="11">
        <v>55.177500000000002</v>
      </c>
      <c r="H2092" s="11">
        <v>1</v>
      </c>
    </row>
    <row r="2093" spans="6:8" x14ac:dyDescent="0.3">
      <c r="F2093" s="11">
        <v>-7.7766669999999998</v>
      </c>
      <c r="G2093" s="11">
        <v>55.195278000000002</v>
      </c>
      <c r="H2093" s="11">
        <v>1</v>
      </c>
    </row>
    <row r="2094" spans="6:8" x14ac:dyDescent="0.3">
      <c r="F2094" s="11">
        <v>-7.7549999999999999</v>
      </c>
      <c r="G2094" s="11">
        <v>55.230832999999997</v>
      </c>
      <c r="H2094" s="11">
        <v>1</v>
      </c>
    </row>
    <row r="2095" spans="6:8" x14ac:dyDescent="0.3">
      <c r="F2095" s="11">
        <v>-7.6902780000000002</v>
      </c>
      <c r="G2095" s="11">
        <v>55.250556000000003</v>
      </c>
      <c r="H2095" s="11">
        <v>1</v>
      </c>
    </row>
    <row r="2096" spans="6:8" x14ac:dyDescent="0.3">
      <c r="F2096" s="11">
        <v>-7.628889</v>
      </c>
      <c r="G2096" s="11">
        <v>55.271943999999998</v>
      </c>
      <c r="H2096" s="11">
        <v>1</v>
      </c>
    </row>
    <row r="2097" spans="6:8" x14ac:dyDescent="0.3">
      <c r="F2097" s="11">
        <v>-7.61</v>
      </c>
      <c r="G2097" s="11">
        <v>55.219444000000003</v>
      </c>
      <c r="H2097" s="11">
        <v>1</v>
      </c>
    </row>
    <row r="2098" spans="6:8" x14ac:dyDescent="0.3">
      <c r="F2098" s="11">
        <v>-7.5997219999999999</v>
      </c>
      <c r="G2098" s="11">
        <v>55.178610999999997</v>
      </c>
      <c r="H2098" s="11">
        <v>1</v>
      </c>
    </row>
    <row r="2099" spans="6:8" x14ac:dyDescent="0.3">
      <c r="F2099" s="11">
        <v>-7.5475000000000003</v>
      </c>
      <c r="G2099" s="11">
        <v>55.14</v>
      </c>
      <c r="H2099" s="11">
        <v>1</v>
      </c>
    </row>
    <row r="2100" spans="6:8" x14ac:dyDescent="0.3">
      <c r="F2100" s="11">
        <v>-7.5311110000000001</v>
      </c>
      <c r="G2100" s="11">
        <v>55.092778000000003</v>
      </c>
      <c r="H2100" s="11">
        <v>1</v>
      </c>
    </row>
    <row r="2101" spans="6:8" x14ac:dyDescent="0.3">
      <c r="F2101" s="11">
        <v>-7.5958329999999998</v>
      </c>
      <c r="G2101" s="11">
        <v>55.061667</v>
      </c>
      <c r="H2101" s="11">
        <v>1</v>
      </c>
    </row>
    <row r="2102" spans="6:8" x14ac:dyDescent="0.3">
      <c r="F2102" s="11">
        <v>-7.6155559999999998</v>
      </c>
      <c r="G2102" s="11">
        <v>55.04</v>
      </c>
      <c r="H2102" s="11">
        <v>1</v>
      </c>
    </row>
    <row r="2103" spans="6:8" x14ac:dyDescent="0.3">
      <c r="F2103" s="11">
        <v>-7.5755559999999997</v>
      </c>
      <c r="G2103" s="11">
        <v>55.020277999999998</v>
      </c>
      <c r="H2103" s="11">
        <v>1</v>
      </c>
    </row>
    <row r="2104" spans="6:8" x14ac:dyDescent="0.3">
      <c r="F2104" s="11">
        <v>-7.6388889999999998</v>
      </c>
      <c r="G2104" s="11">
        <v>54.988056</v>
      </c>
      <c r="H2104" s="11">
        <v>1</v>
      </c>
    </row>
    <row r="2105" spans="6:8" x14ac:dyDescent="0.3">
      <c r="F2105" s="11">
        <v>-7.621111</v>
      </c>
      <c r="G2105" s="11">
        <v>54.973889</v>
      </c>
      <c r="H2105" s="11">
        <v>1</v>
      </c>
    </row>
    <row r="2106" spans="6:8" x14ac:dyDescent="0.3">
      <c r="F2106" s="11">
        <v>-7.5652780000000002</v>
      </c>
      <c r="G2106" s="11">
        <v>55.010832999999998</v>
      </c>
      <c r="H2106" s="11">
        <v>1</v>
      </c>
    </row>
    <row r="2107" spans="6:8" x14ac:dyDescent="0.3">
      <c r="F2107" s="11">
        <v>-7.4933329999999998</v>
      </c>
      <c r="G2107" s="11">
        <v>55.037500000000001</v>
      </c>
      <c r="H2107" s="11">
        <v>1</v>
      </c>
    </row>
    <row r="2108" spans="6:8" x14ac:dyDescent="0.3">
      <c r="F2108" s="11">
        <v>-7.4802780000000002</v>
      </c>
      <c r="G2108" s="11">
        <v>55.077500000000001</v>
      </c>
      <c r="H2108" s="11">
        <v>1</v>
      </c>
    </row>
    <row r="2109" spans="6:8" x14ac:dyDescent="0.3">
      <c r="F2109" s="11">
        <v>-7.4730559999999997</v>
      </c>
      <c r="G2109" s="11">
        <v>55.129167000000002</v>
      </c>
      <c r="H2109" s="11">
        <v>1</v>
      </c>
    </row>
    <row r="2110" spans="6:8" x14ac:dyDescent="0.3">
      <c r="F2110" s="11">
        <v>-7.512778</v>
      </c>
      <c r="G2110" s="11">
        <v>55.174166999999997</v>
      </c>
      <c r="H2110" s="11">
        <v>1</v>
      </c>
    </row>
    <row r="2111" spans="6:8" x14ac:dyDescent="0.3">
      <c r="F2111" s="11">
        <v>-7.5475000000000003</v>
      </c>
      <c r="G2111" s="11">
        <v>55.217222</v>
      </c>
      <c r="H2111" s="11">
        <v>1</v>
      </c>
    </row>
    <row r="2112" spans="6:8" x14ac:dyDescent="0.3">
      <c r="F2112" s="11">
        <v>-7.5219440000000004</v>
      </c>
      <c r="G2112" s="11">
        <v>55.260278</v>
      </c>
      <c r="H2112" s="11">
        <v>1</v>
      </c>
    </row>
    <row r="2113" spans="6:8" x14ac:dyDescent="0.3">
      <c r="F2113" s="11">
        <v>-7.4788889999999997</v>
      </c>
      <c r="G2113" s="11">
        <v>55.286943999999998</v>
      </c>
      <c r="H2113" s="11">
        <v>1</v>
      </c>
    </row>
    <row r="2114" spans="6:8" x14ac:dyDescent="0.3">
      <c r="F2114" s="11">
        <v>-7.4102779999999999</v>
      </c>
      <c r="G2114" s="11">
        <v>55.285277999999998</v>
      </c>
      <c r="H2114" s="11">
        <v>1</v>
      </c>
    </row>
    <row r="2115" spans="6:8" x14ac:dyDescent="0.3">
      <c r="F2115" s="11">
        <v>-7.3391669999999998</v>
      </c>
      <c r="G2115" s="11">
        <v>55.298333</v>
      </c>
      <c r="H2115" s="11">
        <v>1</v>
      </c>
    </row>
    <row r="2116" spans="6:8" x14ac:dyDescent="0.3">
      <c r="F2116" s="11">
        <v>-7.3113890000000001</v>
      </c>
      <c r="G2116" s="11">
        <v>55.274999999999999</v>
      </c>
      <c r="H2116" s="11">
        <v>1</v>
      </c>
    </row>
    <row r="2117" spans="6:8" x14ac:dyDescent="0.3">
      <c r="F2117" s="11">
        <v>-7.2780560000000003</v>
      </c>
      <c r="G2117" s="11">
        <v>55.288888999999998</v>
      </c>
      <c r="H2117" s="11">
        <v>1</v>
      </c>
    </row>
    <row r="2118" spans="6:8" x14ac:dyDescent="0.3">
      <c r="F2118" s="11">
        <v>-7.3455560000000002</v>
      </c>
      <c r="G2118" s="11">
        <v>55.319721999999999</v>
      </c>
      <c r="H2118" s="11">
        <v>1</v>
      </c>
    </row>
    <row r="2119" spans="6:8" x14ac:dyDescent="0.3">
      <c r="F2119" s="11">
        <v>-7.3355560000000004</v>
      </c>
      <c r="G2119" s="11">
        <v>55.340555999999999</v>
      </c>
      <c r="H2119" s="11">
        <v>1</v>
      </c>
    </row>
    <row r="2120" spans="6:8" x14ac:dyDescent="0.3">
      <c r="F2120" s="11">
        <v>-7.4086109999999996</v>
      </c>
      <c r="G2120" s="11">
        <v>55.368333</v>
      </c>
      <c r="H2120" s="11">
        <v>1</v>
      </c>
    </row>
    <row r="2121" spans="6:8" x14ac:dyDescent="0.3">
      <c r="H2121" s="11">
        <v>1</v>
      </c>
    </row>
    <row r="2122" spans="6:8" x14ac:dyDescent="0.3">
      <c r="F2122" s="11">
        <v>-6.2122219999999997</v>
      </c>
      <c r="G2122" s="11">
        <v>55.267221999999997</v>
      </c>
      <c r="H2122" s="11">
        <v>1</v>
      </c>
    </row>
    <row r="2123" spans="6:8" x14ac:dyDescent="0.3">
      <c r="F2123" s="11">
        <v>-6.2688889999999997</v>
      </c>
      <c r="G2123" s="11">
        <v>55.285277999999998</v>
      </c>
      <c r="H2123" s="11">
        <v>1</v>
      </c>
    </row>
    <row r="2124" spans="6:8" x14ac:dyDescent="0.3">
      <c r="F2124" s="11">
        <v>-6.2233330000000002</v>
      </c>
      <c r="G2124" s="11">
        <v>55.296111000000003</v>
      </c>
      <c r="H2124" s="11">
        <v>1</v>
      </c>
    </row>
    <row r="2125" spans="6:8" x14ac:dyDescent="0.3">
      <c r="H2125" s="11">
        <v>1</v>
      </c>
    </row>
    <row r="2126" spans="6:8" x14ac:dyDescent="0.3">
      <c r="F2126" s="11">
        <v>-7.5352779999999999</v>
      </c>
      <c r="G2126" s="11">
        <v>55.060277999999997</v>
      </c>
      <c r="H2126" s="11">
        <v>1</v>
      </c>
    </row>
    <row r="2127" spans="6:8" x14ac:dyDescent="0.3">
      <c r="F2127" s="11">
        <v>-7.4791670000000003</v>
      </c>
      <c r="G2127" s="11">
        <v>55.061388999999998</v>
      </c>
      <c r="H2127" s="11">
        <v>1</v>
      </c>
    </row>
    <row r="2128" spans="6:8" x14ac:dyDescent="0.3">
      <c r="H2128" s="11">
        <v>1</v>
      </c>
    </row>
    <row r="2129" spans="6:8" x14ac:dyDescent="0.3">
      <c r="F2129" s="11">
        <v>-8.1636109999999995</v>
      </c>
      <c r="G2129" s="11">
        <v>55.170278000000003</v>
      </c>
      <c r="H2129" s="11">
        <v>1</v>
      </c>
    </row>
    <row r="2130" spans="6:8" x14ac:dyDescent="0.3">
      <c r="H2130" s="11">
        <v>1</v>
      </c>
    </row>
    <row r="2131" spans="6:8" x14ac:dyDescent="0.3">
      <c r="F2131" s="11">
        <v>-8.2497220000000002</v>
      </c>
      <c r="G2131" s="11">
        <v>55.268332999999998</v>
      </c>
      <c r="H2131" s="11">
        <v>1</v>
      </c>
    </row>
    <row r="2132" spans="6:8" x14ac:dyDescent="0.3">
      <c r="H2132" s="11">
        <v>1</v>
      </c>
    </row>
    <row r="2133" spans="6:8" x14ac:dyDescent="0.3">
      <c r="F2133" s="11">
        <v>-8.5258330000000004</v>
      </c>
      <c r="G2133" s="11">
        <v>54.965277999999998</v>
      </c>
      <c r="H2133" s="11">
        <v>1</v>
      </c>
    </row>
    <row r="2134" spans="6:8" x14ac:dyDescent="0.3">
      <c r="F2134" s="11">
        <v>-8.5488890000000008</v>
      </c>
      <c r="G2134" s="11">
        <v>55.005555999999999</v>
      </c>
      <c r="H2134" s="11">
        <v>1</v>
      </c>
    </row>
    <row r="2135" spans="6:8" x14ac:dyDescent="0.3">
      <c r="F2135" s="11">
        <v>-8.4886110000000006</v>
      </c>
      <c r="G2135" s="11">
        <v>54.998888999999998</v>
      </c>
      <c r="H2135" s="11">
        <v>1</v>
      </c>
    </row>
    <row r="2136" spans="6:8" x14ac:dyDescent="0.3">
      <c r="H2136" s="11">
        <v>1</v>
      </c>
    </row>
    <row r="2137" spans="6:8" x14ac:dyDescent="0.3">
      <c r="F2137" s="11">
        <v>-8.43</v>
      </c>
      <c r="G2137" s="11">
        <v>55.03</v>
      </c>
      <c r="H2137" s="11">
        <v>1</v>
      </c>
    </row>
    <row r="2138" spans="6:8" x14ac:dyDescent="0.3">
      <c r="H2138" s="11">
        <v>1</v>
      </c>
    </row>
    <row r="2139" spans="6:8" x14ac:dyDescent="0.3">
      <c r="F2139" s="11">
        <v>-7.8805560000000003</v>
      </c>
      <c r="G2139" s="11">
        <v>54.508333</v>
      </c>
      <c r="H2139" s="11">
        <v>1</v>
      </c>
    </row>
    <row r="2140" spans="6:8" x14ac:dyDescent="0.3">
      <c r="F2140" s="11">
        <v>-7.791944</v>
      </c>
      <c r="G2140" s="11">
        <v>54.518332999999998</v>
      </c>
      <c r="H2140" s="11">
        <v>1</v>
      </c>
    </row>
    <row r="2141" spans="6:8" x14ac:dyDescent="0.3">
      <c r="H2141" s="11">
        <v>1</v>
      </c>
    </row>
    <row r="2142" spans="6:8" x14ac:dyDescent="0.3">
      <c r="F2142" s="11">
        <v>-9.1794440000000002</v>
      </c>
      <c r="G2142" s="11">
        <v>54.212499999999999</v>
      </c>
      <c r="H2142" s="11">
        <v>1</v>
      </c>
    </row>
    <row r="2143" spans="6:8" x14ac:dyDescent="0.3">
      <c r="H2143" s="11">
        <v>1</v>
      </c>
    </row>
    <row r="2144" spans="6:8" x14ac:dyDescent="0.3">
      <c r="F2144" s="11">
        <v>-10.192500000000001</v>
      </c>
      <c r="G2144" s="11">
        <v>54.138333000000003</v>
      </c>
      <c r="H2144" s="11">
        <v>1</v>
      </c>
    </row>
    <row r="2145" spans="6:8" x14ac:dyDescent="0.3">
      <c r="H2145" s="11">
        <v>1</v>
      </c>
    </row>
    <row r="2146" spans="6:8" x14ac:dyDescent="0.3">
      <c r="F2146" s="11">
        <v>-10.216111</v>
      </c>
      <c r="G2146" s="11">
        <v>54.118056000000003</v>
      </c>
      <c r="H2146" s="11">
        <v>1</v>
      </c>
    </row>
    <row r="2147" spans="6:8" x14ac:dyDescent="0.3">
      <c r="H2147" s="11">
        <v>1</v>
      </c>
    </row>
    <row r="2148" spans="6:8" x14ac:dyDescent="0.3">
      <c r="F2148" s="11">
        <v>-9.9511109999999992</v>
      </c>
      <c r="G2148" s="11">
        <v>53.976388999999998</v>
      </c>
      <c r="H2148" s="11">
        <v>1</v>
      </c>
    </row>
    <row r="2149" spans="6:8" x14ac:dyDescent="0.3">
      <c r="F2149" s="11">
        <v>-9.9322219999999994</v>
      </c>
      <c r="G2149" s="11">
        <v>53.954721999999997</v>
      </c>
      <c r="H2149" s="11">
        <v>1</v>
      </c>
    </row>
    <row r="2150" spans="6:8" x14ac:dyDescent="0.3">
      <c r="F2150" s="11">
        <v>-9.9380559999999996</v>
      </c>
      <c r="G2150" s="11">
        <v>53.912500000000001</v>
      </c>
      <c r="H2150" s="11">
        <v>1</v>
      </c>
    </row>
    <row r="2151" spans="6:8" x14ac:dyDescent="0.3">
      <c r="F2151" s="11">
        <v>-9.9786110000000008</v>
      </c>
      <c r="G2151" s="11">
        <v>53.879443999999999</v>
      </c>
      <c r="H2151" s="11">
        <v>1</v>
      </c>
    </row>
    <row r="2152" spans="6:8" x14ac:dyDescent="0.3">
      <c r="F2152" s="11">
        <v>-10.036944</v>
      </c>
      <c r="G2152" s="11">
        <v>53.909444000000001</v>
      </c>
      <c r="H2152" s="11">
        <v>1</v>
      </c>
    </row>
    <row r="2153" spans="6:8" x14ac:dyDescent="0.3">
      <c r="F2153" s="11">
        <v>-10.049721999999999</v>
      </c>
      <c r="G2153" s="11">
        <v>53.951667</v>
      </c>
      <c r="H2153" s="11">
        <v>1</v>
      </c>
    </row>
    <row r="2154" spans="6:8" x14ac:dyDescent="0.3">
      <c r="F2154" s="11">
        <v>-10.120278000000001</v>
      </c>
      <c r="G2154" s="11">
        <v>53.960833000000001</v>
      </c>
      <c r="H2154" s="11">
        <v>1</v>
      </c>
    </row>
    <row r="2155" spans="6:8" x14ac:dyDescent="0.3">
      <c r="F2155" s="11">
        <v>-10.209721999999999</v>
      </c>
      <c r="G2155" s="11">
        <v>53.961944000000003</v>
      </c>
      <c r="H2155" s="11">
        <v>1</v>
      </c>
    </row>
    <row r="2156" spans="6:8" x14ac:dyDescent="0.3">
      <c r="F2156" s="11">
        <v>-10.246943999999999</v>
      </c>
      <c r="G2156" s="11">
        <v>53.979444000000001</v>
      </c>
      <c r="H2156" s="11">
        <v>1</v>
      </c>
    </row>
    <row r="2157" spans="6:8" x14ac:dyDescent="0.3">
      <c r="F2157" s="11">
        <v>-10.189444</v>
      </c>
      <c r="G2157" s="11">
        <v>54.008889000000003</v>
      </c>
      <c r="H2157" s="11">
        <v>1</v>
      </c>
    </row>
    <row r="2158" spans="6:8" x14ac:dyDescent="0.3">
      <c r="F2158" s="11">
        <v>-10.102499999999999</v>
      </c>
      <c r="G2158" s="11">
        <v>53.996389000000001</v>
      </c>
      <c r="H2158" s="11">
        <v>1</v>
      </c>
    </row>
    <row r="2159" spans="6:8" x14ac:dyDescent="0.3">
      <c r="F2159" s="11">
        <v>-10.049167000000001</v>
      </c>
      <c r="G2159" s="11">
        <v>54.017778</v>
      </c>
      <c r="H2159" s="11">
        <v>1</v>
      </c>
    </row>
    <row r="2160" spans="6:8" x14ac:dyDescent="0.3">
      <c r="F2160" s="11">
        <v>-9.9741669999999996</v>
      </c>
      <c r="G2160" s="11">
        <v>54.021943999999998</v>
      </c>
      <c r="H2160" s="11">
        <v>1</v>
      </c>
    </row>
    <row r="2161" spans="6:8" x14ac:dyDescent="0.3">
      <c r="H2161" s="11">
        <v>1</v>
      </c>
    </row>
    <row r="2162" spans="6:8" x14ac:dyDescent="0.3">
      <c r="F2162" s="11">
        <v>-10.036389</v>
      </c>
      <c r="G2162" s="11">
        <v>53.786667000000001</v>
      </c>
      <c r="H2162" s="11">
        <v>1</v>
      </c>
    </row>
    <row r="2163" spans="6:8" x14ac:dyDescent="0.3">
      <c r="F2163" s="11">
        <v>-10.005556</v>
      </c>
      <c r="G2163" s="11">
        <v>53.814444000000002</v>
      </c>
      <c r="H2163" s="11">
        <v>1</v>
      </c>
    </row>
    <row r="2164" spans="6:8" x14ac:dyDescent="0.3">
      <c r="F2164" s="11">
        <v>-9.9508329999999994</v>
      </c>
      <c r="G2164" s="11">
        <v>53.802500000000002</v>
      </c>
      <c r="H2164" s="11">
        <v>1</v>
      </c>
    </row>
    <row r="2165" spans="6:8" x14ac:dyDescent="0.3">
      <c r="H2165" s="11">
        <v>1</v>
      </c>
    </row>
    <row r="2166" spans="6:8" x14ac:dyDescent="0.3">
      <c r="F2166" s="11">
        <v>-10.123611</v>
      </c>
      <c r="G2166" s="11">
        <v>53.705278</v>
      </c>
      <c r="H2166" s="11">
        <v>1</v>
      </c>
    </row>
    <row r="2167" spans="6:8" x14ac:dyDescent="0.3">
      <c r="H2167" s="11">
        <v>1</v>
      </c>
    </row>
    <row r="2168" spans="6:8" x14ac:dyDescent="0.3">
      <c r="F2168" s="11">
        <v>-10.283611000000001</v>
      </c>
      <c r="G2168" s="11">
        <v>53.608611000000003</v>
      </c>
      <c r="H2168" s="11">
        <v>1</v>
      </c>
    </row>
    <row r="2169" spans="6:8" x14ac:dyDescent="0.3">
      <c r="H2169" s="11">
        <v>1</v>
      </c>
    </row>
    <row r="2170" spans="6:8" x14ac:dyDescent="0.3">
      <c r="F2170" s="11">
        <v>-10.225833</v>
      </c>
      <c r="G2170" s="11">
        <v>53.607222</v>
      </c>
      <c r="H2170" s="11">
        <v>1</v>
      </c>
    </row>
    <row r="2171" spans="6:8" x14ac:dyDescent="0.3">
      <c r="F2171" s="11">
        <v>-10.244166999999999</v>
      </c>
      <c r="G2171" s="11">
        <v>53.621943999999999</v>
      </c>
      <c r="H2171" s="11">
        <v>1</v>
      </c>
    </row>
    <row r="2172" spans="6:8" x14ac:dyDescent="0.3">
      <c r="H2172" s="11">
        <v>1</v>
      </c>
    </row>
    <row r="2173" spans="6:8" x14ac:dyDescent="0.3">
      <c r="F2173" s="11">
        <v>-9.9127779999999994</v>
      </c>
      <c r="G2173" s="11">
        <v>53.392778</v>
      </c>
      <c r="H2173" s="11">
        <v>1</v>
      </c>
    </row>
    <row r="2174" spans="6:8" x14ac:dyDescent="0.3">
      <c r="H2174" s="11">
        <v>1</v>
      </c>
    </row>
    <row r="2175" spans="6:8" x14ac:dyDescent="0.3">
      <c r="F2175" s="11">
        <v>-9.8677779999999995</v>
      </c>
      <c r="G2175" s="11">
        <v>53.301389</v>
      </c>
      <c r="H2175" s="11">
        <v>1</v>
      </c>
    </row>
    <row r="2176" spans="6:8" x14ac:dyDescent="0.3">
      <c r="H2176" s="11">
        <v>1</v>
      </c>
    </row>
    <row r="2177" spans="6:8" x14ac:dyDescent="0.3">
      <c r="F2177" s="11">
        <v>-9.7038890000000002</v>
      </c>
      <c r="G2177" s="11">
        <v>53.296944000000003</v>
      </c>
      <c r="H2177" s="11">
        <v>1</v>
      </c>
    </row>
    <row r="2178" spans="6:8" x14ac:dyDescent="0.3">
      <c r="H2178" s="11">
        <v>1</v>
      </c>
    </row>
    <row r="2179" spans="6:8" x14ac:dyDescent="0.3">
      <c r="F2179" s="11">
        <v>-9.7352779999999992</v>
      </c>
      <c r="G2179" s="11">
        <v>53.241388999999998</v>
      </c>
      <c r="H2179" s="11">
        <v>1</v>
      </c>
    </row>
    <row r="2180" spans="6:8" x14ac:dyDescent="0.3">
      <c r="H2180" s="11">
        <v>1</v>
      </c>
    </row>
    <row r="2181" spans="6:8" x14ac:dyDescent="0.3">
      <c r="F2181" s="11">
        <v>-9.6594440000000006</v>
      </c>
      <c r="G2181" s="11">
        <v>53.223610999999998</v>
      </c>
      <c r="H2181" s="11">
        <v>1</v>
      </c>
    </row>
    <row r="2182" spans="6:8" x14ac:dyDescent="0.3">
      <c r="F2182" s="11">
        <v>-9.7122220000000006</v>
      </c>
      <c r="G2182" s="11">
        <v>53.251666999999998</v>
      </c>
      <c r="H2182" s="11">
        <v>1</v>
      </c>
    </row>
    <row r="2183" spans="6:8" x14ac:dyDescent="0.3">
      <c r="F2183" s="11">
        <v>-9.6502780000000001</v>
      </c>
      <c r="G2183" s="11">
        <v>53.273888999999997</v>
      </c>
      <c r="H2183" s="11">
        <v>1</v>
      </c>
    </row>
    <row r="2184" spans="6:8" x14ac:dyDescent="0.3">
      <c r="H2184" s="11">
        <v>1</v>
      </c>
    </row>
    <row r="2185" spans="6:8" x14ac:dyDescent="0.3">
      <c r="F2185" s="11">
        <v>-9.6788889999999999</v>
      </c>
      <c r="G2185" s="11">
        <v>53.095832999999999</v>
      </c>
      <c r="H2185" s="11">
        <v>1</v>
      </c>
    </row>
    <row r="2186" spans="6:8" x14ac:dyDescent="0.3">
      <c r="F2186" s="11">
        <v>-9.7472220000000007</v>
      </c>
      <c r="G2186" s="11">
        <v>53.123888999999998</v>
      </c>
      <c r="H2186" s="11">
        <v>1</v>
      </c>
    </row>
    <row r="2187" spans="6:8" x14ac:dyDescent="0.3">
      <c r="F2187" s="11">
        <v>-9.8355560000000004</v>
      </c>
      <c r="G2187" s="11">
        <v>53.140555999999997</v>
      </c>
      <c r="H2187" s="11">
        <v>1</v>
      </c>
    </row>
    <row r="2188" spans="6:8" x14ac:dyDescent="0.3">
      <c r="F2188" s="11">
        <v>-9.7591669999999997</v>
      </c>
      <c r="G2188" s="11">
        <v>53.143332999999998</v>
      </c>
      <c r="H2188" s="11">
        <v>1</v>
      </c>
    </row>
    <row r="2189" spans="6:8" x14ac:dyDescent="0.3">
      <c r="F2189" s="11">
        <v>-9.6875</v>
      </c>
      <c r="G2189" s="11">
        <v>53.131667</v>
      </c>
      <c r="H2189" s="11">
        <v>1</v>
      </c>
    </row>
    <row r="2190" spans="6:8" x14ac:dyDescent="0.3">
      <c r="F2190" s="11">
        <v>-9.6358329999999999</v>
      </c>
      <c r="G2190" s="11">
        <v>53.109444000000003</v>
      </c>
      <c r="H2190" s="11">
        <v>1</v>
      </c>
    </row>
    <row r="2191" spans="6:8" x14ac:dyDescent="0.3">
      <c r="H2191" s="11">
        <v>1</v>
      </c>
    </row>
    <row r="2192" spans="6:8" x14ac:dyDescent="0.3">
      <c r="F2192" s="11">
        <v>-9.5538889999999999</v>
      </c>
      <c r="G2192" s="11">
        <v>53.051389</v>
      </c>
      <c r="H2192" s="11">
        <v>1</v>
      </c>
    </row>
    <row r="2193" spans="6:8" x14ac:dyDescent="0.3">
      <c r="H2193" s="11">
        <v>1</v>
      </c>
    </row>
    <row r="2194" spans="6:8" x14ac:dyDescent="0.3">
      <c r="F2194" s="11">
        <v>-10.566388999999999</v>
      </c>
      <c r="G2194" s="11">
        <v>52.069443999999997</v>
      </c>
      <c r="H2194" s="11">
        <v>1</v>
      </c>
    </row>
    <row r="2195" spans="6:8" x14ac:dyDescent="0.3">
      <c r="F2195" s="11">
        <v>-10.533333000000001</v>
      </c>
      <c r="G2195" s="11">
        <v>52.091388999999999</v>
      </c>
      <c r="H2195" s="11">
        <v>1</v>
      </c>
    </row>
    <row r="2196" spans="6:8" x14ac:dyDescent="0.3">
      <c r="H2196" s="11">
        <v>1</v>
      </c>
    </row>
    <row r="2197" spans="6:8" x14ac:dyDescent="0.3">
      <c r="F2197" s="11">
        <v>-10.355</v>
      </c>
      <c r="G2197" s="11">
        <v>51.889721999999999</v>
      </c>
      <c r="H2197" s="11">
        <v>1</v>
      </c>
    </row>
    <row r="2198" spans="6:8" x14ac:dyDescent="0.3">
      <c r="F2198" s="11">
        <v>-10.414999999999999</v>
      </c>
      <c r="G2198" s="11">
        <v>51.890555999999997</v>
      </c>
      <c r="H2198" s="11">
        <v>1</v>
      </c>
    </row>
    <row r="2199" spans="6:8" x14ac:dyDescent="0.3">
      <c r="F2199" s="11">
        <v>-10.354444000000001</v>
      </c>
      <c r="G2199" s="11">
        <v>51.921666999999999</v>
      </c>
      <c r="H2199" s="11">
        <v>1</v>
      </c>
    </row>
    <row r="2200" spans="6:8" x14ac:dyDescent="0.3">
      <c r="F2200" s="11">
        <v>-10.294444</v>
      </c>
      <c r="G2200" s="11">
        <v>51.916389000000002</v>
      </c>
      <c r="H2200" s="11">
        <v>1</v>
      </c>
    </row>
    <row r="2201" spans="6:8" x14ac:dyDescent="0.3">
      <c r="H2201" s="11">
        <v>1</v>
      </c>
    </row>
    <row r="2202" spans="6:8" x14ac:dyDescent="0.3">
      <c r="F2202" s="11">
        <v>-10.230833000000001</v>
      </c>
      <c r="G2202" s="11">
        <v>51.577221999999999</v>
      </c>
      <c r="H2202" s="11">
        <v>1</v>
      </c>
    </row>
    <row r="2203" spans="6:8" x14ac:dyDescent="0.3">
      <c r="F2203" s="11">
        <v>-10.184167</v>
      </c>
      <c r="G2203" s="11">
        <v>51.604722000000002</v>
      </c>
      <c r="H2203" s="11">
        <v>1</v>
      </c>
    </row>
    <row r="2204" spans="6:8" x14ac:dyDescent="0.3">
      <c r="H2204" s="11">
        <v>1</v>
      </c>
    </row>
    <row r="2205" spans="6:8" x14ac:dyDescent="0.3">
      <c r="F2205" s="11">
        <v>-9.8502779999999994</v>
      </c>
      <c r="G2205" s="11">
        <v>51.616388999999998</v>
      </c>
      <c r="H2205" s="11">
        <v>1</v>
      </c>
    </row>
    <row r="2206" spans="6:8" x14ac:dyDescent="0.3">
      <c r="F2206" s="11">
        <v>-9.9177780000000002</v>
      </c>
      <c r="G2206" s="11">
        <v>51.623610999999997</v>
      </c>
      <c r="H2206" s="11">
        <v>1</v>
      </c>
    </row>
    <row r="2207" spans="6:8" x14ac:dyDescent="0.3">
      <c r="F2207" s="11">
        <v>-9.8327779999999994</v>
      </c>
      <c r="G2207" s="11">
        <v>51.637777999999997</v>
      </c>
      <c r="H2207" s="11">
        <v>1</v>
      </c>
    </row>
    <row r="2208" spans="6:8" x14ac:dyDescent="0.3">
      <c r="H2208" s="11">
        <v>1</v>
      </c>
    </row>
    <row r="2209" spans="6:8" x14ac:dyDescent="0.3">
      <c r="F2209" s="11">
        <v>-9.5291669999999993</v>
      </c>
      <c r="G2209" s="11">
        <v>51.684443999999999</v>
      </c>
      <c r="H2209" s="11">
        <v>1</v>
      </c>
    </row>
    <row r="2210" spans="6:8" x14ac:dyDescent="0.3">
      <c r="H2210" s="11">
        <v>1</v>
      </c>
    </row>
    <row r="2211" spans="6:8" x14ac:dyDescent="0.3">
      <c r="F2211" s="11">
        <v>-9.5525000000000002</v>
      </c>
      <c r="G2211" s="11">
        <v>51.4925</v>
      </c>
      <c r="H2211" s="11">
        <v>1</v>
      </c>
    </row>
    <row r="2212" spans="6:8" x14ac:dyDescent="0.3">
      <c r="H2212" s="11">
        <v>1</v>
      </c>
    </row>
    <row r="2213" spans="6:8" x14ac:dyDescent="0.3">
      <c r="F2213" s="11">
        <v>-9.4291669999999996</v>
      </c>
      <c r="G2213" s="11">
        <v>51.491110999999997</v>
      </c>
      <c r="H2213" s="11">
        <v>1</v>
      </c>
    </row>
    <row r="2214" spans="6:8" x14ac:dyDescent="0.3">
      <c r="H2214" s="11">
        <v>1</v>
      </c>
    </row>
    <row r="2215" spans="6:8" x14ac:dyDescent="0.3">
      <c r="F2215" s="11">
        <v>-9.4255560000000003</v>
      </c>
      <c r="G2215" s="11">
        <v>51.468611000000003</v>
      </c>
      <c r="H2215" s="11">
        <v>1</v>
      </c>
    </row>
    <row r="2216" spans="6:8" x14ac:dyDescent="0.3">
      <c r="H2216" s="11">
        <v>1</v>
      </c>
    </row>
    <row r="2217" spans="6:8" x14ac:dyDescent="0.3">
      <c r="F2217" s="11">
        <v>-9.5227780000000006</v>
      </c>
      <c r="G2217" s="11">
        <v>51.420278000000003</v>
      </c>
      <c r="H2217" s="11">
        <v>1</v>
      </c>
    </row>
    <row r="2218" spans="6:8" x14ac:dyDescent="0.3">
      <c r="F2218" s="11">
        <v>-9.4783329999999992</v>
      </c>
      <c r="G2218" s="11">
        <v>51.451110999999997</v>
      </c>
      <c r="H2218" s="11">
        <v>1</v>
      </c>
    </row>
    <row r="2219" spans="6:8" x14ac:dyDescent="0.3">
      <c r="H2219" s="11">
        <v>1</v>
      </c>
    </row>
    <row r="2220" spans="6:8" x14ac:dyDescent="0.3">
      <c r="F2220" s="11">
        <v>-9.6150000000000002</v>
      </c>
      <c r="G2220" s="11">
        <v>53.068610999999997</v>
      </c>
      <c r="H2220" s="11">
        <v>1</v>
      </c>
    </row>
    <row r="2221" spans="6:8" x14ac:dyDescent="0.3">
      <c r="H2221" s="11">
        <v>1</v>
      </c>
    </row>
    <row r="2222" spans="6:8" x14ac:dyDescent="0.3">
      <c r="F2222" s="11">
        <v>-8.2050000000000001</v>
      </c>
      <c r="G2222" s="11">
        <v>51.878056000000001</v>
      </c>
      <c r="H2222" s="11">
        <v>1</v>
      </c>
    </row>
    <row r="2223" spans="6:8" x14ac:dyDescent="0.3">
      <c r="F2223" s="11">
        <v>-8.2913890000000006</v>
      </c>
      <c r="G2223" s="11">
        <v>51.866388999999998</v>
      </c>
      <c r="H2223" s="11">
        <v>1</v>
      </c>
    </row>
    <row r="2224" spans="6:8" x14ac:dyDescent="0.3">
      <c r="F2224" s="11">
        <v>-8.3697219999999994</v>
      </c>
      <c r="G2224" s="11">
        <v>51.884444000000002</v>
      </c>
      <c r="H2224" s="11">
        <v>1</v>
      </c>
    </row>
    <row r="2225" spans="6:8" x14ac:dyDescent="0.3">
      <c r="F2225" s="11">
        <v>-8.3841669999999997</v>
      </c>
      <c r="G2225" s="11">
        <v>51.865833000000002</v>
      </c>
      <c r="H2225" s="11">
        <v>1</v>
      </c>
    </row>
    <row r="2226" spans="6:8" x14ac:dyDescent="0.3">
      <c r="F2226" s="11">
        <v>-8.3191670000000002</v>
      </c>
      <c r="G2226" s="11">
        <v>51.843888999999997</v>
      </c>
      <c r="H2226" s="11">
        <v>1</v>
      </c>
    </row>
    <row r="2227" spans="6:8" x14ac:dyDescent="0.3">
      <c r="H2227" s="11">
        <v>1</v>
      </c>
    </row>
    <row r="2228" spans="6:8" x14ac:dyDescent="0.3">
      <c r="F2228" s="11">
        <v>-8.2902780000000007</v>
      </c>
      <c r="G2228" s="11">
        <v>51.841110999999998</v>
      </c>
      <c r="H2228" s="11">
        <v>1</v>
      </c>
    </row>
    <row r="2229" spans="6:8" x14ac:dyDescent="0.3">
      <c r="F2229" s="11">
        <v>-8.2258329999999997</v>
      </c>
      <c r="G2229" s="11">
        <v>51.864167000000002</v>
      </c>
      <c r="H2229" s="11">
        <v>1</v>
      </c>
    </row>
    <row r="2230" spans="6:8" x14ac:dyDescent="0.3">
      <c r="H2230" s="11">
        <v>1</v>
      </c>
    </row>
    <row r="2231" spans="6:8" x14ac:dyDescent="0.3">
      <c r="F2231" s="11">
        <v>-8.2813890000000008</v>
      </c>
      <c r="G2231" s="11">
        <v>51.803610999999997</v>
      </c>
      <c r="H2231" s="11">
        <v>1</v>
      </c>
    </row>
    <row r="2232" spans="6:8" x14ac:dyDescent="0.3">
      <c r="F2232" s="11">
        <v>-8.2952779999999997</v>
      </c>
      <c r="G2232" s="11">
        <v>51.766111000000002</v>
      </c>
      <c r="H2232" s="11">
        <v>1</v>
      </c>
    </row>
    <row r="2233" spans="6:8" x14ac:dyDescent="0.3">
      <c r="F2233" s="11">
        <v>-8.3413889999999995</v>
      </c>
      <c r="G2233" s="11">
        <v>51.726944000000003</v>
      </c>
      <c r="H2233" s="11">
        <v>1</v>
      </c>
    </row>
    <row r="2234" spans="6:8" x14ac:dyDescent="0.3">
      <c r="F2234" s="11">
        <v>-8.4069439999999993</v>
      </c>
      <c r="G2234" s="11">
        <v>51.707500000000003</v>
      </c>
      <c r="H2234" s="11">
        <v>1</v>
      </c>
    </row>
    <row r="2235" spans="6:8" x14ac:dyDescent="0.3">
      <c r="F2235" s="11">
        <v>-8.4649999999999999</v>
      </c>
      <c r="G2235" s="11">
        <v>51.692500000000003</v>
      </c>
      <c r="H2235" s="11">
        <v>1</v>
      </c>
    </row>
    <row r="2236" spans="6:8" x14ac:dyDescent="0.3">
      <c r="F2236" s="11">
        <v>-8.5075000000000003</v>
      </c>
      <c r="G2236" s="11">
        <v>51.702778000000002</v>
      </c>
      <c r="H2236" s="11">
        <v>1</v>
      </c>
    </row>
    <row r="2237" spans="6:8" x14ac:dyDescent="0.3">
      <c r="F2237" s="11">
        <v>-8.5297219999999996</v>
      </c>
      <c r="G2237" s="11">
        <v>51.680278000000001</v>
      </c>
      <c r="H2237" s="11">
        <v>1</v>
      </c>
    </row>
    <row r="2238" spans="6:8" x14ac:dyDescent="0.3">
      <c r="F2238" s="11">
        <v>-8.5366669999999996</v>
      </c>
      <c r="G2238" s="11">
        <v>51.628056000000001</v>
      </c>
      <c r="H2238" s="11">
        <v>1</v>
      </c>
    </row>
    <row r="2239" spans="6:8" x14ac:dyDescent="0.3">
      <c r="F2239" s="11">
        <v>-8.5633330000000001</v>
      </c>
      <c r="G2239" s="11">
        <v>51.631667</v>
      </c>
      <c r="H2239" s="11">
        <v>1</v>
      </c>
    </row>
    <row r="2240" spans="6:8" x14ac:dyDescent="0.3">
      <c r="F2240" s="11">
        <v>-8.6522220000000001</v>
      </c>
      <c r="G2240" s="11">
        <v>51.638610999999997</v>
      </c>
      <c r="H2240" s="11">
        <v>1</v>
      </c>
    </row>
    <row r="2241" spans="6:8" x14ac:dyDescent="0.3">
      <c r="F2241" s="11">
        <v>-8.6869440000000004</v>
      </c>
      <c r="G2241" s="11">
        <v>51.604166999999997</v>
      </c>
      <c r="H2241" s="11">
        <v>1</v>
      </c>
    </row>
    <row r="2242" spans="6:8" x14ac:dyDescent="0.3">
      <c r="F2242" s="11">
        <v>-8.7269439999999996</v>
      </c>
      <c r="G2242" s="11">
        <v>51.577221999999999</v>
      </c>
      <c r="H2242" s="11">
        <v>1</v>
      </c>
    </row>
    <row r="2243" spans="6:8" x14ac:dyDescent="0.3">
      <c r="F2243" s="11">
        <v>-8.7730560000000004</v>
      </c>
      <c r="G2243" s="11">
        <v>51.587221999999997</v>
      </c>
      <c r="H2243" s="11">
        <v>1</v>
      </c>
    </row>
    <row r="2244" spans="6:8" x14ac:dyDescent="0.3">
      <c r="F2244" s="11">
        <v>-8.8519439999999996</v>
      </c>
      <c r="G2244" s="11">
        <v>51.591667000000001</v>
      </c>
      <c r="H2244" s="11">
        <v>1</v>
      </c>
    </row>
    <row r="2245" spans="6:8" x14ac:dyDescent="0.3">
      <c r="F2245" s="11">
        <v>-8.8902780000000003</v>
      </c>
      <c r="G2245" s="11">
        <v>51.551389</v>
      </c>
      <c r="H2245" s="11">
        <v>1</v>
      </c>
    </row>
    <row r="2246" spans="6:8" x14ac:dyDescent="0.3">
      <c r="F2246" s="11">
        <v>-8.9488889999999994</v>
      </c>
      <c r="G2246" s="11">
        <v>51.534166999999997</v>
      </c>
      <c r="H2246" s="11">
        <v>1</v>
      </c>
    </row>
    <row r="2247" spans="6:8" x14ac:dyDescent="0.3">
      <c r="F2247" s="11">
        <v>-8.9988890000000001</v>
      </c>
      <c r="G2247" s="11">
        <v>51.571666999999998</v>
      </c>
      <c r="H2247" s="11">
        <v>1</v>
      </c>
    </row>
    <row r="2248" spans="6:8" x14ac:dyDescent="0.3">
      <c r="F2248" s="11">
        <v>-9.0611110000000004</v>
      </c>
      <c r="G2248" s="11">
        <v>51.559443999999999</v>
      </c>
      <c r="H2248" s="11">
        <v>1</v>
      </c>
    </row>
    <row r="2249" spans="6:8" x14ac:dyDescent="0.3">
      <c r="F2249" s="11">
        <v>-9.1319440000000007</v>
      </c>
      <c r="G2249" s="11">
        <v>51.572221999999996</v>
      </c>
      <c r="H2249" s="11">
        <v>1</v>
      </c>
    </row>
    <row r="2250" spans="6:8" x14ac:dyDescent="0.3">
      <c r="F2250" s="11">
        <v>-9.1255559999999996</v>
      </c>
      <c r="G2250" s="11">
        <v>51.531944000000003</v>
      </c>
      <c r="H2250" s="11">
        <v>1</v>
      </c>
    </row>
    <row r="2251" spans="6:8" x14ac:dyDescent="0.3">
      <c r="F2251" s="11">
        <v>-9.1883330000000001</v>
      </c>
      <c r="G2251" s="11">
        <v>51.523611000000002</v>
      </c>
      <c r="H2251" s="11">
        <v>1</v>
      </c>
    </row>
    <row r="2252" spans="6:8" x14ac:dyDescent="0.3">
      <c r="F2252" s="11">
        <v>-9.2211110000000005</v>
      </c>
      <c r="G2252" s="11">
        <v>51.484444000000003</v>
      </c>
      <c r="H2252" s="11">
        <v>1</v>
      </c>
    </row>
    <row r="2253" spans="6:8" x14ac:dyDescent="0.3">
      <c r="F2253" s="11">
        <v>-9.2658330000000007</v>
      </c>
      <c r="G2253" s="11">
        <v>51.500278000000002</v>
      </c>
      <c r="H2253" s="11">
        <v>1</v>
      </c>
    </row>
    <row r="2254" spans="6:8" x14ac:dyDescent="0.3">
      <c r="F2254" s="11">
        <v>-9.3152779999999993</v>
      </c>
      <c r="G2254" s="11">
        <v>51.482778000000003</v>
      </c>
      <c r="H2254" s="11">
        <v>1</v>
      </c>
    </row>
    <row r="2255" spans="6:8" x14ac:dyDescent="0.3">
      <c r="F2255" s="11">
        <v>-9.3822220000000005</v>
      </c>
      <c r="G2255" s="11">
        <v>51.478611000000001</v>
      </c>
      <c r="H2255" s="11">
        <v>1</v>
      </c>
    </row>
    <row r="2256" spans="6:8" x14ac:dyDescent="0.3">
      <c r="F2256" s="11">
        <v>-9.4222219999999997</v>
      </c>
      <c r="G2256" s="11">
        <v>51.512777999999997</v>
      </c>
      <c r="H2256" s="11">
        <v>1</v>
      </c>
    </row>
    <row r="2257" spans="6:8" x14ac:dyDescent="0.3">
      <c r="F2257" s="11">
        <v>-9.4230560000000008</v>
      </c>
      <c r="G2257" s="11">
        <v>51.551667000000002</v>
      </c>
      <c r="H2257" s="11">
        <v>1</v>
      </c>
    </row>
    <row r="2258" spans="6:8" x14ac:dyDescent="0.3">
      <c r="F2258" s="11">
        <v>-9.4499999999999993</v>
      </c>
      <c r="G2258" s="11">
        <v>51.533056000000002</v>
      </c>
      <c r="H2258" s="11">
        <v>1</v>
      </c>
    </row>
    <row r="2259" spans="6:8" x14ac:dyDescent="0.3">
      <c r="F2259" s="11">
        <v>-9.5288889999999995</v>
      </c>
      <c r="G2259" s="11">
        <v>51.516388999999997</v>
      </c>
      <c r="H2259" s="11">
        <v>1</v>
      </c>
    </row>
    <row r="2260" spans="6:8" x14ac:dyDescent="0.3">
      <c r="F2260" s="11">
        <v>-9.5802779999999998</v>
      </c>
      <c r="G2260" s="11">
        <v>51.505277999999997</v>
      </c>
      <c r="H2260" s="11">
        <v>1</v>
      </c>
    </row>
    <row r="2261" spans="6:8" x14ac:dyDescent="0.3">
      <c r="F2261" s="11">
        <v>-9.6341669999999997</v>
      </c>
      <c r="G2261" s="11">
        <v>51.498888999999998</v>
      </c>
      <c r="H2261" s="11">
        <v>1</v>
      </c>
    </row>
    <row r="2262" spans="6:8" x14ac:dyDescent="0.3">
      <c r="F2262" s="11">
        <v>-9.6847220000000007</v>
      </c>
      <c r="G2262" s="11">
        <v>51.499167</v>
      </c>
      <c r="H2262" s="11">
        <v>1</v>
      </c>
    </row>
    <row r="2263" spans="6:8" x14ac:dyDescent="0.3">
      <c r="F2263" s="11">
        <v>-9.7113890000000005</v>
      </c>
      <c r="G2263" s="11">
        <v>51.463332999999999</v>
      </c>
      <c r="H2263" s="11">
        <v>1</v>
      </c>
    </row>
    <row r="2264" spans="6:8" x14ac:dyDescent="0.3">
      <c r="F2264" s="11">
        <v>-9.766667</v>
      </c>
      <c r="G2264" s="11">
        <v>51.458888999999999</v>
      </c>
      <c r="H2264" s="11">
        <v>1</v>
      </c>
    </row>
    <row r="2265" spans="6:8" x14ac:dyDescent="0.3">
      <c r="F2265" s="11">
        <v>-9.8180560000000003</v>
      </c>
      <c r="G2265" s="11">
        <v>51.461388999999997</v>
      </c>
      <c r="H2265" s="11">
        <v>1</v>
      </c>
    </row>
    <row r="2266" spans="6:8" x14ac:dyDescent="0.3">
      <c r="F2266" s="11">
        <v>-9.8055559999999993</v>
      </c>
      <c r="G2266" s="11">
        <v>51.489722</v>
      </c>
      <c r="H2266" s="11">
        <v>1</v>
      </c>
    </row>
    <row r="2267" spans="6:8" x14ac:dyDescent="0.3">
      <c r="F2267" s="11">
        <v>-9.7411110000000001</v>
      </c>
      <c r="G2267" s="11">
        <v>51.518056000000001</v>
      </c>
      <c r="H2267" s="11">
        <v>1</v>
      </c>
    </row>
    <row r="2268" spans="6:8" x14ac:dyDescent="0.3">
      <c r="F2268" s="11">
        <v>-9.6852780000000003</v>
      </c>
      <c r="G2268" s="11">
        <v>51.536943999999998</v>
      </c>
      <c r="H2268" s="11">
        <v>1</v>
      </c>
    </row>
    <row r="2269" spans="6:8" x14ac:dyDescent="0.3">
      <c r="F2269" s="11">
        <v>-9.6277779999999993</v>
      </c>
      <c r="G2269" s="11">
        <v>51.569721999999999</v>
      </c>
      <c r="H2269" s="11">
        <v>1</v>
      </c>
    </row>
    <row r="2270" spans="6:8" x14ac:dyDescent="0.3">
      <c r="F2270" s="11">
        <v>-9.5719440000000002</v>
      </c>
      <c r="G2270" s="11">
        <v>51.603056000000002</v>
      </c>
      <c r="H2270" s="11">
        <v>1</v>
      </c>
    </row>
    <row r="2271" spans="6:8" x14ac:dyDescent="0.3">
      <c r="F2271" s="11">
        <v>-9.588889</v>
      </c>
      <c r="G2271" s="11">
        <v>51.613056</v>
      </c>
      <c r="H2271" s="11">
        <v>1</v>
      </c>
    </row>
    <row r="2272" spans="6:8" x14ac:dyDescent="0.3">
      <c r="F2272" s="11">
        <v>-9.6577780000000004</v>
      </c>
      <c r="G2272" s="11">
        <v>51.588611</v>
      </c>
      <c r="H2272" s="11">
        <v>1</v>
      </c>
    </row>
    <row r="2273" spans="6:8" x14ac:dyDescent="0.3">
      <c r="F2273" s="11">
        <v>-9.73</v>
      </c>
      <c r="G2273" s="11">
        <v>51.564999999999998</v>
      </c>
      <c r="H2273" s="11">
        <v>1</v>
      </c>
    </row>
    <row r="2274" spans="6:8" x14ac:dyDescent="0.3">
      <c r="F2274" s="11">
        <v>-9.7994439999999994</v>
      </c>
      <c r="G2274" s="11">
        <v>51.544722</v>
      </c>
      <c r="H2274" s="11">
        <v>1</v>
      </c>
    </row>
    <row r="2275" spans="6:8" x14ac:dyDescent="0.3">
      <c r="F2275" s="11">
        <v>-9.8147219999999997</v>
      </c>
      <c r="G2275" s="11">
        <v>51.556111000000001</v>
      </c>
      <c r="H2275" s="11">
        <v>1</v>
      </c>
    </row>
    <row r="2276" spans="6:8" x14ac:dyDescent="0.3">
      <c r="F2276" s="11">
        <v>-9.7591669999999997</v>
      </c>
      <c r="G2276" s="11">
        <v>51.590277999999998</v>
      </c>
      <c r="H2276" s="11">
        <v>1</v>
      </c>
    </row>
    <row r="2277" spans="6:8" x14ac:dyDescent="0.3">
      <c r="F2277" s="11">
        <v>-9.6886109999999999</v>
      </c>
      <c r="G2277" s="11">
        <v>51.613610999999999</v>
      </c>
      <c r="H2277" s="11">
        <v>1</v>
      </c>
    </row>
    <row r="2278" spans="6:8" x14ac:dyDescent="0.3">
      <c r="F2278" s="11">
        <v>-9.6166669999999996</v>
      </c>
      <c r="G2278" s="11">
        <v>51.636111</v>
      </c>
      <c r="H2278" s="11">
        <v>1</v>
      </c>
    </row>
    <row r="2279" spans="6:8" x14ac:dyDescent="0.3">
      <c r="F2279" s="11">
        <v>-9.5433330000000005</v>
      </c>
      <c r="G2279" s="11">
        <v>51.658889000000002</v>
      </c>
      <c r="H2279" s="11">
        <v>1</v>
      </c>
    </row>
    <row r="2280" spans="6:8" x14ac:dyDescent="0.3">
      <c r="F2280" s="11">
        <v>-9.4666669999999993</v>
      </c>
      <c r="G2280" s="11">
        <v>51.679167</v>
      </c>
      <c r="H2280" s="11">
        <v>1</v>
      </c>
    </row>
    <row r="2281" spans="6:8" x14ac:dyDescent="0.3">
      <c r="F2281" s="11">
        <v>-9.4488889999999994</v>
      </c>
      <c r="G2281" s="11">
        <v>51.721389000000002</v>
      </c>
      <c r="H2281" s="11">
        <v>1</v>
      </c>
    </row>
    <row r="2282" spans="6:8" x14ac:dyDescent="0.3">
      <c r="F2282" s="11">
        <v>-9.5091669999999997</v>
      </c>
      <c r="G2282" s="11">
        <v>51.721389000000002</v>
      </c>
      <c r="H2282" s="11">
        <v>1</v>
      </c>
    </row>
    <row r="2283" spans="6:8" x14ac:dyDescent="0.3">
      <c r="F2283" s="11">
        <v>-9.5594439999999992</v>
      </c>
      <c r="G2283" s="11">
        <v>51.752777999999999</v>
      </c>
      <c r="H2283" s="11">
        <v>1</v>
      </c>
    </row>
    <row r="2284" spans="6:8" x14ac:dyDescent="0.3">
      <c r="F2284" s="11">
        <v>-9.5680560000000003</v>
      </c>
      <c r="G2284" s="11">
        <v>51.71</v>
      </c>
      <c r="H2284" s="11">
        <v>1</v>
      </c>
    </row>
    <row r="2285" spans="6:8" x14ac:dyDescent="0.3">
      <c r="F2285" s="11">
        <v>-9.6341669999999997</v>
      </c>
      <c r="G2285" s="11">
        <v>51.683332999999998</v>
      </c>
      <c r="H2285" s="11">
        <v>1</v>
      </c>
    </row>
    <row r="2286" spans="6:8" x14ac:dyDescent="0.3">
      <c r="F2286" s="11">
        <v>-9.7211110000000005</v>
      </c>
      <c r="G2286" s="11">
        <v>51.673611000000001</v>
      </c>
      <c r="H2286" s="11">
        <v>1</v>
      </c>
    </row>
    <row r="2287" spans="6:8" x14ac:dyDescent="0.3">
      <c r="F2287" s="11">
        <v>-9.8011110000000006</v>
      </c>
      <c r="G2287" s="11">
        <v>51.655278000000003</v>
      </c>
      <c r="H2287" s="11">
        <v>1</v>
      </c>
    </row>
    <row r="2288" spans="6:8" x14ac:dyDescent="0.3">
      <c r="F2288" s="11">
        <v>-9.8925000000000001</v>
      </c>
      <c r="G2288" s="11">
        <v>51.648055999999997</v>
      </c>
      <c r="H2288" s="11">
        <v>1</v>
      </c>
    </row>
    <row r="2289" spans="6:8" x14ac:dyDescent="0.3">
      <c r="F2289" s="11">
        <v>-9.9425000000000008</v>
      </c>
      <c r="G2289" s="11">
        <v>51.615278000000004</v>
      </c>
      <c r="H2289" s="11">
        <v>1</v>
      </c>
    </row>
    <row r="2290" spans="6:8" x14ac:dyDescent="0.3">
      <c r="F2290" s="11">
        <v>-10.013332999999999</v>
      </c>
      <c r="G2290" s="11">
        <v>51.601944000000003</v>
      </c>
      <c r="H2290" s="11">
        <v>1</v>
      </c>
    </row>
    <row r="2291" spans="6:8" x14ac:dyDescent="0.3">
      <c r="F2291" s="11">
        <v>-10.093056000000001</v>
      </c>
      <c r="G2291" s="11">
        <v>51.601111000000003</v>
      </c>
      <c r="H2291" s="11">
        <v>1</v>
      </c>
    </row>
    <row r="2292" spans="6:8" x14ac:dyDescent="0.3">
      <c r="F2292" s="11">
        <v>-10.159167</v>
      </c>
      <c r="G2292" s="11">
        <v>51.587778</v>
      </c>
      <c r="H2292" s="11">
        <v>1</v>
      </c>
    </row>
    <row r="2293" spans="6:8" x14ac:dyDescent="0.3">
      <c r="F2293" s="11">
        <v>-10.118055999999999</v>
      </c>
      <c r="G2293" s="11">
        <v>51.613332999999997</v>
      </c>
      <c r="H2293" s="11">
        <v>1</v>
      </c>
    </row>
    <row r="2294" spans="6:8" x14ac:dyDescent="0.3">
      <c r="F2294" s="11">
        <v>-10.059722000000001</v>
      </c>
      <c r="G2294" s="11">
        <v>51.643611</v>
      </c>
      <c r="H2294" s="11">
        <v>1</v>
      </c>
    </row>
    <row r="2295" spans="6:8" x14ac:dyDescent="0.3">
      <c r="F2295" s="11">
        <v>-10.079167</v>
      </c>
      <c r="G2295" s="11">
        <v>51.671111000000003</v>
      </c>
      <c r="H2295" s="11">
        <v>1</v>
      </c>
    </row>
    <row r="2296" spans="6:8" x14ac:dyDescent="0.3">
      <c r="F2296" s="11">
        <v>-9.9875000000000007</v>
      </c>
      <c r="G2296" s="11">
        <v>51.678055999999998</v>
      </c>
      <c r="H2296" s="11">
        <v>1</v>
      </c>
    </row>
    <row r="2297" spans="6:8" x14ac:dyDescent="0.3">
      <c r="F2297" s="11">
        <v>-9.9802780000000002</v>
      </c>
      <c r="G2297" s="11">
        <v>51.708610999999998</v>
      </c>
      <c r="H2297" s="11">
        <v>1</v>
      </c>
    </row>
    <row r="2298" spans="6:8" x14ac:dyDescent="0.3">
      <c r="F2298" s="11">
        <v>-9.9544440000000005</v>
      </c>
      <c r="G2298" s="11">
        <v>51.737499999999997</v>
      </c>
      <c r="H2298" s="11">
        <v>1</v>
      </c>
    </row>
    <row r="2299" spans="6:8" x14ac:dyDescent="0.3">
      <c r="F2299" s="11">
        <v>-9.8908330000000007</v>
      </c>
      <c r="G2299" s="11">
        <v>51.756110999999997</v>
      </c>
      <c r="H2299" s="11">
        <v>1</v>
      </c>
    </row>
    <row r="2300" spans="6:8" x14ac:dyDescent="0.3">
      <c r="F2300" s="11">
        <v>-9.8580559999999995</v>
      </c>
      <c r="G2300" s="11">
        <v>51.750278000000002</v>
      </c>
      <c r="H2300" s="11">
        <v>1</v>
      </c>
    </row>
    <row r="2301" spans="6:8" x14ac:dyDescent="0.3">
      <c r="F2301" s="11">
        <v>-9.8049999999999997</v>
      </c>
      <c r="G2301" s="11">
        <v>51.766666999999998</v>
      </c>
      <c r="H2301" s="11">
        <v>1</v>
      </c>
    </row>
    <row r="2302" spans="6:8" x14ac:dyDescent="0.3">
      <c r="F2302" s="11">
        <v>-9.7966669999999993</v>
      </c>
      <c r="G2302" s="11">
        <v>51.790832999999999</v>
      </c>
      <c r="H2302" s="11">
        <v>1</v>
      </c>
    </row>
    <row r="2303" spans="6:8" x14ac:dyDescent="0.3">
      <c r="F2303" s="11">
        <v>-9.7438889999999994</v>
      </c>
      <c r="G2303" s="11">
        <v>51.826943999999997</v>
      </c>
      <c r="H2303" s="11">
        <v>1</v>
      </c>
    </row>
    <row r="2304" spans="6:8" x14ac:dyDescent="0.3">
      <c r="F2304" s="11">
        <v>-9.6608330000000002</v>
      </c>
      <c r="G2304" s="11">
        <v>51.842778000000003</v>
      </c>
      <c r="H2304" s="11">
        <v>1</v>
      </c>
    </row>
    <row r="2305" spans="6:8" x14ac:dyDescent="0.3">
      <c r="F2305" s="11">
        <v>-9.5880559999999999</v>
      </c>
      <c r="G2305" s="11">
        <v>51.866667</v>
      </c>
      <c r="H2305" s="11">
        <v>1</v>
      </c>
    </row>
    <row r="2306" spans="6:8" x14ac:dyDescent="0.3">
      <c r="F2306" s="11">
        <v>-9.6475000000000009</v>
      </c>
      <c r="G2306" s="11">
        <v>51.868611000000001</v>
      </c>
      <c r="H2306" s="11">
        <v>1</v>
      </c>
    </row>
    <row r="2307" spans="6:8" x14ac:dyDescent="0.3">
      <c r="F2307" s="11">
        <v>-9.7274999999999991</v>
      </c>
      <c r="G2307" s="11">
        <v>51.849722</v>
      </c>
      <c r="H2307" s="11">
        <v>1</v>
      </c>
    </row>
    <row r="2308" spans="6:8" x14ac:dyDescent="0.3">
      <c r="F2308" s="11">
        <v>-9.7936110000000003</v>
      </c>
      <c r="G2308" s="11">
        <v>51.822778</v>
      </c>
      <c r="H2308" s="11">
        <v>1</v>
      </c>
    </row>
    <row r="2309" spans="6:8" x14ac:dyDescent="0.3">
      <c r="F2309" s="11">
        <v>-9.8358329999999992</v>
      </c>
      <c r="G2309" s="11">
        <v>51.811110999999997</v>
      </c>
      <c r="H2309" s="11">
        <v>1</v>
      </c>
    </row>
    <row r="2310" spans="6:8" x14ac:dyDescent="0.3">
      <c r="F2310" s="11">
        <v>-9.8883329999999994</v>
      </c>
      <c r="G2310" s="11">
        <v>51.818333000000003</v>
      </c>
      <c r="H2310" s="11">
        <v>1</v>
      </c>
    </row>
    <row r="2311" spans="6:8" x14ac:dyDescent="0.3">
      <c r="F2311" s="11">
        <v>-9.9594439999999995</v>
      </c>
      <c r="G2311" s="11">
        <v>51.796944000000003</v>
      </c>
      <c r="H2311" s="11">
        <v>1</v>
      </c>
    </row>
    <row r="2312" spans="6:8" x14ac:dyDescent="0.3">
      <c r="F2312" s="11">
        <v>-10.029166999999999</v>
      </c>
      <c r="G2312" s="11">
        <v>51.774999999999999</v>
      </c>
      <c r="H2312" s="11">
        <v>1</v>
      </c>
    </row>
    <row r="2313" spans="6:8" x14ac:dyDescent="0.3">
      <c r="F2313" s="11">
        <v>-10.101667000000001</v>
      </c>
      <c r="G2313" s="11">
        <v>51.752499999999998</v>
      </c>
      <c r="H2313" s="11">
        <v>1</v>
      </c>
    </row>
    <row r="2314" spans="6:8" x14ac:dyDescent="0.3">
      <c r="F2314" s="11">
        <v>-10.134722</v>
      </c>
      <c r="G2314" s="11">
        <v>51.756110999999997</v>
      </c>
      <c r="H2314" s="11">
        <v>1</v>
      </c>
    </row>
    <row r="2315" spans="6:8" x14ac:dyDescent="0.3">
      <c r="F2315" s="11">
        <v>-10.208055999999999</v>
      </c>
      <c r="G2315" s="11">
        <v>51.773888999999997</v>
      </c>
      <c r="H2315" s="11">
        <v>1</v>
      </c>
    </row>
    <row r="2316" spans="6:8" x14ac:dyDescent="0.3">
      <c r="F2316" s="11">
        <v>-10.18</v>
      </c>
      <c r="G2316" s="11">
        <v>51.798333</v>
      </c>
      <c r="H2316" s="11">
        <v>1</v>
      </c>
    </row>
    <row r="2317" spans="6:8" x14ac:dyDescent="0.3">
      <c r="F2317" s="11">
        <v>-10.199444</v>
      </c>
      <c r="G2317" s="11">
        <v>51.846111000000001</v>
      </c>
      <c r="H2317" s="11">
        <v>1</v>
      </c>
    </row>
    <row r="2318" spans="6:8" x14ac:dyDescent="0.3">
      <c r="F2318" s="11">
        <v>-10.269166999999999</v>
      </c>
      <c r="G2318" s="11">
        <v>51.824167000000003</v>
      </c>
      <c r="H2318" s="11">
        <v>1</v>
      </c>
    </row>
    <row r="2319" spans="6:8" x14ac:dyDescent="0.3">
      <c r="F2319" s="11">
        <v>-10.323611</v>
      </c>
      <c r="G2319" s="11">
        <v>51.789166999999999</v>
      </c>
      <c r="H2319" s="11">
        <v>1</v>
      </c>
    </row>
    <row r="2320" spans="6:8" x14ac:dyDescent="0.3">
      <c r="H2320" s="11">
        <v>1</v>
      </c>
    </row>
    <row r="2321" spans="6:8" x14ac:dyDescent="0.3">
      <c r="F2321" s="11">
        <v>-6.3194439999999998</v>
      </c>
      <c r="G2321" s="11">
        <v>52.241943999999997</v>
      </c>
      <c r="H2321" s="11">
        <v>1</v>
      </c>
    </row>
    <row r="2322" spans="6:8" x14ac:dyDescent="0.3">
      <c r="F2322" s="11">
        <v>-6.3475000000000001</v>
      </c>
      <c r="G2322" s="11">
        <v>52.195278000000002</v>
      </c>
      <c r="H2322" s="11">
        <v>1</v>
      </c>
    </row>
    <row r="2323" spans="6:8" x14ac:dyDescent="0.3">
      <c r="F2323" s="11">
        <v>-6.4022220000000001</v>
      </c>
      <c r="G2323" s="11">
        <v>52.185833000000002</v>
      </c>
      <c r="H2323" s="11">
        <v>1</v>
      </c>
    </row>
    <row r="2324" spans="6:8" x14ac:dyDescent="0.3">
      <c r="F2324" s="11">
        <v>-6.4283330000000003</v>
      </c>
      <c r="G2324" s="11">
        <v>52.193055999999999</v>
      </c>
      <c r="H2324" s="11">
        <v>1</v>
      </c>
    </row>
    <row r="2325" spans="6:8" x14ac:dyDescent="0.3">
      <c r="F2325" s="11">
        <v>-6.4480560000000002</v>
      </c>
      <c r="G2325" s="11">
        <v>52.200277999999997</v>
      </c>
      <c r="H2325" s="11">
        <v>1</v>
      </c>
    </row>
    <row r="2326" spans="6:8" x14ac:dyDescent="0.3">
      <c r="F2326" s="11">
        <v>-6.5177779999999998</v>
      </c>
      <c r="G2326" s="11">
        <v>52.1875</v>
      </c>
      <c r="H2326" s="11">
        <v>1</v>
      </c>
    </row>
    <row r="2327" spans="6:8" x14ac:dyDescent="0.3">
      <c r="F2327" s="11">
        <v>-6.5958329999999998</v>
      </c>
      <c r="G2327" s="11">
        <v>52.173333</v>
      </c>
      <c r="H2327" s="11">
        <v>1</v>
      </c>
    </row>
    <row r="2328" spans="6:8" x14ac:dyDescent="0.3">
      <c r="F2328" s="11">
        <v>-6.6577780000000004</v>
      </c>
      <c r="G2328" s="11">
        <v>52.203888999999997</v>
      </c>
      <c r="H2328" s="11">
        <v>1</v>
      </c>
    </row>
    <row r="2329" spans="6:8" x14ac:dyDescent="0.3">
      <c r="F2329" s="11">
        <v>-6.7491669999999999</v>
      </c>
      <c r="G2329" s="11">
        <v>52.211666999999998</v>
      </c>
      <c r="H2329" s="11">
        <v>1</v>
      </c>
    </row>
    <row r="2330" spans="6:8" x14ac:dyDescent="0.3">
      <c r="F2330" s="11">
        <v>-6.7872219999999999</v>
      </c>
      <c r="G2330" s="11">
        <v>52.220556000000002</v>
      </c>
      <c r="H2330" s="11">
        <v>1</v>
      </c>
    </row>
    <row r="2331" spans="6:8" x14ac:dyDescent="0.3">
      <c r="F2331" s="11">
        <v>-6.7752780000000001</v>
      </c>
      <c r="G2331" s="11">
        <v>52.250278000000002</v>
      </c>
      <c r="H2331" s="11">
        <v>1</v>
      </c>
    </row>
    <row r="2332" spans="6:8" x14ac:dyDescent="0.3">
      <c r="F2332" s="11">
        <v>-6.8355560000000004</v>
      </c>
      <c r="G2332" s="11">
        <v>52.233611000000003</v>
      </c>
      <c r="H2332" s="11">
        <v>1</v>
      </c>
    </row>
    <row r="2333" spans="6:8" x14ac:dyDescent="0.3">
      <c r="F2333" s="11">
        <v>-6.8194439999999998</v>
      </c>
      <c r="G2333" s="11">
        <v>52.200277999999997</v>
      </c>
      <c r="H2333" s="11">
        <v>1</v>
      </c>
    </row>
    <row r="2334" spans="6:8" x14ac:dyDescent="0.3">
      <c r="F2334" s="11">
        <v>-6.848611</v>
      </c>
      <c r="G2334" s="11">
        <v>52.168056</v>
      </c>
      <c r="H2334" s="11">
        <v>1</v>
      </c>
    </row>
    <row r="2335" spans="6:8" x14ac:dyDescent="0.3">
      <c r="F2335" s="11">
        <v>-6.9083329999999998</v>
      </c>
      <c r="G2335" s="11">
        <v>52.136111</v>
      </c>
      <c r="H2335" s="11">
        <v>1</v>
      </c>
    </row>
    <row r="2336" spans="6:8" x14ac:dyDescent="0.3">
      <c r="F2336" s="11">
        <v>-6.9325000000000001</v>
      </c>
      <c r="G2336" s="11">
        <v>52.143611</v>
      </c>
      <c r="H2336" s="11">
        <v>1</v>
      </c>
    </row>
    <row r="2337" spans="6:8" x14ac:dyDescent="0.3">
      <c r="F2337" s="11">
        <v>-6.9138890000000002</v>
      </c>
      <c r="G2337" s="11">
        <v>52.186388999999998</v>
      </c>
      <c r="H2337" s="11">
        <v>1</v>
      </c>
    </row>
    <row r="2338" spans="6:8" x14ac:dyDescent="0.3">
      <c r="F2338" s="11">
        <v>-6.9458330000000004</v>
      </c>
      <c r="G2338" s="11">
        <v>52.231110999999999</v>
      </c>
      <c r="H2338" s="11">
        <v>1</v>
      </c>
    </row>
    <row r="2339" spans="6:8" x14ac:dyDescent="0.3">
      <c r="F2339" s="11">
        <v>-6.979444</v>
      </c>
      <c r="G2339" s="11">
        <v>52.276944</v>
      </c>
      <c r="H2339" s="11">
        <v>1</v>
      </c>
    </row>
    <row r="2340" spans="6:8" x14ac:dyDescent="0.3">
      <c r="F2340" s="11">
        <v>-6.9861110000000002</v>
      </c>
      <c r="G2340" s="11">
        <v>52.244166999999997</v>
      </c>
      <c r="H2340" s="11">
        <v>1</v>
      </c>
    </row>
    <row r="2341" spans="6:8" x14ac:dyDescent="0.3">
      <c r="F2341" s="11">
        <v>-6.9850000000000003</v>
      </c>
      <c r="G2341" s="11">
        <v>52.195</v>
      </c>
      <c r="H2341" s="11">
        <v>1</v>
      </c>
    </row>
    <row r="2342" spans="6:8" x14ac:dyDescent="0.3">
      <c r="F2342" s="11">
        <v>-6.976667</v>
      </c>
      <c r="G2342" s="11">
        <v>52.165556000000002</v>
      </c>
      <c r="H2342" s="11">
        <v>1</v>
      </c>
    </row>
    <row r="2343" spans="6:8" x14ac:dyDescent="0.3">
      <c r="F2343" s="11">
        <v>-7.0355559999999997</v>
      </c>
      <c r="G2343" s="11">
        <v>52.133056000000003</v>
      </c>
      <c r="H2343" s="11">
        <v>1</v>
      </c>
    </row>
    <row r="2344" spans="6:8" x14ac:dyDescent="0.3">
      <c r="F2344" s="11">
        <v>-7.0961109999999996</v>
      </c>
      <c r="G2344" s="11">
        <v>52.141944000000002</v>
      </c>
      <c r="H2344" s="11">
        <v>1</v>
      </c>
    </row>
    <row r="2345" spans="6:8" x14ac:dyDescent="0.3">
      <c r="F2345" s="11">
        <v>-7.1180560000000002</v>
      </c>
      <c r="G2345" s="11">
        <v>52.170278000000003</v>
      </c>
      <c r="H2345" s="11">
        <v>1</v>
      </c>
    </row>
    <row r="2346" spans="6:8" x14ac:dyDescent="0.3">
      <c r="F2346" s="11">
        <v>-7.1522220000000001</v>
      </c>
      <c r="G2346" s="11">
        <v>52.154722</v>
      </c>
      <c r="H2346" s="11">
        <v>1</v>
      </c>
    </row>
    <row r="2347" spans="6:8" x14ac:dyDescent="0.3">
      <c r="F2347" s="11">
        <v>-7.2227779999999999</v>
      </c>
      <c r="G2347" s="11">
        <v>52.130277999999997</v>
      </c>
      <c r="H2347" s="11">
        <v>1</v>
      </c>
    </row>
    <row r="2348" spans="6:8" x14ac:dyDescent="0.3">
      <c r="F2348" s="11">
        <v>-7.3155559999999999</v>
      </c>
      <c r="G2348" s="11">
        <v>52.131110999999997</v>
      </c>
      <c r="H2348" s="11">
        <v>1</v>
      </c>
    </row>
    <row r="2349" spans="6:8" x14ac:dyDescent="0.3">
      <c r="F2349" s="11">
        <v>-7.4038890000000004</v>
      </c>
      <c r="G2349" s="11">
        <v>52.125278000000002</v>
      </c>
      <c r="H2349" s="11">
        <v>1</v>
      </c>
    </row>
    <row r="2350" spans="6:8" x14ac:dyDescent="0.3">
      <c r="F2350" s="11">
        <v>-7.4836109999999998</v>
      </c>
      <c r="G2350" s="11">
        <v>52.111389000000003</v>
      </c>
      <c r="H2350" s="11">
        <v>1</v>
      </c>
    </row>
    <row r="2351" spans="6:8" x14ac:dyDescent="0.3">
      <c r="F2351" s="11">
        <v>-7.5530559999999998</v>
      </c>
      <c r="G2351" s="11">
        <v>52.085833000000001</v>
      </c>
      <c r="H2351" s="11">
        <v>1</v>
      </c>
    </row>
    <row r="2352" spans="6:8" x14ac:dyDescent="0.3">
      <c r="F2352" s="11">
        <v>-7.6147220000000004</v>
      </c>
      <c r="G2352" s="11">
        <v>52.086388999999997</v>
      </c>
      <c r="H2352" s="11">
        <v>1</v>
      </c>
    </row>
    <row r="2353" spans="6:8" x14ac:dyDescent="0.3">
      <c r="F2353" s="11">
        <v>-7.5616669999999999</v>
      </c>
      <c r="G2353" s="11">
        <v>52.059167000000002</v>
      </c>
      <c r="H2353" s="11">
        <v>1</v>
      </c>
    </row>
    <row r="2354" spans="6:8" x14ac:dyDescent="0.3">
      <c r="F2354" s="11">
        <v>-7.5822219999999998</v>
      </c>
      <c r="G2354" s="11">
        <v>52.027777999999998</v>
      </c>
      <c r="H2354" s="11">
        <v>1</v>
      </c>
    </row>
    <row r="2355" spans="6:8" x14ac:dyDescent="0.3">
      <c r="F2355" s="11">
        <v>-7.6177780000000004</v>
      </c>
      <c r="G2355" s="11">
        <v>51.989722</v>
      </c>
      <c r="H2355" s="11">
        <v>1</v>
      </c>
    </row>
    <row r="2356" spans="6:8" x14ac:dyDescent="0.3">
      <c r="F2356" s="11">
        <v>-7.7052779999999998</v>
      </c>
      <c r="G2356" s="11">
        <v>51.977221999999998</v>
      </c>
      <c r="H2356" s="11">
        <v>1</v>
      </c>
    </row>
    <row r="2357" spans="6:8" x14ac:dyDescent="0.3">
      <c r="F2357" s="11">
        <v>-7.7552779999999997</v>
      </c>
      <c r="G2357" s="11">
        <v>51.941667000000002</v>
      </c>
      <c r="H2357" s="11">
        <v>1</v>
      </c>
    </row>
    <row r="2358" spans="6:8" x14ac:dyDescent="0.3">
      <c r="F2358" s="11">
        <v>-7.8302779999999998</v>
      </c>
      <c r="G2358" s="11">
        <v>51.945833</v>
      </c>
      <c r="H2358" s="11">
        <v>1</v>
      </c>
    </row>
    <row r="2359" spans="6:8" x14ac:dyDescent="0.3">
      <c r="F2359" s="11">
        <v>-7.8761109999999999</v>
      </c>
      <c r="G2359" s="11">
        <v>51.931944000000001</v>
      </c>
      <c r="H2359" s="11">
        <v>1</v>
      </c>
    </row>
    <row r="2360" spans="6:8" x14ac:dyDescent="0.3">
      <c r="F2360" s="11">
        <v>-7.9147220000000003</v>
      </c>
      <c r="G2360" s="11">
        <v>51.903333000000003</v>
      </c>
      <c r="H2360" s="11">
        <v>1</v>
      </c>
    </row>
    <row r="2361" spans="6:8" x14ac:dyDescent="0.3">
      <c r="F2361" s="11">
        <v>-7.9063889999999999</v>
      </c>
      <c r="G2361" s="11">
        <v>51.874443999999997</v>
      </c>
      <c r="H2361" s="11">
        <v>1</v>
      </c>
    </row>
    <row r="2362" spans="6:8" x14ac:dyDescent="0.3">
      <c r="F2362" s="11">
        <v>-7.9958330000000002</v>
      </c>
      <c r="G2362" s="11">
        <v>51.863056</v>
      </c>
      <c r="H2362" s="11">
        <v>1</v>
      </c>
    </row>
    <row r="2363" spans="6:8" x14ac:dyDescent="0.3">
      <c r="F2363" s="11">
        <v>-8.0111109999999996</v>
      </c>
      <c r="G2363" s="11">
        <v>51.824444</v>
      </c>
      <c r="H2363" s="11">
        <v>1</v>
      </c>
    </row>
    <row r="2364" spans="6:8" x14ac:dyDescent="0.3">
      <c r="F2364" s="11">
        <v>-8.0983330000000002</v>
      </c>
      <c r="G2364" s="11">
        <v>51.811110999999997</v>
      </c>
      <c r="H2364" s="11">
        <v>1</v>
      </c>
    </row>
    <row r="2365" spans="6:8" x14ac:dyDescent="0.3">
      <c r="F2365" s="11">
        <v>-8.1738890000000008</v>
      </c>
      <c r="G2365" s="11">
        <v>51.792777999999998</v>
      </c>
      <c r="H2365" s="11">
        <v>1</v>
      </c>
    </row>
    <row r="2366" spans="6:8" x14ac:dyDescent="0.3">
      <c r="F2366" s="11">
        <v>-8.2547219999999992</v>
      </c>
      <c r="G2366" s="11">
        <v>51.805</v>
      </c>
      <c r="H2366" s="11">
        <v>1</v>
      </c>
    </row>
    <row r="2367" spans="6:8" x14ac:dyDescent="0.3">
      <c r="F2367" s="11">
        <v>-8.2311110000000003</v>
      </c>
      <c r="G2367" s="11">
        <v>51.839444</v>
      </c>
      <c r="H2367" s="11">
        <v>1</v>
      </c>
    </row>
    <row r="2368" spans="6:8" x14ac:dyDescent="0.3">
      <c r="H2368" s="11">
        <v>1</v>
      </c>
    </row>
    <row r="2369" spans="6:8" x14ac:dyDescent="0.3">
      <c r="F2369" s="11">
        <v>-6.1033330000000001</v>
      </c>
      <c r="G2369" s="11">
        <v>53.378332999999998</v>
      </c>
      <c r="H2369" s="11">
        <v>1</v>
      </c>
    </row>
    <row r="2370" spans="6:8" x14ac:dyDescent="0.3">
      <c r="F2370" s="11">
        <v>-6.1755560000000003</v>
      </c>
      <c r="G2370" s="11">
        <v>53.37</v>
      </c>
      <c r="H2370" s="11">
        <v>1</v>
      </c>
    </row>
    <row r="2371" spans="6:8" x14ac:dyDescent="0.3">
      <c r="F2371" s="11">
        <v>-6.2166670000000002</v>
      </c>
      <c r="G2371" s="11">
        <v>53.34</v>
      </c>
      <c r="H2371" s="11">
        <v>1</v>
      </c>
    </row>
    <row r="2372" spans="6:8" x14ac:dyDescent="0.3">
      <c r="F2372" s="11">
        <v>-6.1686110000000003</v>
      </c>
      <c r="G2372" s="11">
        <v>53.301110999999999</v>
      </c>
      <c r="H2372" s="11">
        <v>1</v>
      </c>
    </row>
    <row r="2373" spans="6:8" x14ac:dyDescent="0.3">
      <c r="F2373" s="11">
        <v>-6.092778</v>
      </c>
      <c r="G2373" s="11">
        <v>53.275278</v>
      </c>
      <c r="H2373" s="11">
        <v>1</v>
      </c>
    </row>
    <row r="2374" spans="6:8" x14ac:dyDescent="0.3">
      <c r="F2374" s="11">
        <v>-6.1019439999999996</v>
      </c>
      <c r="G2374" s="11">
        <v>53.223332999999997</v>
      </c>
      <c r="H2374" s="11">
        <v>1</v>
      </c>
    </row>
    <row r="2375" spans="6:8" x14ac:dyDescent="0.3">
      <c r="F2375" s="11">
        <v>-6.0736109999999996</v>
      </c>
      <c r="G2375" s="11">
        <v>53.174722000000003</v>
      </c>
      <c r="H2375" s="11">
        <v>1</v>
      </c>
    </row>
    <row r="2376" spans="6:8" x14ac:dyDescent="0.3">
      <c r="F2376" s="11">
        <v>-6.0427780000000002</v>
      </c>
      <c r="G2376" s="11">
        <v>53.127499999999998</v>
      </c>
      <c r="H2376" s="11">
        <v>1</v>
      </c>
    </row>
    <row r="2377" spans="6:8" x14ac:dyDescent="0.3">
      <c r="F2377" s="11">
        <v>-6.0333329999999998</v>
      </c>
      <c r="G2377" s="11">
        <v>53.068055999999999</v>
      </c>
      <c r="H2377" s="11">
        <v>1</v>
      </c>
    </row>
    <row r="2378" spans="6:8" x14ac:dyDescent="0.3">
      <c r="F2378" s="11">
        <v>-6.0466670000000002</v>
      </c>
      <c r="G2378" s="11">
        <v>53.0075</v>
      </c>
      <c r="H2378" s="11">
        <v>1</v>
      </c>
    </row>
    <row r="2379" spans="6:8" x14ac:dyDescent="0.3">
      <c r="F2379" s="11">
        <v>-5.9986110000000004</v>
      </c>
      <c r="G2379" s="11">
        <v>52.968333000000001</v>
      </c>
      <c r="H2379" s="11">
        <v>1</v>
      </c>
    </row>
    <row r="2380" spans="6:8" x14ac:dyDescent="0.3">
      <c r="F2380" s="11">
        <v>-6.0266669999999998</v>
      </c>
      <c r="G2380" s="11">
        <v>52.920555999999998</v>
      </c>
      <c r="H2380" s="11">
        <v>1</v>
      </c>
    </row>
    <row r="2381" spans="6:8" x14ac:dyDescent="0.3">
      <c r="F2381" s="11">
        <v>-6.0655559999999999</v>
      </c>
      <c r="G2381" s="11">
        <v>52.873610999999997</v>
      </c>
      <c r="H2381" s="11">
        <v>1</v>
      </c>
    </row>
    <row r="2382" spans="6:8" x14ac:dyDescent="0.3">
      <c r="F2382" s="11">
        <v>-6.1133329999999999</v>
      </c>
      <c r="G2382" s="11">
        <v>52.835000000000001</v>
      </c>
      <c r="H2382" s="11">
        <v>1</v>
      </c>
    </row>
    <row r="2383" spans="6:8" x14ac:dyDescent="0.3">
      <c r="F2383" s="11">
        <v>-6.1458329999999997</v>
      </c>
      <c r="G2383" s="11">
        <v>52.783332999999999</v>
      </c>
      <c r="H2383" s="11">
        <v>1</v>
      </c>
    </row>
    <row r="2384" spans="6:8" x14ac:dyDescent="0.3">
      <c r="F2384" s="11">
        <v>-6.1541670000000002</v>
      </c>
      <c r="G2384" s="11">
        <v>52.725000000000001</v>
      </c>
      <c r="H2384" s="11">
        <v>1</v>
      </c>
    </row>
    <row r="2385" spans="6:8" x14ac:dyDescent="0.3">
      <c r="F2385" s="11">
        <v>-6.2008330000000003</v>
      </c>
      <c r="G2385" s="11">
        <v>52.682777999999999</v>
      </c>
      <c r="H2385" s="11">
        <v>1</v>
      </c>
    </row>
    <row r="2386" spans="6:8" x14ac:dyDescent="0.3">
      <c r="F2386" s="11">
        <v>-6.2216670000000001</v>
      </c>
      <c r="G2386" s="11">
        <v>52.626666999999998</v>
      </c>
      <c r="H2386" s="11">
        <v>1</v>
      </c>
    </row>
    <row r="2387" spans="6:8" x14ac:dyDescent="0.3">
      <c r="F2387" s="11">
        <v>-6.2</v>
      </c>
      <c r="G2387" s="11">
        <v>52.572499999999998</v>
      </c>
      <c r="H2387" s="11">
        <v>1</v>
      </c>
    </row>
    <row r="2388" spans="6:8" x14ac:dyDescent="0.3">
      <c r="F2388" s="11">
        <v>-6.2275</v>
      </c>
      <c r="G2388" s="11">
        <v>52.521110999999998</v>
      </c>
      <c r="H2388" s="11">
        <v>1</v>
      </c>
    </row>
    <row r="2389" spans="6:8" x14ac:dyDescent="0.3">
      <c r="F2389" s="11">
        <v>-6.2741670000000003</v>
      </c>
      <c r="G2389" s="11">
        <v>52.479444000000001</v>
      </c>
      <c r="H2389" s="11">
        <v>1</v>
      </c>
    </row>
    <row r="2390" spans="6:8" x14ac:dyDescent="0.3">
      <c r="F2390" s="11">
        <v>-6.3213889999999999</v>
      </c>
      <c r="G2390" s="11">
        <v>52.438611000000002</v>
      </c>
      <c r="H2390" s="11">
        <v>1</v>
      </c>
    </row>
    <row r="2391" spans="6:8" x14ac:dyDescent="0.3">
      <c r="F2391" s="11">
        <v>-6.3619440000000003</v>
      </c>
      <c r="G2391" s="11">
        <v>52.393332999999998</v>
      </c>
      <c r="H2391" s="11">
        <v>1</v>
      </c>
    </row>
    <row r="2392" spans="6:8" x14ac:dyDescent="0.3">
      <c r="F2392" s="11">
        <v>-6.3708330000000002</v>
      </c>
      <c r="G2392" s="11">
        <v>52.345832999999999</v>
      </c>
      <c r="H2392" s="11">
        <v>1</v>
      </c>
    </row>
    <row r="2393" spans="6:8" x14ac:dyDescent="0.3">
      <c r="F2393" s="11">
        <v>-6.44</v>
      </c>
      <c r="G2393" s="11">
        <v>52.347499999999997</v>
      </c>
      <c r="H2393" s="11">
        <v>1</v>
      </c>
    </row>
    <row r="2394" spans="6:8" x14ac:dyDescent="0.3">
      <c r="F2394" s="11">
        <v>-6.4113889999999998</v>
      </c>
      <c r="G2394" s="11">
        <v>52.300277999999999</v>
      </c>
      <c r="H2394" s="11">
        <v>1</v>
      </c>
    </row>
    <row r="2395" spans="6:8" x14ac:dyDescent="0.3">
      <c r="F2395" s="11">
        <v>-6.3758330000000001</v>
      </c>
      <c r="G2395" s="11">
        <v>52.314722000000003</v>
      </c>
      <c r="H2395" s="11">
        <v>1</v>
      </c>
    </row>
    <row r="2396" spans="6:8" x14ac:dyDescent="0.3">
      <c r="H2396" s="11">
        <v>1</v>
      </c>
    </row>
    <row r="2397" spans="6:8" x14ac:dyDescent="0.3">
      <c r="F2397" s="11">
        <v>-4.9197220000000002</v>
      </c>
      <c r="G2397" s="11">
        <v>58.615833000000002</v>
      </c>
      <c r="H2397" s="11">
        <v>1</v>
      </c>
    </row>
    <row r="2398" spans="6:8" x14ac:dyDescent="0.3">
      <c r="F2398" s="11">
        <v>-4.8347220000000002</v>
      </c>
      <c r="G2398" s="11">
        <v>58.592222</v>
      </c>
      <c r="H2398" s="11">
        <v>1</v>
      </c>
    </row>
    <row r="2399" spans="6:8" x14ac:dyDescent="0.3">
      <c r="F2399" s="11">
        <v>-4.7858330000000002</v>
      </c>
      <c r="G2399" s="11">
        <v>58.574167000000003</v>
      </c>
      <c r="H2399" s="11">
        <v>1</v>
      </c>
    </row>
    <row r="2400" spans="6:8" x14ac:dyDescent="0.3">
      <c r="F2400" s="11">
        <v>-4.7686109999999999</v>
      </c>
      <c r="G2400" s="11">
        <v>58.599443999999998</v>
      </c>
      <c r="H2400" s="11">
        <v>1</v>
      </c>
    </row>
    <row r="2401" spans="6:8" x14ac:dyDescent="0.3">
      <c r="F2401" s="11">
        <v>-4.7161109999999997</v>
      </c>
      <c r="G2401" s="11">
        <v>58.561667</v>
      </c>
      <c r="H2401" s="11">
        <v>1</v>
      </c>
    </row>
    <row r="2402" spans="6:8" x14ac:dyDescent="0.3">
      <c r="F2402" s="11">
        <v>-4.6744440000000003</v>
      </c>
      <c r="G2402" s="11">
        <v>58.526667000000003</v>
      </c>
      <c r="H2402" s="11">
        <v>1</v>
      </c>
    </row>
    <row r="2403" spans="6:8" x14ac:dyDescent="0.3">
      <c r="F2403" s="11">
        <v>-4.7275</v>
      </c>
      <c r="G2403" s="11">
        <v>58.484166999999999</v>
      </c>
      <c r="H2403" s="11">
        <v>1</v>
      </c>
    </row>
    <row r="2404" spans="6:8" x14ac:dyDescent="0.3">
      <c r="F2404" s="11">
        <v>-4.7530559999999999</v>
      </c>
      <c r="G2404" s="11">
        <v>58.442777999999997</v>
      </c>
      <c r="H2404" s="11">
        <v>1</v>
      </c>
    </row>
    <row r="2405" spans="6:8" x14ac:dyDescent="0.3">
      <c r="F2405" s="11">
        <v>-4.6905559999999999</v>
      </c>
      <c r="G2405" s="11">
        <v>58.479166999999997</v>
      </c>
      <c r="H2405" s="11">
        <v>1</v>
      </c>
    </row>
    <row r="2406" spans="6:8" x14ac:dyDescent="0.3">
      <c r="F2406" s="11">
        <v>-4.6550000000000002</v>
      </c>
      <c r="G2406" s="11">
        <v>58.518332999999998</v>
      </c>
      <c r="H2406" s="11">
        <v>1</v>
      </c>
    </row>
    <row r="2407" spans="6:8" x14ac:dyDescent="0.3">
      <c r="F2407" s="11">
        <v>-4.6069440000000004</v>
      </c>
      <c r="G2407" s="11">
        <v>58.551943999999999</v>
      </c>
      <c r="H2407" s="11">
        <v>1</v>
      </c>
    </row>
    <row r="2408" spans="6:8" x14ac:dyDescent="0.3">
      <c r="F2408" s="11">
        <v>-4.5519439999999998</v>
      </c>
      <c r="G2408" s="11">
        <v>58.579166999999998</v>
      </c>
      <c r="H2408" s="11">
        <v>1</v>
      </c>
    </row>
    <row r="2409" spans="6:8" x14ac:dyDescent="0.3">
      <c r="F2409" s="11">
        <v>-4.4669439999999998</v>
      </c>
      <c r="G2409" s="11">
        <v>58.553055999999998</v>
      </c>
      <c r="H2409" s="11">
        <v>1</v>
      </c>
    </row>
    <row r="2410" spans="6:8" x14ac:dyDescent="0.3">
      <c r="F2410" s="11">
        <v>-4.4302780000000004</v>
      </c>
      <c r="G2410" s="11">
        <v>58.518056000000001</v>
      </c>
      <c r="H2410" s="11">
        <v>1</v>
      </c>
    </row>
    <row r="2411" spans="6:8" x14ac:dyDescent="0.3">
      <c r="F2411" s="11">
        <v>-4.4733330000000002</v>
      </c>
      <c r="G2411" s="11">
        <v>58.472499999999997</v>
      </c>
      <c r="H2411" s="11">
        <v>1</v>
      </c>
    </row>
    <row r="2412" spans="6:8" x14ac:dyDescent="0.3">
      <c r="F2412" s="11">
        <v>-4.4672219999999996</v>
      </c>
      <c r="G2412" s="11">
        <v>58.458333000000003</v>
      </c>
      <c r="H2412" s="11">
        <v>1</v>
      </c>
    </row>
    <row r="2413" spans="6:8" x14ac:dyDescent="0.3">
      <c r="F2413" s="11">
        <v>-4.4191669999999998</v>
      </c>
      <c r="G2413" s="11">
        <v>58.501111000000002</v>
      </c>
      <c r="H2413" s="11">
        <v>1</v>
      </c>
    </row>
    <row r="2414" spans="6:8" x14ac:dyDescent="0.3">
      <c r="F2414" s="11">
        <v>-4.3533330000000001</v>
      </c>
      <c r="G2414" s="11">
        <v>58.535556</v>
      </c>
      <c r="H2414" s="11">
        <v>1</v>
      </c>
    </row>
    <row r="2415" spans="6:8" x14ac:dyDescent="0.3">
      <c r="F2415" s="11">
        <v>-4.2652780000000003</v>
      </c>
      <c r="G2415" s="11">
        <v>58.526389000000002</v>
      </c>
      <c r="H2415" s="11">
        <v>1</v>
      </c>
    </row>
    <row r="2416" spans="6:8" x14ac:dyDescent="0.3">
      <c r="F2416" s="11">
        <v>-4.2286109999999999</v>
      </c>
      <c r="G2416" s="11">
        <v>58.545833000000002</v>
      </c>
      <c r="H2416" s="11">
        <v>1</v>
      </c>
    </row>
    <row r="2417" spans="6:8" x14ac:dyDescent="0.3">
      <c r="F2417" s="11">
        <v>-4.1633329999999997</v>
      </c>
      <c r="G2417" s="11">
        <v>58.555278000000001</v>
      </c>
      <c r="H2417" s="11">
        <v>1</v>
      </c>
    </row>
    <row r="2418" spans="6:8" x14ac:dyDescent="0.3">
      <c r="F2418" s="11">
        <v>-4.0805559999999996</v>
      </c>
      <c r="G2418" s="11">
        <v>58.555556000000003</v>
      </c>
      <c r="H2418" s="11">
        <v>1</v>
      </c>
    </row>
    <row r="2419" spans="6:8" x14ac:dyDescent="0.3">
      <c r="F2419" s="11">
        <v>-4.0288890000000004</v>
      </c>
      <c r="G2419" s="11">
        <v>58.596944000000001</v>
      </c>
      <c r="H2419" s="11">
        <v>1</v>
      </c>
    </row>
    <row r="2420" spans="6:8" x14ac:dyDescent="0.3">
      <c r="F2420" s="11">
        <v>-3.9808330000000001</v>
      </c>
      <c r="G2420" s="11">
        <v>58.567500000000003</v>
      </c>
      <c r="H2420" s="11">
        <v>1</v>
      </c>
    </row>
    <row r="2421" spans="6:8" x14ac:dyDescent="0.3">
      <c r="F2421" s="11">
        <v>-3.8858329999999999</v>
      </c>
      <c r="G2421" s="11">
        <v>58.562778000000002</v>
      </c>
      <c r="H2421" s="11">
        <v>1</v>
      </c>
    </row>
    <row r="2422" spans="6:8" x14ac:dyDescent="0.3">
      <c r="F2422" s="11">
        <v>-3.7852779999999999</v>
      </c>
      <c r="G2422" s="11">
        <v>58.567222000000001</v>
      </c>
      <c r="H2422" s="11">
        <v>1</v>
      </c>
    </row>
    <row r="2423" spans="6:8" x14ac:dyDescent="0.3">
      <c r="F2423" s="11">
        <v>-3.7180559999999998</v>
      </c>
      <c r="G2423" s="11">
        <v>58.600833000000002</v>
      </c>
      <c r="H2423" s="11">
        <v>1</v>
      </c>
    </row>
    <row r="2424" spans="6:8" x14ac:dyDescent="0.3">
      <c r="F2424" s="11">
        <v>-3.6319439999999998</v>
      </c>
      <c r="G2424" s="11">
        <v>58.617221999999998</v>
      </c>
      <c r="H2424" s="11">
        <v>1</v>
      </c>
    </row>
    <row r="2425" spans="6:8" x14ac:dyDescent="0.3">
      <c r="F2425" s="11">
        <v>-3.548333</v>
      </c>
      <c r="G2425" s="11">
        <v>58.611666999999997</v>
      </c>
      <c r="H2425" s="11">
        <v>1</v>
      </c>
    </row>
    <row r="2426" spans="6:8" x14ac:dyDescent="0.3">
      <c r="F2426" s="11">
        <v>-3.4841669999999998</v>
      </c>
      <c r="G2426" s="11">
        <v>58.607222</v>
      </c>
      <c r="H2426" s="11">
        <v>1</v>
      </c>
    </row>
    <row r="2427" spans="6:8" x14ac:dyDescent="0.3">
      <c r="F2427" s="11">
        <v>-3.3861110000000001</v>
      </c>
      <c r="G2427" s="11">
        <v>58.599443999999998</v>
      </c>
      <c r="H2427" s="11">
        <v>1</v>
      </c>
    </row>
    <row r="2428" spans="6:8" x14ac:dyDescent="0.3">
      <c r="F2428" s="11">
        <v>-3.378889</v>
      </c>
      <c r="G2428" s="11">
        <v>58.629722000000001</v>
      </c>
      <c r="H2428" s="11">
        <v>1</v>
      </c>
    </row>
    <row r="2429" spans="6:8" x14ac:dyDescent="0.3">
      <c r="F2429" s="11">
        <v>-3.3861110000000001</v>
      </c>
      <c r="G2429" s="11">
        <v>58.670555999999998</v>
      </c>
      <c r="H2429" s="11">
        <v>1</v>
      </c>
    </row>
    <row r="2430" spans="6:8" x14ac:dyDescent="0.3">
      <c r="F2430" s="11">
        <v>-3.3144439999999999</v>
      </c>
      <c r="G2430" s="11">
        <v>58.646667000000001</v>
      </c>
      <c r="H2430" s="11">
        <v>1</v>
      </c>
    </row>
    <row r="2431" spans="6:8" x14ac:dyDescent="0.3">
      <c r="F2431" s="11">
        <v>-3.2147220000000001</v>
      </c>
      <c r="G2431" s="11">
        <v>58.651111</v>
      </c>
      <c r="H2431" s="11">
        <v>1</v>
      </c>
    </row>
    <row r="2432" spans="6:8" x14ac:dyDescent="0.3">
      <c r="F2432" s="11">
        <v>-3.1305559999999999</v>
      </c>
      <c r="G2432" s="11">
        <v>58.639721999999999</v>
      </c>
      <c r="H2432" s="11">
        <v>1</v>
      </c>
    </row>
    <row r="2433" spans="6:8" x14ac:dyDescent="0.3">
      <c r="F2433" s="11">
        <v>-3.0255559999999999</v>
      </c>
      <c r="G2433" s="11">
        <v>58.647778000000002</v>
      </c>
      <c r="H2433" s="11">
        <v>1</v>
      </c>
    </row>
    <row r="2434" spans="6:8" x14ac:dyDescent="0.3">
      <c r="F2434" s="11">
        <v>-3.0330560000000002</v>
      </c>
      <c r="G2434" s="11">
        <v>58.597777999999998</v>
      </c>
      <c r="H2434" s="11">
        <v>1</v>
      </c>
    </row>
    <row r="2435" spans="6:8" x14ac:dyDescent="0.3">
      <c r="F2435" s="11">
        <v>-3.0711110000000001</v>
      </c>
      <c r="G2435" s="11">
        <v>58.560833000000002</v>
      </c>
      <c r="H2435" s="11">
        <v>1</v>
      </c>
    </row>
    <row r="2436" spans="6:8" x14ac:dyDescent="0.3">
      <c r="F2436" s="11">
        <v>-3.1274999999999999</v>
      </c>
      <c r="G2436" s="11">
        <v>58.519722000000002</v>
      </c>
      <c r="H2436" s="11">
        <v>1</v>
      </c>
    </row>
    <row r="2437" spans="6:8" x14ac:dyDescent="0.3">
      <c r="F2437" s="11">
        <v>-3.1136110000000001</v>
      </c>
      <c r="G2437" s="11">
        <v>58.473332999999997</v>
      </c>
      <c r="H2437" s="11">
        <v>1</v>
      </c>
    </row>
    <row r="2438" spans="6:8" x14ac:dyDescent="0.3">
      <c r="F2438" s="11">
        <v>-3.0247220000000001</v>
      </c>
      <c r="G2438" s="11">
        <v>58.474167000000001</v>
      </c>
      <c r="H2438" s="11">
        <v>1</v>
      </c>
    </row>
    <row r="2439" spans="6:8" x14ac:dyDescent="0.3">
      <c r="F2439" s="11">
        <v>-3.0636109999999999</v>
      </c>
      <c r="G2439" s="11">
        <v>58.428055999999998</v>
      </c>
      <c r="H2439" s="11">
        <v>1</v>
      </c>
    </row>
    <row r="2440" spans="6:8" x14ac:dyDescent="0.3">
      <c r="F2440" s="11">
        <v>-3.1066669999999998</v>
      </c>
      <c r="G2440" s="11">
        <v>58.379722000000001</v>
      </c>
      <c r="H2440" s="11">
        <v>1</v>
      </c>
    </row>
    <row r="2441" spans="6:8" x14ac:dyDescent="0.3">
      <c r="F2441" s="11">
        <v>-3.1541670000000002</v>
      </c>
      <c r="G2441" s="11">
        <v>58.341667000000001</v>
      </c>
      <c r="H2441" s="11">
        <v>1</v>
      </c>
    </row>
    <row r="2442" spans="6:8" x14ac:dyDescent="0.3">
      <c r="F2442" s="11">
        <v>-3.2155559999999999</v>
      </c>
      <c r="G2442" s="11">
        <v>58.303888999999998</v>
      </c>
      <c r="H2442" s="11">
        <v>1</v>
      </c>
    </row>
    <row r="2443" spans="6:8" x14ac:dyDescent="0.3">
      <c r="F2443" s="11">
        <v>-3.2994439999999998</v>
      </c>
      <c r="G2443" s="11">
        <v>58.283332999999999</v>
      </c>
      <c r="H2443" s="11">
        <v>1</v>
      </c>
    </row>
    <row r="2444" spans="6:8" x14ac:dyDescent="0.3">
      <c r="F2444" s="11">
        <v>-3.3858329999999999</v>
      </c>
      <c r="G2444" s="11">
        <v>58.262500000000003</v>
      </c>
      <c r="H2444" s="11">
        <v>1</v>
      </c>
    </row>
    <row r="2445" spans="6:8" x14ac:dyDescent="0.3">
      <c r="F2445" s="11">
        <v>-3.4444439999999998</v>
      </c>
      <c r="G2445" s="11">
        <v>58.223610999999998</v>
      </c>
      <c r="H2445" s="11">
        <v>1</v>
      </c>
    </row>
    <row r="2446" spans="6:8" x14ac:dyDescent="0.3">
      <c r="F2446" s="11">
        <v>-3.4919440000000002</v>
      </c>
      <c r="G2446" s="11">
        <v>58.178610999999997</v>
      </c>
      <c r="H2446" s="11">
        <v>1</v>
      </c>
    </row>
    <row r="2447" spans="6:8" x14ac:dyDescent="0.3">
      <c r="F2447" s="11">
        <v>-3.5594440000000001</v>
      </c>
      <c r="G2447" s="11">
        <v>58.145833000000003</v>
      </c>
      <c r="H2447" s="11">
        <v>1</v>
      </c>
    </row>
    <row r="2448" spans="6:8" x14ac:dyDescent="0.3">
      <c r="F2448" s="11">
        <v>-3.6302780000000001</v>
      </c>
      <c r="G2448" s="11">
        <v>58.114167000000002</v>
      </c>
      <c r="H2448" s="11">
        <v>1</v>
      </c>
    </row>
    <row r="2449" spans="6:8" x14ac:dyDescent="0.3">
      <c r="F2449" s="11">
        <v>-3.6941670000000002</v>
      </c>
      <c r="G2449" s="11">
        <v>58.086111000000002</v>
      </c>
      <c r="H2449" s="11">
        <v>1</v>
      </c>
    </row>
    <row r="2450" spans="6:8" x14ac:dyDescent="0.3">
      <c r="F2450" s="11">
        <v>-3.7644440000000001</v>
      </c>
      <c r="G2450" s="11">
        <v>58.055</v>
      </c>
      <c r="H2450" s="11">
        <v>1</v>
      </c>
    </row>
    <row r="2451" spans="6:8" x14ac:dyDescent="0.3">
      <c r="F2451" s="11">
        <v>-3.8394439999999999</v>
      </c>
      <c r="G2451" s="11">
        <v>58.026944</v>
      </c>
      <c r="H2451" s="11">
        <v>1</v>
      </c>
    </row>
    <row r="2452" spans="6:8" x14ac:dyDescent="0.3">
      <c r="F2452" s="11">
        <v>-3.8919440000000001</v>
      </c>
      <c r="G2452" s="11">
        <v>57.987499999999997</v>
      </c>
      <c r="H2452" s="11">
        <v>1</v>
      </c>
    </row>
    <row r="2453" spans="6:8" x14ac:dyDescent="0.3">
      <c r="F2453" s="11">
        <v>-3.973611</v>
      </c>
      <c r="G2453" s="11">
        <v>57.963332999999999</v>
      </c>
      <c r="H2453" s="11">
        <v>1</v>
      </c>
    </row>
    <row r="2454" spans="6:8" x14ac:dyDescent="0.3">
      <c r="F2454" s="11">
        <v>-4.0049999999999999</v>
      </c>
      <c r="G2454" s="11">
        <v>57.917222000000002</v>
      </c>
      <c r="H2454" s="11">
        <v>1</v>
      </c>
    </row>
    <row r="2455" spans="6:8" x14ac:dyDescent="0.3">
      <c r="F2455" s="11">
        <v>-4.0169439999999996</v>
      </c>
      <c r="G2455" s="11">
        <v>57.872222000000001</v>
      </c>
      <c r="H2455" s="11">
        <v>1</v>
      </c>
    </row>
    <row r="2456" spans="6:8" x14ac:dyDescent="0.3">
      <c r="F2456" s="11">
        <v>-4.0908329999999999</v>
      </c>
      <c r="G2456" s="11">
        <v>57.858888999999998</v>
      </c>
      <c r="H2456" s="11">
        <v>1</v>
      </c>
    </row>
    <row r="2457" spans="6:8" x14ac:dyDescent="0.3">
      <c r="F2457" s="11">
        <v>-4.1755560000000003</v>
      </c>
      <c r="G2457" s="11">
        <v>57.852778000000001</v>
      </c>
      <c r="H2457" s="11">
        <v>1</v>
      </c>
    </row>
    <row r="2458" spans="6:8" x14ac:dyDescent="0.3">
      <c r="F2458" s="11">
        <v>-4.1683329999999996</v>
      </c>
      <c r="G2458" s="11">
        <v>57.830832999999998</v>
      </c>
      <c r="H2458" s="11">
        <v>1</v>
      </c>
    </row>
    <row r="2459" spans="6:8" x14ac:dyDescent="0.3">
      <c r="F2459" s="11">
        <v>-4.0674999999999999</v>
      </c>
      <c r="G2459" s="11">
        <v>57.818333000000003</v>
      </c>
      <c r="H2459" s="11">
        <v>1</v>
      </c>
    </row>
    <row r="2460" spans="6:8" x14ac:dyDescent="0.3">
      <c r="F2460" s="11">
        <v>-3.9824999999999999</v>
      </c>
      <c r="G2460" s="11">
        <v>57.833888999999999</v>
      </c>
      <c r="H2460" s="11">
        <v>1</v>
      </c>
    </row>
    <row r="2461" spans="6:8" x14ac:dyDescent="0.3">
      <c r="F2461" s="11">
        <v>-3.9405559999999999</v>
      </c>
      <c r="G2461" s="11">
        <v>57.814722000000003</v>
      </c>
      <c r="H2461" s="11">
        <v>1</v>
      </c>
    </row>
    <row r="2462" spans="6:8" x14ac:dyDescent="0.3">
      <c r="F2462" s="11">
        <v>-3.8791669999999998</v>
      </c>
      <c r="G2462" s="11">
        <v>57.818888999999999</v>
      </c>
      <c r="H2462" s="11">
        <v>1</v>
      </c>
    </row>
    <row r="2463" spans="6:8" x14ac:dyDescent="0.3">
      <c r="F2463" s="11">
        <v>-3.8177780000000001</v>
      </c>
      <c r="G2463" s="11">
        <v>57.855556</v>
      </c>
      <c r="H2463" s="11">
        <v>1</v>
      </c>
    </row>
    <row r="2464" spans="6:8" x14ac:dyDescent="0.3">
      <c r="F2464" s="11">
        <v>-3.79</v>
      </c>
      <c r="G2464" s="11">
        <v>57.834167000000001</v>
      </c>
      <c r="H2464" s="11">
        <v>1</v>
      </c>
    </row>
    <row r="2465" spans="6:8" x14ac:dyDescent="0.3">
      <c r="F2465" s="11">
        <v>-3.8430559999999998</v>
      </c>
      <c r="G2465" s="11">
        <v>57.791944000000001</v>
      </c>
      <c r="H2465" s="11">
        <v>1</v>
      </c>
    </row>
    <row r="2466" spans="6:8" x14ac:dyDescent="0.3">
      <c r="F2466" s="11">
        <v>-3.9041670000000002</v>
      </c>
      <c r="G2466" s="11">
        <v>57.755277999999997</v>
      </c>
      <c r="H2466" s="11">
        <v>1</v>
      </c>
    </row>
    <row r="2467" spans="6:8" x14ac:dyDescent="0.3">
      <c r="F2467" s="11">
        <v>-3.9538890000000002</v>
      </c>
      <c r="G2467" s="11">
        <v>57.711111000000002</v>
      </c>
      <c r="H2467" s="11">
        <v>1</v>
      </c>
    </row>
    <row r="2468" spans="6:8" x14ac:dyDescent="0.3">
      <c r="F2468" s="11">
        <v>-4.0202780000000002</v>
      </c>
      <c r="G2468" s="11">
        <v>57.682222000000003</v>
      </c>
      <c r="H2468" s="11">
        <v>1</v>
      </c>
    </row>
    <row r="2469" spans="6:8" x14ac:dyDescent="0.3">
      <c r="F2469" s="11">
        <v>-4.0197219999999998</v>
      </c>
      <c r="G2469" s="11">
        <v>57.730832999999997</v>
      </c>
      <c r="H2469" s="11">
        <v>1</v>
      </c>
    </row>
    <row r="2470" spans="6:8" x14ac:dyDescent="0.3">
      <c r="F2470" s="11">
        <v>-4.1133329999999999</v>
      </c>
      <c r="G2470" s="11">
        <v>57.718333000000001</v>
      </c>
      <c r="H2470" s="11">
        <v>1</v>
      </c>
    </row>
    <row r="2471" spans="6:8" x14ac:dyDescent="0.3">
      <c r="F2471" s="11">
        <v>-4.1749999999999998</v>
      </c>
      <c r="G2471" s="11">
        <v>57.681666999999997</v>
      </c>
      <c r="H2471" s="11">
        <v>1</v>
      </c>
    </row>
    <row r="2472" spans="6:8" x14ac:dyDescent="0.3">
      <c r="F2472" s="11">
        <v>-4.270556</v>
      </c>
      <c r="G2472" s="11">
        <v>57.675556</v>
      </c>
      <c r="H2472" s="11">
        <v>1</v>
      </c>
    </row>
    <row r="2473" spans="6:8" x14ac:dyDescent="0.3">
      <c r="F2473" s="11">
        <v>-4.335</v>
      </c>
      <c r="G2473" s="11">
        <v>57.646110999999998</v>
      </c>
      <c r="H2473" s="11">
        <v>1</v>
      </c>
    </row>
    <row r="2474" spans="6:8" x14ac:dyDescent="0.3">
      <c r="F2474" s="11">
        <v>-4.3972220000000002</v>
      </c>
      <c r="G2474" s="11">
        <v>57.610278000000001</v>
      </c>
      <c r="H2474" s="11">
        <v>1</v>
      </c>
    </row>
    <row r="2475" spans="6:8" x14ac:dyDescent="0.3">
      <c r="F2475" s="11">
        <v>-4.4288889999999999</v>
      </c>
      <c r="G2475" s="11">
        <v>57.574722000000001</v>
      </c>
      <c r="H2475" s="11">
        <v>1</v>
      </c>
    </row>
    <row r="2476" spans="6:8" x14ac:dyDescent="0.3">
      <c r="F2476" s="11">
        <v>-4.3830559999999998</v>
      </c>
      <c r="G2476" s="11">
        <v>57.588611</v>
      </c>
      <c r="H2476" s="11">
        <v>1</v>
      </c>
    </row>
    <row r="2477" spans="6:8" x14ac:dyDescent="0.3">
      <c r="F2477" s="11">
        <v>-4.3238890000000003</v>
      </c>
      <c r="G2477" s="11">
        <v>57.626389000000003</v>
      </c>
      <c r="H2477" s="11">
        <v>1</v>
      </c>
    </row>
    <row r="2478" spans="6:8" x14ac:dyDescent="0.3">
      <c r="F2478" s="11">
        <v>-4.2541669999999998</v>
      </c>
      <c r="G2478" s="11">
        <v>57.657221999999997</v>
      </c>
      <c r="H2478" s="11">
        <v>1</v>
      </c>
    </row>
    <row r="2479" spans="6:8" x14ac:dyDescent="0.3">
      <c r="F2479" s="11">
        <v>-4.17</v>
      </c>
      <c r="G2479" s="11">
        <v>57.666666999999997</v>
      </c>
      <c r="H2479" s="11">
        <v>1</v>
      </c>
    </row>
    <row r="2480" spans="6:8" x14ac:dyDescent="0.3">
      <c r="F2480" s="11">
        <v>-4.0891669999999998</v>
      </c>
      <c r="G2480" s="11">
        <v>57.662778000000003</v>
      </c>
      <c r="H2480" s="11">
        <v>1</v>
      </c>
    </row>
    <row r="2481" spans="6:8" x14ac:dyDescent="0.3">
      <c r="F2481" s="11">
        <v>-4</v>
      </c>
      <c r="G2481" s="11">
        <v>57.671944000000003</v>
      </c>
      <c r="H2481" s="11">
        <v>1</v>
      </c>
    </row>
    <row r="2482" spans="6:8" x14ac:dyDescent="0.3">
      <c r="F2482" s="11">
        <v>-4.0597219999999998</v>
      </c>
      <c r="G2482" s="11">
        <v>57.636389000000001</v>
      </c>
      <c r="H2482" s="11">
        <v>1</v>
      </c>
    </row>
    <row r="2483" spans="6:8" x14ac:dyDescent="0.3">
      <c r="F2483" s="11">
        <v>-4.112222</v>
      </c>
      <c r="G2483" s="11">
        <v>57.597499999999997</v>
      </c>
      <c r="H2483" s="11">
        <v>1</v>
      </c>
    </row>
    <row r="2484" spans="6:8" x14ac:dyDescent="0.3">
      <c r="F2484" s="11">
        <v>-4.1555559999999998</v>
      </c>
      <c r="G2484" s="11">
        <v>57.572778</v>
      </c>
      <c r="H2484" s="11">
        <v>1</v>
      </c>
    </row>
    <row r="2485" spans="6:8" x14ac:dyDescent="0.3">
      <c r="F2485" s="11">
        <v>-4.2166670000000002</v>
      </c>
      <c r="G2485" s="11">
        <v>57.547499999999999</v>
      </c>
      <c r="H2485" s="11">
        <v>1</v>
      </c>
    </row>
    <row r="2486" spans="6:8" x14ac:dyDescent="0.3">
      <c r="F2486" s="11">
        <v>-4.2105560000000004</v>
      </c>
      <c r="G2486" s="11">
        <v>57.534166999999997</v>
      </c>
      <c r="H2486" s="11">
        <v>1</v>
      </c>
    </row>
    <row r="2487" spans="6:8" x14ac:dyDescent="0.3">
      <c r="F2487" s="11">
        <v>-4.2422219999999999</v>
      </c>
      <c r="G2487" s="11">
        <v>57.494444000000001</v>
      </c>
      <c r="H2487" s="11">
        <v>1</v>
      </c>
    </row>
    <row r="2488" spans="6:8" x14ac:dyDescent="0.3">
      <c r="F2488" s="11">
        <v>-4.1558330000000003</v>
      </c>
      <c r="G2488" s="11">
        <v>57.5</v>
      </c>
      <c r="H2488" s="11">
        <v>1</v>
      </c>
    </row>
    <row r="2489" spans="6:8" x14ac:dyDescent="0.3">
      <c r="F2489" s="11">
        <v>-4.0949999999999998</v>
      </c>
      <c r="G2489" s="11">
        <v>57.533611000000001</v>
      </c>
      <c r="H2489" s="11">
        <v>1</v>
      </c>
    </row>
    <row r="2490" spans="6:8" x14ac:dyDescent="0.3">
      <c r="F2490" s="11">
        <v>-4.0405559999999996</v>
      </c>
      <c r="G2490" s="11">
        <v>57.569443999999997</v>
      </c>
      <c r="H2490" s="11">
        <v>1</v>
      </c>
    </row>
    <row r="2491" spans="6:8" x14ac:dyDescent="0.3">
      <c r="F2491" s="11">
        <v>-4.0352779999999999</v>
      </c>
      <c r="G2491" s="11">
        <v>57.588332999999999</v>
      </c>
      <c r="H2491" s="11">
        <v>1</v>
      </c>
    </row>
    <row r="2492" spans="6:8" x14ac:dyDescent="0.3">
      <c r="F2492" s="11">
        <v>-3.9177780000000002</v>
      </c>
      <c r="G2492" s="11">
        <v>57.588056000000002</v>
      </c>
      <c r="H2492" s="11">
        <v>1</v>
      </c>
    </row>
    <row r="2493" spans="6:8" x14ac:dyDescent="0.3">
      <c r="F2493" s="11">
        <v>-3.8263889999999998</v>
      </c>
      <c r="G2493" s="11">
        <v>57.595556000000002</v>
      </c>
      <c r="H2493" s="11">
        <v>1</v>
      </c>
    </row>
    <row r="2494" spans="6:8" x14ac:dyDescent="0.3">
      <c r="F2494" s="11">
        <v>-3.7547220000000001</v>
      </c>
      <c r="G2494" s="11">
        <v>57.625556000000003</v>
      </c>
      <c r="H2494" s="11">
        <v>1</v>
      </c>
    </row>
    <row r="2495" spans="6:8" x14ac:dyDescent="0.3">
      <c r="F2495" s="11">
        <v>-3.6850000000000001</v>
      </c>
      <c r="G2495" s="11">
        <v>57.656666999999999</v>
      </c>
      <c r="H2495" s="11">
        <v>1</v>
      </c>
    </row>
    <row r="2496" spans="6:8" x14ac:dyDescent="0.3">
      <c r="F2496" s="11">
        <v>-3.5813890000000002</v>
      </c>
      <c r="G2496" s="11">
        <v>57.66</v>
      </c>
      <c r="H2496" s="11">
        <v>1</v>
      </c>
    </row>
    <row r="2497" spans="6:8" x14ac:dyDescent="0.3">
      <c r="F2497" s="11">
        <v>-3.5002779999999998</v>
      </c>
      <c r="G2497" s="11">
        <v>57.683332999999998</v>
      </c>
      <c r="H2497" s="11">
        <v>1</v>
      </c>
    </row>
    <row r="2498" spans="6:8" x14ac:dyDescent="0.3">
      <c r="F2498" s="11">
        <v>-3.4183330000000001</v>
      </c>
      <c r="G2498" s="11">
        <v>57.705278</v>
      </c>
      <c r="H2498" s="11">
        <v>1</v>
      </c>
    </row>
    <row r="2499" spans="6:8" x14ac:dyDescent="0.3">
      <c r="F2499" s="11">
        <v>-3.3250000000000002</v>
      </c>
      <c r="G2499" s="11">
        <v>57.716388999999999</v>
      </c>
      <c r="H2499" s="11">
        <v>1</v>
      </c>
    </row>
    <row r="2500" spans="6:8" x14ac:dyDescent="0.3">
      <c r="F2500" s="11">
        <v>-3.244167</v>
      </c>
      <c r="G2500" s="11">
        <v>57.699167000000003</v>
      </c>
      <c r="H2500" s="11">
        <v>1</v>
      </c>
    </row>
    <row r="2501" spans="6:8" x14ac:dyDescent="0.3">
      <c r="F2501" s="11">
        <v>-3.146944</v>
      </c>
      <c r="G2501" s="11">
        <v>57.678610999999997</v>
      </c>
      <c r="H2501" s="11">
        <v>1</v>
      </c>
    </row>
    <row r="2502" spans="6:8" x14ac:dyDescent="0.3">
      <c r="F2502" s="11">
        <v>-3.039444</v>
      </c>
      <c r="G2502" s="11">
        <v>57.662500000000001</v>
      </c>
      <c r="H2502" s="11">
        <v>1</v>
      </c>
    </row>
    <row r="2503" spans="6:8" x14ac:dyDescent="0.3">
      <c r="F2503" s="11">
        <v>-2.9444439999999998</v>
      </c>
      <c r="G2503" s="11">
        <v>57.676389</v>
      </c>
      <c r="H2503" s="11">
        <v>1</v>
      </c>
    </row>
    <row r="2504" spans="6:8" x14ac:dyDescent="0.3">
      <c r="F2504" s="11">
        <v>-2.8736109999999999</v>
      </c>
      <c r="G2504" s="11">
        <v>57.697499999999998</v>
      </c>
      <c r="H2504" s="11">
        <v>1</v>
      </c>
    </row>
    <row r="2505" spans="6:8" x14ac:dyDescent="0.3">
      <c r="F2505" s="11">
        <v>-2.795833</v>
      </c>
      <c r="G2505" s="11">
        <v>57.693888999999999</v>
      </c>
      <c r="H2505" s="11">
        <v>1</v>
      </c>
    </row>
    <row r="2506" spans="6:8" x14ac:dyDescent="0.3">
      <c r="F2506" s="11">
        <v>-2.7144439999999999</v>
      </c>
      <c r="G2506" s="11">
        <v>57.681389000000003</v>
      </c>
      <c r="H2506" s="11">
        <v>1</v>
      </c>
    </row>
    <row r="2507" spans="6:8" x14ac:dyDescent="0.3">
      <c r="F2507" s="11">
        <v>-2.6150000000000002</v>
      </c>
      <c r="G2507" s="11">
        <v>57.675556</v>
      </c>
      <c r="H2507" s="11">
        <v>1</v>
      </c>
    </row>
    <row r="2508" spans="6:8" x14ac:dyDescent="0.3">
      <c r="F2508" s="11">
        <v>-2.5191669999999999</v>
      </c>
      <c r="G2508" s="11">
        <v>57.663888999999998</v>
      </c>
      <c r="H2508" s="11">
        <v>1</v>
      </c>
    </row>
    <row r="2509" spans="6:8" x14ac:dyDescent="0.3">
      <c r="F2509" s="11">
        <v>-2.4102779999999999</v>
      </c>
      <c r="G2509" s="11">
        <v>57.662778000000003</v>
      </c>
      <c r="H2509" s="11">
        <v>1</v>
      </c>
    </row>
    <row r="2510" spans="6:8" x14ac:dyDescent="0.3">
      <c r="F2510" s="11">
        <v>-2.3149999999999999</v>
      </c>
      <c r="G2510" s="11">
        <v>57.67</v>
      </c>
      <c r="H2510" s="11">
        <v>1</v>
      </c>
    </row>
    <row r="2511" spans="6:8" x14ac:dyDescent="0.3">
      <c r="F2511" s="11">
        <v>-2.2349999999999999</v>
      </c>
      <c r="G2511" s="11">
        <v>57.671944000000003</v>
      </c>
      <c r="H2511" s="11">
        <v>1</v>
      </c>
    </row>
    <row r="2512" spans="6:8" x14ac:dyDescent="0.3">
      <c r="F2512" s="11">
        <v>-2.1433330000000002</v>
      </c>
      <c r="G2512" s="11">
        <v>57.674999999999997</v>
      </c>
      <c r="H2512" s="11">
        <v>1</v>
      </c>
    </row>
    <row r="2513" spans="6:8" x14ac:dyDescent="0.3">
      <c r="F2513" s="11">
        <v>-2.048333</v>
      </c>
      <c r="G2513" s="11">
        <v>57.685555999999998</v>
      </c>
      <c r="H2513" s="11">
        <v>1</v>
      </c>
    </row>
    <row r="2514" spans="6:8" x14ac:dyDescent="0.3">
      <c r="F2514" s="11">
        <v>-1.9630559999999999</v>
      </c>
      <c r="G2514" s="11">
        <v>57.667777999999998</v>
      </c>
      <c r="H2514" s="11">
        <v>1</v>
      </c>
    </row>
    <row r="2515" spans="6:8" x14ac:dyDescent="0.3">
      <c r="F2515" s="11">
        <v>-1.8925000000000001</v>
      </c>
      <c r="G2515" s="11">
        <v>57.645833000000003</v>
      </c>
      <c r="H2515" s="11">
        <v>1</v>
      </c>
    </row>
    <row r="2516" spans="6:8" x14ac:dyDescent="0.3">
      <c r="F2516" s="11">
        <v>-1.8297220000000001</v>
      </c>
      <c r="G2516" s="11">
        <v>57.610556000000003</v>
      </c>
      <c r="H2516" s="11">
        <v>1</v>
      </c>
    </row>
    <row r="2517" spans="6:8" x14ac:dyDescent="0.3">
      <c r="F2517" s="11">
        <v>-1.818889</v>
      </c>
      <c r="G2517" s="11">
        <v>57.560833000000002</v>
      </c>
      <c r="H2517" s="11">
        <v>1</v>
      </c>
    </row>
    <row r="2518" spans="6:8" x14ac:dyDescent="0.3">
      <c r="F2518" s="11">
        <v>-1.789444</v>
      </c>
      <c r="G2518" s="11">
        <v>57.512777999999997</v>
      </c>
      <c r="H2518" s="11">
        <v>1</v>
      </c>
    </row>
    <row r="2519" spans="6:8" x14ac:dyDescent="0.3">
      <c r="H2519" s="11">
        <v>1</v>
      </c>
    </row>
    <row r="2520" spans="6:8" x14ac:dyDescent="0.3">
      <c r="F2520" s="11">
        <v>-1.759444</v>
      </c>
      <c r="G2520" s="11">
        <v>57.47</v>
      </c>
      <c r="H2520" s="11">
        <v>1</v>
      </c>
    </row>
    <row r="2521" spans="6:8" x14ac:dyDescent="0.3">
      <c r="F2521" s="11">
        <v>-1.8041670000000001</v>
      </c>
      <c r="G2521" s="11">
        <v>57.431111000000001</v>
      </c>
      <c r="H2521" s="11">
        <v>1</v>
      </c>
    </row>
    <row r="2522" spans="6:8" x14ac:dyDescent="0.3">
      <c r="F2522" s="11">
        <v>-1.8572219999999999</v>
      </c>
      <c r="G2522" s="11">
        <v>57.399444000000003</v>
      </c>
      <c r="H2522" s="11">
        <v>1</v>
      </c>
    </row>
    <row r="2523" spans="6:8" x14ac:dyDescent="0.3">
      <c r="F2523" s="11">
        <v>-1.898056</v>
      </c>
      <c r="G2523" s="11">
        <v>57.361389000000003</v>
      </c>
      <c r="H2523" s="11">
        <v>1</v>
      </c>
    </row>
    <row r="2524" spans="6:8" x14ac:dyDescent="0.3">
      <c r="F2524" s="11">
        <v>-1.9530559999999999</v>
      </c>
      <c r="G2524" s="11">
        <v>57.320278000000002</v>
      </c>
      <c r="H2524" s="11">
        <v>1</v>
      </c>
    </row>
    <row r="2525" spans="6:8" x14ac:dyDescent="0.3">
      <c r="F2525" s="11">
        <v>-2.003889</v>
      </c>
      <c r="G2525" s="11">
        <v>57.276389000000002</v>
      </c>
      <c r="H2525" s="11">
        <v>1</v>
      </c>
    </row>
    <row r="2526" spans="6:8" x14ac:dyDescent="0.3">
      <c r="F2526" s="11">
        <v>-2.0441669999999998</v>
      </c>
      <c r="G2526" s="11">
        <v>57.225000000000001</v>
      </c>
      <c r="H2526" s="11">
        <v>1</v>
      </c>
    </row>
    <row r="2527" spans="6:8" x14ac:dyDescent="0.3">
      <c r="F2527" s="11">
        <v>-2.0713889999999999</v>
      </c>
      <c r="G2527" s="11">
        <v>57.167777999999998</v>
      </c>
      <c r="H2527" s="11">
        <v>1</v>
      </c>
    </row>
    <row r="2528" spans="6:8" x14ac:dyDescent="0.3">
      <c r="F2528" s="11">
        <v>-2.041944</v>
      </c>
      <c r="G2528" s="11">
        <v>57.118611000000001</v>
      </c>
      <c r="H2528" s="11">
        <v>1</v>
      </c>
    </row>
    <row r="2529" spans="6:8" x14ac:dyDescent="0.3">
      <c r="F2529" s="11">
        <v>-2.0847220000000002</v>
      </c>
      <c r="G2529" s="11">
        <v>57.070556000000003</v>
      </c>
      <c r="H2529" s="11">
        <v>1</v>
      </c>
    </row>
    <row r="2530" spans="6:8" x14ac:dyDescent="0.3">
      <c r="F2530" s="11">
        <v>-2.131389</v>
      </c>
      <c r="G2530" s="11">
        <v>57.023611000000002</v>
      </c>
      <c r="H2530" s="11">
        <v>1</v>
      </c>
    </row>
    <row r="2531" spans="6:8" x14ac:dyDescent="0.3">
      <c r="F2531" s="11">
        <v>-2.175278</v>
      </c>
      <c r="G2531" s="11">
        <v>56.976388999999998</v>
      </c>
      <c r="H2531" s="11">
        <v>1</v>
      </c>
    </row>
    <row r="2532" spans="6:8" x14ac:dyDescent="0.3">
      <c r="F2532" s="11">
        <v>-2.177222</v>
      </c>
      <c r="G2532" s="11">
        <v>56.923333</v>
      </c>
      <c r="H2532" s="11">
        <v>1</v>
      </c>
    </row>
    <row r="2533" spans="6:8" x14ac:dyDescent="0.3">
      <c r="F2533" s="11">
        <v>-2.2127780000000001</v>
      </c>
      <c r="G2533" s="11">
        <v>56.872500000000002</v>
      </c>
      <c r="H2533" s="11">
        <v>1</v>
      </c>
    </row>
    <row r="2534" spans="6:8" x14ac:dyDescent="0.3">
      <c r="F2534" s="11">
        <v>-2.2611110000000001</v>
      </c>
      <c r="G2534" s="11">
        <v>56.827221999999999</v>
      </c>
      <c r="H2534" s="11">
        <v>1</v>
      </c>
    </row>
    <row r="2535" spans="6:8" x14ac:dyDescent="0.3">
      <c r="F2535" s="11">
        <v>-2.3199999999999998</v>
      </c>
      <c r="G2535" s="11">
        <v>56.79</v>
      </c>
      <c r="H2535" s="11">
        <v>1</v>
      </c>
    </row>
    <row r="2536" spans="6:8" x14ac:dyDescent="0.3">
      <c r="F2536" s="11">
        <v>-2.3991669999999998</v>
      </c>
      <c r="G2536" s="11">
        <v>56.767499999999998</v>
      </c>
      <c r="H2536" s="11">
        <v>1</v>
      </c>
    </row>
    <row r="2537" spans="6:8" x14ac:dyDescent="0.3">
      <c r="F2537" s="11">
        <v>-2.424722</v>
      </c>
      <c r="G2537" s="11">
        <v>56.723610999999998</v>
      </c>
      <c r="H2537" s="11">
        <v>1</v>
      </c>
    </row>
    <row r="2538" spans="6:8" x14ac:dyDescent="0.3">
      <c r="F2538" s="11">
        <v>-2.431111</v>
      </c>
      <c r="G2538" s="11">
        <v>56.676667000000002</v>
      </c>
      <c r="H2538" s="11">
        <v>1</v>
      </c>
    </row>
    <row r="2539" spans="6:8" x14ac:dyDescent="0.3">
      <c r="F2539" s="11">
        <v>-2.4963890000000002</v>
      </c>
      <c r="G2539" s="11">
        <v>56.643611</v>
      </c>
      <c r="H2539" s="11">
        <v>1</v>
      </c>
    </row>
    <row r="2540" spans="6:8" x14ac:dyDescent="0.3">
      <c r="F2540" s="11">
        <v>-2.496667</v>
      </c>
      <c r="G2540" s="11">
        <v>56.600833000000002</v>
      </c>
      <c r="H2540" s="11">
        <v>1</v>
      </c>
    </row>
    <row r="2541" spans="6:8" x14ac:dyDescent="0.3">
      <c r="F2541" s="11">
        <v>-2.5452780000000002</v>
      </c>
      <c r="G2541" s="11">
        <v>56.558056000000001</v>
      </c>
      <c r="H2541" s="11">
        <v>1</v>
      </c>
    </row>
    <row r="2542" spans="6:8" x14ac:dyDescent="0.3">
      <c r="F2542" s="11">
        <v>-2.6180560000000002</v>
      </c>
      <c r="G2542" s="11">
        <v>56.530555999999997</v>
      </c>
      <c r="H2542" s="11">
        <v>1</v>
      </c>
    </row>
    <row r="2543" spans="6:8" x14ac:dyDescent="0.3">
      <c r="F2543" s="11">
        <v>-2.688056</v>
      </c>
      <c r="G2543" s="11">
        <v>56.501111000000002</v>
      </c>
      <c r="H2543" s="11">
        <v>1</v>
      </c>
    </row>
    <row r="2544" spans="6:8" x14ac:dyDescent="0.3">
      <c r="F2544" s="11">
        <v>-2.7408329999999999</v>
      </c>
      <c r="G2544" s="11">
        <v>56.461666999999998</v>
      </c>
      <c r="H2544" s="11">
        <v>1</v>
      </c>
    </row>
    <row r="2545" spans="6:8" x14ac:dyDescent="0.3">
      <c r="F2545" s="11">
        <v>-2.83</v>
      </c>
      <c r="G2545" s="11">
        <v>56.468055999999997</v>
      </c>
      <c r="H2545" s="11">
        <v>1</v>
      </c>
    </row>
    <row r="2546" spans="6:8" x14ac:dyDescent="0.3">
      <c r="F2546" s="11">
        <v>-2.918056</v>
      </c>
      <c r="G2546" s="11">
        <v>56.462499999999999</v>
      </c>
      <c r="H2546" s="11">
        <v>1</v>
      </c>
    </row>
    <row r="2547" spans="6:8" x14ac:dyDescent="0.3">
      <c r="F2547" s="11">
        <v>-2.993611</v>
      </c>
      <c r="G2547" s="11">
        <v>56.448056000000001</v>
      </c>
      <c r="H2547" s="11">
        <v>1</v>
      </c>
    </row>
    <row r="2548" spans="6:8" x14ac:dyDescent="0.3">
      <c r="F2548" s="11">
        <v>-3.0816669999999999</v>
      </c>
      <c r="G2548" s="11">
        <v>56.436667</v>
      </c>
      <c r="H2548" s="11">
        <v>1</v>
      </c>
    </row>
    <row r="2549" spans="6:8" x14ac:dyDescent="0.3">
      <c r="F2549" s="11">
        <v>-3.1530559999999999</v>
      </c>
      <c r="G2549" s="11">
        <v>56.408332999999999</v>
      </c>
      <c r="H2549" s="11">
        <v>1</v>
      </c>
    </row>
    <row r="2550" spans="6:8" x14ac:dyDescent="0.3">
      <c r="F2550" s="11">
        <v>-3.2180559999999998</v>
      </c>
      <c r="G2550" s="11">
        <v>56.375556000000003</v>
      </c>
      <c r="H2550" s="11">
        <v>1</v>
      </c>
    </row>
    <row r="2551" spans="6:8" x14ac:dyDescent="0.3">
      <c r="F2551" s="11">
        <v>-3.3016670000000001</v>
      </c>
      <c r="G2551" s="11">
        <v>56.36</v>
      </c>
      <c r="H2551" s="11">
        <v>1</v>
      </c>
    </row>
    <row r="2552" spans="6:8" x14ac:dyDescent="0.3">
      <c r="F2552" s="11">
        <v>-3.2644440000000001</v>
      </c>
      <c r="G2552" s="11">
        <v>56.346666999999997</v>
      </c>
      <c r="H2552" s="11">
        <v>1</v>
      </c>
    </row>
    <row r="2553" spans="6:8" x14ac:dyDescent="0.3">
      <c r="F2553" s="11">
        <v>-3.1786110000000001</v>
      </c>
      <c r="G2553" s="11">
        <v>56.364722</v>
      </c>
      <c r="H2553" s="11">
        <v>1</v>
      </c>
    </row>
    <row r="2554" spans="6:8" x14ac:dyDescent="0.3">
      <c r="F2554" s="11">
        <v>-3.1013890000000002</v>
      </c>
      <c r="G2554" s="11">
        <v>56.389443999999997</v>
      </c>
      <c r="H2554" s="11">
        <v>1</v>
      </c>
    </row>
    <row r="2555" spans="6:8" x14ac:dyDescent="0.3">
      <c r="F2555" s="11">
        <v>-3.0211109999999999</v>
      </c>
      <c r="G2555" s="11">
        <v>56.411667000000001</v>
      </c>
      <c r="H2555" s="11">
        <v>1</v>
      </c>
    </row>
    <row r="2556" spans="6:8" x14ac:dyDescent="0.3">
      <c r="F2556" s="11">
        <v>-2.9422220000000001</v>
      </c>
      <c r="G2556" s="11">
        <v>56.434722000000001</v>
      </c>
      <c r="H2556" s="11">
        <v>1</v>
      </c>
    </row>
    <row r="2557" spans="6:8" x14ac:dyDescent="0.3">
      <c r="F2557" s="11">
        <v>-2.86</v>
      </c>
      <c r="G2557" s="11">
        <v>56.445833</v>
      </c>
      <c r="H2557" s="11">
        <v>1</v>
      </c>
    </row>
    <row r="2558" spans="6:8" x14ac:dyDescent="0.3">
      <c r="F2558" s="11">
        <v>-2.798889</v>
      </c>
      <c r="G2558" s="11">
        <v>56.418889</v>
      </c>
      <c r="H2558" s="11">
        <v>1</v>
      </c>
    </row>
    <row r="2559" spans="6:8" x14ac:dyDescent="0.3">
      <c r="F2559" s="11">
        <v>-2.8288890000000002</v>
      </c>
      <c r="G2559" s="11">
        <v>56.368056000000003</v>
      </c>
      <c r="H2559" s="11">
        <v>1</v>
      </c>
    </row>
    <row r="2560" spans="6:8" x14ac:dyDescent="0.3">
      <c r="F2560" s="11">
        <v>-2.795833</v>
      </c>
      <c r="G2560" s="11">
        <v>56.342778000000003</v>
      </c>
      <c r="H2560" s="11">
        <v>1</v>
      </c>
    </row>
    <row r="2561" spans="6:8" x14ac:dyDescent="0.3">
      <c r="F2561" s="11">
        <v>-2.710556</v>
      </c>
      <c r="G2561" s="11">
        <v>56.324722000000001</v>
      </c>
      <c r="H2561" s="11">
        <v>1</v>
      </c>
    </row>
    <row r="2562" spans="6:8" x14ac:dyDescent="0.3">
      <c r="F2562" s="11">
        <v>-2.6280559999999999</v>
      </c>
      <c r="G2562" s="11">
        <v>56.303333000000002</v>
      </c>
      <c r="H2562" s="11">
        <v>1</v>
      </c>
    </row>
    <row r="2563" spans="6:8" x14ac:dyDescent="0.3">
      <c r="F2563" s="11">
        <v>-2.586389</v>
      </c>
      <c r="G2563" s="11">
        <v>56.265833000000001</v>
      </c>
      <c r="H2563" s="11">
        <v>1</v>
      </c>
    </row>
    <row r="2564" spans="6:8" x14ac:dyDescent="0.3">
      <c r="F2564" s="11">
        <v>-2.6494439999999999</v>
      </c>
      <c r="G2564" s="11">
        <v>56.231943999999999</v>
      </c>
      <c r="H2564" s="11">
        <v>1</v>
      </c>
    </row>
    <row r="2565" spans="6:8" x14ac:dyDescent="0.3">
      <c r="F2565" s="11">
        <v>-2.726667</v>
      </c>
      <c r="G2565" s="11">
        <v>56.207777999999998</v>
      </c>
      <c r="H2565" s="11">
        <v>1</v>
      </c>
    </row>
    <row r="2566" spans="6:8" x14ac:dyDescent="0.3">
      <c r="F2566" s="11">
        <v>-2.8075000000000001</v>
      </c>
      <c r="G2566" s="11">
        <v>56.186110999999997</v>
      </c>
      <c r="H2566" s="11">
        <v>1</v>
      </c>
    </row>
    <row r="2567" spans="6:8" x14ac:dyDescent="0.3">
      <c r="F2567" s="11">
        <v>-2.8941669999999999</v>
      </c>
      <c r="G2567" s="11">
        <v>56.203055999999997</v>
      </c>
      <c r="H2567" s="11">
        <v>1</v>
      </c>
    </row>
    <row r="2568" spans="6:8" x14ac:dyDescent="0.3">
      <c r="F2568" s="11">
        <v>-2.9836109999999998</v>
      </c>
      <c r="G2568" s="11">
        <v>56.19</v>
      </c>
      <c r="H2568" s="11">
        <v>1</v>
      </c>
    </row>
    <row r="2569" spans="6:8" x14ac:dyDescent="0.3">
      <c r="F2569" s="11">
        <v>-3.0491670000000002</v>
      </c>
      <c r="G2569" s="11">
        <v>56.157778</v>
      </c>
      <c r="H2569" s="11">
        <v>1</v>
      </c>
    </row>
    <row r="2570" spans="6:8" x14ac:dyDescent="0.3">
      <c r="F2570" s="11">
        <v>-3.11</v>
      </c>
      <c r="G2570" s="11">
        <v>56.122500000000002</v>
      </c>
      <c r="H2570" s="11">
        <v>1</v>
      </c>
    </row>
    <row r="2571" spans="6:8" x14ac:dyDescent="0.3">
      <c r="F2571" s="11">
        <v>-3.15</v>
      </c>
      <c r="G2571" s="11">
        <v>56.079721999999997</v>
      </c>
      <c r="H2571" s="11">
        <v>1</v>
      </c>
    </row>
    <row r="2572" spans="6:8" x14ac:dyDescent="0.3">
      <c r="F2572" s="11">
        <v>-3.2208329999999998</v>
      </c>
      <c r="G2572" s="11">
        <v>56.053888999999998</v>
      </c>
      <c r="H2572" s="11">
        <v>1</v>
      </c>
    </row>
    <row r="2573" spans="6:8" x14ac:dyDescent="0.3">
      <c r="F2573" s="11">
        <v>-3.2952780000000002</v>
      </c>
      <c r="G2573" s="11">
        <v>56.044167000000002</v>
      </c>
      <c r="H2573" s="11">
        <v>1</v>
      </c>
    </row>
    <row r="2574" spans="6:8" x14ac:dyDescent="0.3">
      <c r="F2574" s="11">
        <v>-3.3741669999999999</v>
      </c>
      <c r="G2574" s="11">
        <v>56.024721999999997</v>
      </c>
      <c r="H2574" s="11">
        <v>1</v>
      </c>
    </row>
    <row r="2575" spans="6:8" x14ac:dyDescent="0.3">
      <c r="F2575" s="11">
        <v>-3.4466670000000001</v>
      </c>
      <c r="G2575" s="11">
        <v>56.021110999999998</v>
      </c>
      <c r="H2575" s="11">
        <v>1</v>
      </c>
    </row>
    <row r="2576" spans="6:8" x14ac:dyDescent="0.3">
      <c r="F2576" s="11">
        <v>-3.530278</v>
      </c>
      <c r="G2576" s="11">
        <v>56.034999999999997</v>
      </c>
      <c r="H2576" s="11">
        <v>1</v>
      </c>
    </row>
    <row r="2577" spans="6:8" x14ac:dyDescent="0.3">
      <c r="F2577" s="11">
        <v>-3.6063890000000001</v>
      </c>
      <c r="G2577" s="11">
        <v>56.051389</v>
      </c>
      <c r="H2577" s="11">
        <v>1</v>
      </c>
    </row>
    <row r="2578" spans="6:8" x14ac:dyDescent="0.3">
      <c r="F2578" s="11">
        <v>-3.6952780000000001</v>
      </c>
      <c r="G2578" s="11">
        <v>56.038333000000002</v>
      </c>
      <c r="H2578" s="11">
        <v>1</v>
      </c>
    </row>
    <row r="2579" spans="6:8" x14ac:dyDescent="0.3">
      <c r="F2579" s="11">
        <v>-3.6433330000000002</v>
      </c>
      <c r="G2579" s="11">
        <v>56.008611000000002</v>
      </c>
      <c r="H2579" s="11">
        <v>1</v>
      </c>
    </row>
    <row r="2580" spans="6:8" x14ac:dyDescent="0.3">
      <c r="F2580" s="11">
        <v>-3.5494439999999998</v>
      </c>
      <c r="G2580" s="11">
        <v>56.0075</v>
      </c>
      <c r="H2580" s="11">
        <v>1</v>
      </c>
    </row>
    <row r="2581" spans="6:8" x14ac:dyDescent="0.3">
      <c r="F2581" s="11">
        <v>-3.4616669999999998</v>
      </c>
      <c r="G2581" s="11">
        <v>55.994166999999997</v>
      </c>
      <c r="H2581" s="11">
        <v>1</v>
      </c>
    </row>
    <row r="2582" spans="6:8" x14ac:dyDescent="0.3">
      <c r="F2582" s="11">
        <v>-3.365278</v>
      </c>
      <c r="G2582" s="11">
        <v>55.986944000000001</v>
      </c>
      <c r="H2582" s="11">
        <v>1</v>
      </c>
    </row>
    <row r="2583" spans="6:8" x14ac:dyDescent="0.3">
      <c r="F2583" s="11">
        <v>-3.2908330000000001</v>
      </c>
      <c r="G2583" s="11">
        <v>55.975278000000003</v>
      </c>
      <c r="H2583" s="11">
        <v>1</v>
      </c>
    </row>
    <row r="2584" spans="6:8" x14ac:dyDescent="0.3">
      <c r="F2584" s="11">
        <v>-3.1919439999999999</v>
      </c>
      <c r="G2584" s="11">
        <v>55.976666999999999</v>
      </c>
      <c r="H2584" s="11">
        <v>1</v>
      </c>
    </row>
    <row r="2585" spans="6:8" x14ac:dyDescent="0.3">
      <c r="F2585" s="11">
        <v>-3.1036109999999999</v>
      </c>
      <c r="G2585" s="11">
        <v>55.958055999999999</v>
      </c>
      <c r="H2585" s="11">
        <v>1</v>
      </c>
    </row>
    <row r="2586" spans="6:8" x14ac:dyDescent="0.3">
      <c r="F2586" s="11">
        <v>-3.0125000000000002</v>
      </c>
      <c r="G2586" s="11">
        <v>55.944167</v>
      </c>
      <c r="H2586" s="11">
        <v>1</v>
      </c>
    </row>
    <row r="2587" spans="6:8" x14ac:dyDescent="0.3">
      <c r="F2587" s="11">
        <v>-2.9416669999999998</v>
      </c>
      <c r="G2587" s="11">
        <v>55.968888999999997</v>
      </c>
      <c r="H2587" s="11">
        <v>1</v>
      </c>
    </row>
    <row r="2588" spans="6:8" x14ac:dyDescent="0.3">
      <c r="F2588" s="11">
        <v>-2.8791669999999998</v>
      </c>
      <c r="G2588" s="11">
        <v>56</v>
      </c>
      <c r="H2588" s="11">
        <v>1</v>
      </c>
    </row>
    <row r="2589" spans="6:8" x14ac:dyDescent="0.3">
      <c r="F2589" s="11">
        <v>-2.8341669999999999</v>
      </c>
      <c r="G2589" s="11">
        <v>56.033889000000002</v>
      </c>
      <c r="H2589" s="11">
        <v>1</v>
      </c>
    </row>
    <row r="2590" spans="6:8" x14ac:dyDescent="0.3">
      <c r="F2590" s="11">
        <v>-2.7688890000000002</v>
      </c>
      <c r="G2590" s="11">
        <v>56.059443999999999</v>
      </c>
      <c r="H2590" s="11">
        <v>1</v>
      </c>
    </row>
    <row r="2591" spans="6:8" x14ac:dyDescent="0.3">
      <c r="F2591" s="11">
        <v>-2.6705559999999999</v>
      </c>
      <c r="G2591" s="11">
        <v>56.059167000000002</v>
      </c>
      <c r="H2591" s="11">
        <v>1</v>
      </c>
    </row>
    <row r="2592" spans="6:8" x14ac:dyDescent="0.3">
      <c r="F2592" s="11">
        <v>-2.5916670000000002</v>
      </c>
      <c r="G2592" s="11">
        <v>56.035277999999998</v>
      </c>
      <c r="H2592" s="11">
        <v>1</v>
      </c>
    </row>
    <row r="2593" spans="6:8" x14ac:dyDescent="0.3">
      <c r="F2593" s="11">
        <v>-2.572778</v>
      </c>
      <c r="G2593" s="11">
        <v>55.995832999999998</v>
      </c>
      <c r="H2593" s="11">
        <v>1</v>
      </c>
    </row>
    <row r="2594" spans="6:8" x14ac:dyDescent="0.3">
      <c r="F2594" s="11">
        <v>-2.4972219999999998</v>
      </c>
      <c r="G2594" s="11">
        <v>56.001944000000002</v>
      </c>
      <c r="H2594" s="11">
        <v>1</v>
      </c>
    </row>
    <row r="2595" spans="6:8" x14ac:dyDescent="0.3">
      <c r="F2595" s="11">
        <v>-2.4191669999999998</v>
      </c>
      <c r="G2595" s="11">
        <v>55.975278000000003</v>
      </c>
      <c r="H2595" s="11">
        <v>1</v>
      </c>
    </row>
    <row r="2596" spans="6:8" x14ac:dyDescent="0.3">
      <c r="F2596" s="11">
        <v>-2.351944</v>
      </c>
      <c r="G2596" s="11">
        <v>55.943055999999999</v>
      </c>
      <c r="H2596" s="11">
        <v>1</v>
      </c>
    </row>
    <row r="2597" spans="6:8" x14ac:dyDescent="0.3">
      <c r="F2597" s="11">
        <v>-2.2655560000000001</v>
      </c>
      <c r="G2597" s="11">
        <v>55.920833000000002</v>
      </c>
      <c r="H2597" s="11">
        <v>1</v>
      </c>
    </row>
    <row r="2598" spans="6:8" x14ac:dyDescent="0.3">
      <c r="F2598" s="11">
        <v>-2.1744439999999998</v>
      </c>
      <c r="G2598" s="11">
        <v>55.916389000000002</v>
      </c>
      <c r="H2598" s="11">
        <v>1</v>
      </c>
    </row>
    <row r="2599" spans="6:8" x14ac:dyDescent="0.3">
      <c r="F2599" s="11">
        <v>-2.1202779999999999</v>
      </c>
      <c r="G2599" s="11">
        <v>55.8825</v>
      </c>
      <c r="H2599" s="11">
        <v>1</v>
      </c>
    </row>
    <row r="2600" spans="6:8" x14ac:dyDescent="0.3">
      <c r="F2600" s="11">
        <v>-2.0647220000000002</v>
      </c>
      <c r="G2600" s="11">
        <v>55.845278</v>
      </c>
      <c r="H2600" s="11">
        <v>1</v>
      </c>
    </row>
    <row r="2601" spans="6:8" x14ac:dyDescent="0.3">
      <c r="F2601" s="11">
        <v>-2.020556</v>
      </c>
      <c r="G2601" s="11">
        <v>55.804721999999998</v>
      </c>
      <c r="H2601" s="11">
        <v>1</v>
      </c>
    </row>
    <row r="2602" spans="6:8" x14ac:dyDescent="0.3">
      <c r="F2602" s="11">
        <v>-1.9813890000000001</v>
      </c>
      <c r="G2602" s="11">
        <v>55.760278</v>
      </c>
      <c r="H2602" s="11">
        <v>1</v>
      </c>
    </row>
    <row r="2603" spans="6:8" x14ac:dyDescent="0.3">
      <c r="F2603" s="11">
        <v>-1.9288890000000001</v>
      </c>
      <c r="G2603" s="11">
        <v>55.721944000000001</v>
      </c>
      <c r="H2603" s="11">
        <v>1</v>
      </c>
    </row>
    <row r="2604" spans="6:8" x14ac:dyDescent="0.3">
      <c r="F2604" s="11">
        <v>-1.8725000000000001</v>
      </c>
      <c r="G2604" s="11">
        <v>55.685000000000002</v>
      </c>
      <c r="H2604" s="11">
        <v>1</v>
      </c>
    </row>
    <row r="2605" spans="6:8" x14ac:dyDescent="0.3">
      <c r="F2605" s="11">
        <v>-1.828333</v>
      </c>
      <c r="G2605" s="11">
        <v>55.643056000000001</v>
      </c>
      <c r="H2605" s="11">
        <v>1</v>
      </c>
    </row>
    <row r="2606" spans="6:8" x14ac:dyDescent="0.3">
      <c r="F2606" s="11">
        <v>-1.7752779999999999</v>
      </c>
      <c r="G2606" s="11">
        <v>55.645555999999999</v>
      </c>
      <c r="H2606" s="11">
        <v>1</v>
      </c>
    </row>
    <row r="2607" spans="6:8" x14ac:dyDescent="0.3">
      <c r="F2607" s="11">
        <v>-1.7669440000000001</v>
      </c>
      <c r="G2607" s="11">
        <v>55.609444000000003</v>
      </c>
      <c r="H2607" s="11">
        <v>1</v>
      </c>
    </row>
    <row r="2608" spans="6:8" x14ac:dyDescent="0.3">
      <c r="F2608" s="11">
        <v>-1.6855560000000001</v>
      </c>
      <c r="G2608" s="11">
        <v>55.603889000000002</v>
      </c>
      <c r="H2608" s="11">
        <v>1</v>
      </c>
    </row>
    <row r="2609" spans="6:8" x14ac:dyDescent="0.3">
      <c r="F2609" s="11">
        <v>-1.6394439999999999</v>
      </c>
      <c r="G2609" s="11">
        <v>55.567500000000003</v>
      </c>
      <c r="H2609" s="11">
        <v>1</v>
      </c>
    </row>
    <row r="2610" spans="6:8" x14ac:dyDescent="0.3">
      <c r="F2610" s="11">
        <v>-1.614722</v>
      </c>
      <c r="G2610" s="11">
        <v>55.526944</v>
      </c>
      <c r="H2610" s="11">
        <v>1</v>
      </c>
    </row>
    <row r="2611" spans="6:8" x14ac:dyDescent="0.3">
      <c r="F2611" s="11">
        <v>-1.5805560000000001</v>
      </c>
      <c r="G2611" s="11">
        <v>55.482222</v>
      </c>
      <c r="H2611" s="11">
        <v>1</v>
      </c>
    </row>
    <row r="2612" spans="6:8" x14ac:dyDescent="0.3">
      <c r="F2612" s="11">
        <v>-1.5738890000000001</v>
      </c>
      <c r="G2612" s="11">
        <v>55.423889000000003</v>
      </c>
      <c r="H2612" s="11">
        <v>1</v>
      </c>
    </row>
    <row r="2613" spans="6:8" x14ac:dyDescent="0.3">
      <c r="F2613" s="11">
        <v>-1.592222</v>
      </c>
      <c r="G2613" s="11">
        <v>55.374721999999998</v>
      </c>
      <c r="H2613" s="11">
        <v>1</v>
      </c>
    </row>
    <row r="2614" spans="6:8" x14ac:dyDescent="0.3">
      <c r="F2614" s="11">
        <v>-1.555833</v>
      </c>
      <c r="G2614" s="11">
        <v>55.329444000000002</v>
      </c>
      <c r="H2614" s="11">
        <v>1</v>
      </c>
    </row>
    <row r="2615" spans="6:8" x14ac:dyDescent="0.3">
      <c r="F2615" s="11">
        <v>-1.5677779999999999</v>
      </c>
      <c r="G2615" s="11">
        <v>55.275278</v>
      </c>
      <c r="H2615" s="11">
        <v>1</v>
      </c>
    </row>
    <row r="2616" spans="6:8" x14ac:dyDescent="0.3">
      <c r="F2616" s="11">
        <v>-1.5286109999999999</v>
      </c>
      <c r="G2616" s="11">
        <v>55.232222</v>
      </c>
      <c r="H2616" s="11">
        <v>1</v>
      </c>
    </row>
    <row r="2617" spans="6:8" x14ac:dyDescent="0.3">
      <c r="F2617" s="11">
        <v>-1.506111</v>
      </c>
      <c r="G2617" s="11">
        <v>55.184167000000002</v>
      </c>
      <c r="H2617" s="11">
        <v>1</v>
      </c>
    </row>
    <row r="2618" spans="6:8" x14ac:dyDescent="0.3">
      <c r="F2618" s="11">
        <v>-1.4988889999999999</v>
      </c>
      <c r="G2618" s="11">
        <v>55.136944</v>
      </c>
      <c r="H2618" s="11">
        <v>1</v>
      </c>
    </row>
    <row r="2619" spans="6:8" x14ac:dyDescent="0.3">
      <c r="F2619" s="11">
        <v>-1.4808330000000001</v>
      </c>
      <c r="G2619" s="11">
        <v>55.083333000000003</v>
      </c>
      <c r="H2619" s="11">
        <v>1</v>
      </c>
    </row>
    <row r="2620" spans="6:8" x14ac:dyDescent="0.3">
      <c r="F2620" s="11">
        <v>-1.4461109999999999</v>
      </c>
      <c r="G2620" s="11">
        <v>55.046111000000003</v>
      </c>
      <c r="H2620" s="11">
        <v>1</v>
      </c>
    </row>
    <row r="2621" spans="6:8" x14ac:dyDescent="0.3">
      <c r="F2621" s="11">
        <v>-1.415278</v>
      </c>
      <c r="G2621" s="11">
        <v>55.002777999999999</v>
      </c>
      <c r="H2621" s="11">
        <v>1</v>
      </c>
    </row>
    <row r="2622" spans="6:8" x14ac:dyDescent="0.3">
      <c r="F2622" s="11">
        <v>-1.3605560000000001</v>
      </c>
      <c r="G2622" s="11">
        <v>54.965277999999998</v>
      </c>
      <c r="H2622" s="11">
        <v>1</v>
      </c>
    </row>
    <row r="2623" spans="6:8" x14ac:dyDescent="0.3">
      <c r="F2623" s="11">
        <v>-1.3525</v>
      </c>
      <c r="G2623" s="11">
        <v>54.909166999999997</v>
      </c>
      <c r="H2623" s="11">
        <v>1</v>
      </c>
    </row>
    <row r="2624" spans="6:8" x14ac:dyDescent="0.3">
      <c r="F2624" s="11">
        <v>-1.334722</v>
      </c>
      <c r="G2624" s="11">
        <v>54.856110999999999</v>
      </c>
      <c r="H2624" s="11">
        <v>1</v>
      </c>
    </row>
    <row r="2625" spans="6:8" x14ac:dyDescent="0.3">
      <c r="F2625" s="11">
        <v>-1.306111</v>
      </c>
      <c r="G2625" s="11">
        <v>54.807499999999997</v>
      </c>
      <c r="H2625" s="11">
        <v>1</v>
      </c>
    </row>
    <row r="2626" spans="6:8" x14ac:dyDescent="0.3">
      <c r="F2626" s="11">
        <v>-1.2872220000000001</v>
      </c>
      <c r="G2626" s="11">
        <v>54.756110999999997</v>
      </c>
      <c r="H2626" s="11">
        <v>1</v>
      </c>
    </row>
    <row r="2627" spans="6:8" x14ac:dyDescent="0.3">
      <c r="F2627" s="11">
        <v>-1.2350000000000001</v>
      </c>
      <c r="G2627" s="11">
        <v>54.718333000000001</v>
      </c>
      <c r="H2627" s="11">
        <v>1</v>
      </c>
    </row>
    <row r="2628" spans="6:8" x14ac:dyDescent="0.3">
      <c r="F2628" s="11">
        <v>-1.177778</v>
      </c>
      <c r="G2628" s="11">
        <v>54.690556000000001</v>
      </c>
      <c r="H2628" s="11">
        <v>1</v>
      </c>
    </row>
    <row r="2629" spans="6:8" x14ac:dyDescent="0.3">
      <c r="F2629" s="11">
        <v>-1.160833</v>
      </c>
      <c r="G2629" s="11">
        <v>54.650832999999999</v>
      </c>
      <c r="H2629" s="11">
        <v>1</v>
      </c>
    </row>
    <row r="2630" spans="6:8" x14ac:dyDescent="0.3">
      <c r="F2630" s="11">
        <v>-1.1919439999999999</v>
      </c>
      <c r="G2630" s="11">
        <v>54.605556</v>
      </c>
      <c r="H2630" s="11">
        <v>1</v>
      </c>
    </row>
    <row r="2631" spans="6:8" x14ac:dyDescent="0.3">
      <c r="F2631" s="11">
        <v>-1.141667</v>
      </c>
      <c r="G2631" s="11">
        <v>54.615555999999998</v>
      </c>
      <c r="H2631" s="11">
        <v>1</v>
      </c>
    </row>
    <row r="2632" spans="6:8" x14ac:dyDescent="0.3">
      <c r="F2632" s="11">
        <v>-1.082778</v>
      </c>
      <c r="G2632" s="11">
        <v>54.620832999999998</v>
      </c>
      <c r="H2632" s="11">
        <v>1</v>
      </c>
    </row>
    <row r="2633" spans="6:8" x14ac:dyDescent="0.3">
      <c r="F2633" s="11">
        <v>-1.016111</v>
      </c>
      <c r="G2633" s="11">
        <v>54.599722</v>
      </c>
      <c r="H2633" s="11">
        <v>1</v>
      </c>
    </row>
    <row r="2634" spans="6:8" x14ac:dyDescent="0.3">
      <c r="F2634" s="11">
        <v>-0.92722199999999999</v>
      </c>
      <c r="G2634" s="11">
        <v>54.584721999999999</v>
      </c>
      <c r="H2634" s="11">
        <v>1</v>
      </c>
    </row>
    <row r="2635" spans="6:8" x14ac:dyDescent="0.3">
      <c r="F2635" s="11">
        <v>-0.83722200000000002</v>
      </c>
      <c r="G2635" s="11">
        <v>54.568888999999999</v>
      </c>
      <c r="H2635" s="11">
        <v>1</v>
      </c>
    </row>
    <row r="2636" spans="6:8" x14ac:dyDescent="0.3">
      <c r="F2636" s="11">
        <v>-0.76055600000000001</v>
      </c>
      <c r="G2636" s="11">
        <v>54.543889</v>
      </c>
      <c r="H2636" s="11">
        <v>1</v>
      </c>
    </row>
    <row r="2637" spans="6:8" x14ac:dyDescent="0.3">
      <c r="F2637" s="11">
        <v>-0.68083300000000002</v>
      </c>
      <c r="G2637" s="11">
        <v>54.517778</v>
      </c>
      <c r="H2637" s="11">
        <v>1</v>
      </c>
    </row>
    <row r="2638" spans="6:8" x14ac:dyDescent="0.3">
      <c r="F2638" s="11">
        <v>-0.61166699999999996</v>
      </c>
      <c r="G2638" s="11">
        <v>54.486666999999997</v>
      </c>
      <c r="H2638" s="11">
        <v>1</v>
      </c>
    </row>
    <row r="2639" spans="6:8" x14ac:dyDescent="0.3">
      <c r="F2639" s="11">
        <v>-0.54500000000000004</v>
      </c>
      <c r="G2639" s="11">
        <v>54.460555999999997</v>
      </c>
      <c r="H2639" s="11">
        <v>1</v>
      </c>
    </row>
    <row r="2640" spans="6:8" x14ac:dyDescent="0.3">
      <c r="F2640" s="11">
        <v>-0.51583299999999999</v>
      </c>
      <c r="G2640" s="11">
        <v>54.412778000000003</v>
      </c>
      <c r="H2640" s="11">
        <v>1</v>
      </c>
    </row>
    <row r="2641" spans="6:8" x14ac:dyDescent="0.3">
      <c r="F2641" s="11">
        <v>-0.45750000000000002</v>
      </c>
      <c r="G2641" s="11">
        <v>54.377499999999998</v>
      </c>
      <c r="H2641" s="11">
        <v>1</v>
      </c>
    </row>
    <row r="2642" spans="6:8" x14ac:dyDescent="0.3">
      <c r="F2642" s="11">
        <v>-0.42138900000000001</v>
      </c>
      <c r="G2642" s="11">
        <v>54.332777999999998</v>
      </c>
      <c r="H2642" s="11">
        <v>1</v>
      </c>
    </row>
    <row r="2643" spans="6:8" x14ac:dyDescent="0.3">
      <c r="F2643" s="11">
        <v>-0.39888899999999999</v>
      </c>
      <c r="G2643" s="11">
        <v>54.281944000000003</v>
      </c>
      <c r="H2643" s="11">
        <v>1</v>
      </c>
    </row>
    <row r="2644" spans="6:8" x14ac:dyDescent="0.3">
      <c r="F2644" s="11">
        <v>-0.36444399999999999</v>
      </c>
      <c r="G2644" s="11">
        <v>54.243333</v>
      </c>
      <c r="H2644" s="11">
        <v>1</v>
      </c>
    </row>
    <row r="2645" spans="6:8" x14ac:dyDescent="0.3">
      <c r="F2645" s="11">
        <v>-0.283611</v>
      </c>
      <c r="G2645" s="11">
        <v>54.219444000000003</v>
      </c>
      <c r="H2645" s="11">
        <v>1</v>
      </c>
    </row>
    <row r="2646" spans="6:8" x14ac:dyDescent="0.3">
      <c r="F2646" s="11">
        <v>-0.26222200000000001</v>
      </c>
      <c r="G2646" s="11">
        <v>54.174999999999997</v>
      </c>
      <c r="H2646" s="11">
        <v>1</v>
      </c>
    </row>
    <row r="2647" spans="6:8" x14ac:dyDescent="0.3">
      <c r="F2647" s="11">
        <v>-0.183056</v>
      </c>
      <c r="G2647" s="11">
        <v>54.148333000000001</v>
      </c>
      <c r="H2647" s="11">
        <v>1</v>
      </c>
    </row>
    <row r="2648" spans="6:8" x14ac:dyDescent="0.3">
      <c r="F2648" s="11">
        <v>-9.6667000000000003E-2</v>
      </c>
      <c r="G2648" s="11">
        <v>54.125</v>
      </c>
      <c r="H2648" s="11">
        <v>1</v>
      </c>
    </row>
    <row r="2649" spans="6:8" x14ac:dyDescent="0.3">
      <c r="H2649" s="11">
        <v>1</v>
      </c>
    </row>
    <row r="2650" spans="6:8" x14ac:dyDescent="0.3">
      <c r="F2650" s="11">
        <v>-0.14611099999999999</v>
      </c>
      <c r="G2650" s="11">
        <v>54.093055999999997</v>
      </c>
      <c r="H2650" s="11">
        <v>1</v>
      </c>
    </row>
    <row r="2651" spans="6:8" x14ac:dyDescent="0.3">
      <c r="F2651" s="11">
        <v>-0.20277800000000001</v>
      </c>
      <c r="G2651" s="11">
        <v>54.055278000000001</v>
      </c>
      <c r="H2651" s="11">
        <v>1</v>
      </c>
    </row>
    <row r="2652" spans="6:8" x14ac:dyDescent="0.3">
      <c r="F2652" s="11">
        <v>-0.20666699999999999</v>
      </c>
      <c r="G2652" s="11">
        <v>53.998888999999998</v>
      </c>
      <c r="H2652" s="11">
        <v>1</v>
      </c>
    </row>
    <row r="2653" spans="6:8" x14ac:dyDescent="0.3">
      <c r="F2653" s="11">
        <v>-0.18027799999999999</v>
      </c>
      <c r="G2653" s="11">
        <v>53.950277999999997</v>
      </c>
      <c r="H2653" s="11">
        <v>1</v>
      </c>
    </row>
    <row r="2654" spans="6:8" x14ac:dyDescent="0.3">
      <c r="F2654" s="11">
        <v>-0.155556</v>
      </c>
      <c r="G2654" s="11">
        <v>53.900832999999999</v>
      </c>
      <c r="H2654" s="11">
        <v>1</v>
      </c>
    </row>
    <row r="2655" spans="6:8" x14ac:dyDescent="0.3">
      <c r="F2655" s="11">
        <v>-0.11833299999999999</v>
      </c>
      <c r="G2655" s="11">
        <v>53.856110999999999</v>
      </c>
      <c r="H2655" s="11">
        <v>1</v>
      </c>
    </row>
    <row r="2656" spans="6:8" x14ac:dyDescent="0.3">
      <c r="F2656" s="11">
        <v>-6.25E-2</v>
      </c>
      <c r="G2656" s="11">
        <v>53.815832999999998</v>
      </c>
      <c r="H2656" s="11">
        <v>1</v>
      </c>
    </row>
    <row r="2657" spans="6:8" x14ac:dyDescent="0.3">
      <c r="F2657" s="11">
        <v>-1.9167E-2</v>
      </c>
      <c r="G2657" s="11">
        <v>53.774166999999998</v>
      </c>
      <c r="H2657" s="11">
        <v>1</v>
      </c>
    </row>
    <row r="2658" spans="6:8" x14ac:dyDescent="0.3">
      <c r="F2658" s="11">
        <v>2.6388999999999999E-2</v>
      </c>
      <c r="G2658" s="11">
        <v>53.733888999999998</v>
      </c>
      <c r="H2658" s="11">
        <v>1</v>
      </c>
    </row>
    <row r="2659" spans="6:8" x14ac:dyDescent="0.3">
      <c r="F2659" s="11">
        <v>7.1388999999999994E-2</v>
      </c>
      <c r="G2659" s="11">
        <v>53.693888999999999</v>
      </c>
      <c r="H2659" s="11">
        <v>1</v>
      </c>
    </row>
    <row r="2660" spans="6:8" x14ac:dyDescent="0.3">
      <c r="F2660" s="11">
        <v>0.11694400000000001</v>
      </c>
      <c r="G2660" s="11">
        <v>53.653610999999998</v>
      </c>
      <c r="H2660" s="11">
        <v>1</v>
      </c>
    </row>
    <row r="2661" spans="6:8" x14ac:dyDescent="0.3">
      <c r="F2661" s="11">
        <v>0.1525</v>
      </c>
      <c r="G2661" s="11">
        <v>53.608611000000003</v>
      </c>
      <c r="H2661" s="11">
        <v>1</v>
      </c>
    </row>
    <row r="2662" spans="6:8" x14ac:dyDescent="0.3">
      <c r="F2662" s="11">
        <v>0.113056</v>
      </c>
      <c r="G2662" s="11">
        <v>53.563611000000002</v>
      </c>
      <c r="H2662" s="11">
        <v>1</v>
      </c>
    </row>
    <row r="2663" spans="6:8" x14ac:dyDescent="0.3">
      <c r="F2663" s="11">
        <v>0.126389</v>
      </c>
      <c r="G2663" s="11">
        <v>53.610833</v>
      </c>
      <c r="H2663" s="11">
        <v>1</v>
      </c>
    </row>
    <row r="2664" spans="6:8" x14ac:dyDescent="0.3">
      <c r="F2664" s="11">
        <v>5.0278000000000003E-2</v>
      </c>
      <c r="G2664" s="11">
        <v>53.638055999999999</v>
      </c>
      <c r="H2664" s="11">
        <v>1</v>
      </c>
    </row>
    <row r="2665" spans="6:8" x14ac:dyDescent="0.3">
      <c r="F2665" s="11">
        <v>-3.4444000000000002E-2</v>
      </c>
      <c r="G2665" s="11">
        <v>53.626111000000002</v>
      </c>
      <c r="H2665" s="11">
        <v>1</v>
      </c>
    </row>
    <row r="2666" spans="6:8" x14ac:dyDescent="0.3">
      <c r="F2666" s="11">
        <v>-0.11861099999999999</v>
      </c>
      <c r="G2666" s="11">
        <v>53.638610999999997</v>
      </c>
      <c r="H2666" s="11">
        <v>1</v>
      </c>
    </row>
    <row r="2667" spans="6:8" x14ac:dyDescent="0.3">
      <c r="F2667" s="11">
        <v>-0.18027799999999999</v>
      </c>
      <c r="G2667" s="11">
        <v>53.672499999999999</v>
      </c>
      <c r="H2667" s="11">
        <v>1</v>
      </c>
    </row>
    <row r="2668" spans="6:8" x14ac:dyDescent="0.3">
      <c r="F2668" s="11">
        <v>-0.23555599999999999</v>
      </c>
      <c r="G2668" s="11">
        <v>53.708610999999998</v>
      </c>
      <c r="H2668" s="11">
        <v>1</v>
      </c>
    </row>
    <row r="2669" spans="6:8" x14ac:dyDescent="0.3">
      <c r="F2669" s="11">
        <v>-0.309722</v>
      </c>
      <c r="G2669" s="11">
        <v>53.73</v>
      </c>
      <c r="H2669" s="11">
        <v>1</v>
      </c>
    </row>
    <row r="2670" spans="6:8" x14ac:dyDescent="0.3">
      <c r="F2670" s="11">
        <v>-0.38805600000000001</v>
      </c>
      <c r="G2670" s="11">
        <v>53.712221999999997</v>
      </c>
      <c r="H2670" s="11">
        <v>1</v>
      </c>
    </row>
    <row r="2671" spans="6:8" x14ac:dyDescent="0.3">
      <c r="F2671" s="11">
        <v>-0.48499999999999999</v>
      </c>
      <c r="G2671" s="11">
        <v>53.708333000000003</v>
      </c>
      <c r="H2671" s="11">
        <v>1</v>
      </c>
    </row>
    <row r="2672" spans="6:8" x14ac:dyDescent="0.3">
      <c r="F2672" s="11">
        <v>-0.57138900000000004</v>
      </c>
      <c r="G2672" s="11">
        <v>53.710555999999997</v>
      </c>
      <c r="H2672" s="11">
        <v>1</v>
      </c>
    </row>
    <row r="2673" spans="6:8" x14ac:dyDescent="0.3">
      <c r="F2673" s="11">
        <v>-0.65694399999999997</v>
      </c>
      <c r="G2673" s="11">
        <v>53.714722000000002</v>
      </c>
      <c r="H2673" s="11">
        <v>1</v>
      </c>
    </row>
    <row r="2674" spans="6:8" x14ac:dyDescent="0.3">
      <c r="F2674" s="11">
        <v>-0.718333</v>
      </c>
      <c r="G2674" s="11">
        <v>53.691389000000001</v>
      </c>
      <c r="H2674" s="11">
        <v>1</v>
      </c>
    </row>
    <row r="2675" spans="6:8" x14ac:dyDescent="0.3">
      <c r="F2675" s="11">
        <v>-0.65055600000000002</v>
      </c>
      <c r="G2675" s="11">
        <v>53.693888999999999</v>
      </c>
      <c r="H2675" s="11">
        <v>1</v>
      </c>
    </row>
    <row r="2676" spans="6:8" x14ac:dyDescent="0.3">
      <c r="F2676" s="11">
        <v>-0.58194400000000002</v>
      </c>
      <c r="G2676" s="11">
        <v>53.686943999999997</v>
      </c>
      <c r="H2676" s="11">
        <v>1</v>
      </c>
    </row>
    <row r="2677" spans="6:8" x14ac:dyDescent="0.3">
      <c r="F2677" s="11">
        <v>-0.50277799999999995</v>
      </c>
      <c r="G2677" s="11">
        <v>53.675556</v>
      </c>
      <c r="H2677" s="11">
        <v>1</v>
      </c>
    </row>
    <row r="2678" spans="6:8" x14ac:dyDescent="0.3">
      <c r="F2678" s="11">
        <v>-0.41777799999999998</v>
      </c>
      <c r="G2678" s="11">
        <v>53.686943999999997</v>
      </c>
      <c r="H2678" s="11">
        <v>1</v>
      </c>
    </row>
    <row r="2679" spans="6:8" x14ac:dyDescent="0.3">
      <c r="F2679" s="11">
        <v>-0.33166699999999999</v>
      </c>
      <c r="G2679" s="11">
        <v>53.699722000000001</v>
      </c>
      <c r="H2679" s="11">
        <v>1</v>
      </c>
    </row>
    <row r="2680" spans="6:8" x14ac:dyDescent="0.3">
      <c r="F2680" s="11">
        <v>-0.26055600000000001</v>
      </c>
      <c r="G2680" s="11">
        <v>53.684722000000001</v>
      </c>
      <c r="H2680" s="11">
        <v>1</v>
      </c>
    </row>
    <row r="2681" spans="6:8" x14ac:dyDescent="0.3">
      <c r="F2681" s="11">
        <v>-0.219167</v>
      </c>
      <c r="G2681" s="11">
        <v>53.642221999999997</v>
      </c>
      <c r="H2681" s="11">
        <v>1</v>
      </c>
    </row>
    <row r="2682" spans="6:8" x14ac:dyDescent="0.3">
      <c r="F2682" s="11">
        <v>-0.158611</v>
      </c>
      <c r="G2682" s="11">
        <v>53.608333000000002</v>
      </c>
      <c r="H2682" s="11">
        <v>1</v>
      </c>
    </row>
    <row r="2683" spans="6:8" x14ac:dyDescent="0.3">
      <c r="F2683" s="11">
        <v>-0.10055600000000001</v>
      </c>
      <c r="G2683" s="11">
        <v>53.573332999999998</v>
      </c>
      <c r="H2683" s="11">
        <v>1</v>
      </c>
    </row>
    <row r="2684" spans="6:8" x14ac:dyDescent="0.3">
      <c r="F2684" s="11">
        <v>-3.0832999999999999E-2</v>
      </c>
      <c r="G2684" s="11">
        <v>53.557222000000003</v>
      </c>
      <c r="H2684" s="11">
        <v>1</v>
      </c>
    </row>
    <row r="2685" spans="6:8" x14ac:dyDescent="0.3">
      <c r="F2685" s="11">
        <v>2.0833000000000001E-2</v>
      </c>
      <c r="G2685" s="11">
        <v>53.519444</v>
      </c>
      <c r="H2685" s="11">
        <v>1</v>
      </c>
    </row>
    <row r="2686" spans="6:8" x14ac:dyDescent="0.3">
      <c r="F2686" s="11">
        <v>8.5555999999999993E-2</v>
      </c>
      <c r="G2686" s="11">
        <v>53.486944000000001</v>
      </c>
      <c r="H2686" s="11">
        <v>1</v>
      </c>
    </row>
    <row r="2687" spans="6:8" x14ac:dyDescent="0.3">
      <c r="F2687" s="11">
        <v>0.159722</v>
      </c>
      <c r="G2687" s="11">
        <v>53.464722000000002</v>
      </c>
      <c r="H2687" s="11">
        <v>1</v>
      </c>
    </row>
    <row r="2688" spans="6:8" x14ac:dyDescent="0.3">
      <c r="F2688" s="11">
        <v>0.20027800000000001</v>
      </c>
      <c r="G2688" s="11">
        <v>53.422221999999998</v>
      </c>
      <c r="H2688" s="11">
        <v>1</v>
      </c>
    </row>
    <row r="2689" spans="6:8" x14ac:dyDescent="0.3">
      <c r="F2689" s="11">
        <v>0.246111</v>
      </c>
      <c r="G2689" s="11">
        <v>53.384444000000002</v>
      </c>
      <c r="H2689" s="11">
        <v>1</v>
      </c>
    </row>
    <row r="2690" spans="6:8" x14ac:dyDescent="0.3">
      <c r="F2690" s="11">
        <v>0.27722200000000002</v>
      </c>
      <c r="G2690" s="11">
        <v>53.338056000000002</v>
      </c>
      <c r="H2690" s="11">
        <v>1</v>
      </c>
    </row>
    <row r="2691" spans="6:8" x14ac:dyDescent="0.3">
      <c r="F2691" s="11">
        <v>0.30277799999999999</v>
      </c>
      <c r="G2691" s="11">
        <v>53.289166999999999</v>
      </c>
      <c r="H2691" s="11">
        <v>1</v>
      </c>
    </row>
    <row r="2692" spans="6:8" x14ac:dyDescent="0.3">
      <c r="F2692" s="11">
        <v>0.33416699999999999</v>
      </c>
      <c r="G2692" s="11">
        <v>53.242778000000001</v>
      </c>
      <c r="H2692" s="11">
        <v>1</v>
      </c>
    </row>
    <row r="2693" spans="6:8" x14ac:dyDescent="0.3">
      <c r="F2693" s="11">
        <v>0.35277799999999998</v>
      </c>
      <c r="G2693" s="11">
        <v>53.191110999999999</v>
      </c>
      <c r="H2693" s="11">
        <v>1</v>
      </c>
    </row>
    <row r="2694" spans="6:8" x14ac:dyDescent="0.3">
      <c r="F2694" s="11">
        <v>0.35</v>
      </c>
      <c r="G2694" s="11">
        <v>53.1325</v>
      </c>
      <c r="H2694" s="11">
        <v>1</v>
      </c>
    </row>
    <row r="2695" spans="6:8" x14ac:dyDescent="0.3">
      <c r="F2695" s="11">
        <v>0.31861099999999998</v>
      </c>
      <c r="G2695" s="11">
        <v>53.082222000000002</v>
      </c>
      <c r="H2695" s="11">
        <v>1</v>
      </c>
    </row>
    <row r="2696" spans="6:8" x14ac:dyDescent="0.3">
      <c r="F2696" s="11">
        <v>0.255</v>
      </c>
      <c r="G2696" s="11">
        <v>53.052222</v>
      </c>
      <c r="H2696" s="11">
        <v>1</v>
      </c>
    </row>
    <row r="2697" spans="6:8" x14ac:dyDescent="0.3">
      <c r="F2697" s="11">
        <v>0.192778</v>
      </c>
      <c r="G2697" s="11">
        <v>53.021110999999998</v>
      </c>
      <c r="H2697" s="11">
        <v>1</v>
      </c>
    </row>
    <row r="2698" spans="6:8" x14ac:dyDescent="0.3">
      <c r="F2698" s="11">
        <v>0.13888900000000001</v>
      </c>
      <c r="G2698" s="11">
        <v>52.983333000000002</v>
      </c>
      <c r="H2698" s="11">
        <v>1</v>
      </c>
    </row>
    <row r="2699" spans="6:8" x14ac:dyDescent="0.3">
      <c r="F2699" s="11">
        <v>8.5555999999999993E-2</v>
      </c>
      <c r="G2699" s="11">
        <v>52.944721999999999</v>
      </c>
      <c r="H2699" s="11">
        <v>1</v>
      </c>
    </row>
    <row r="2700" spans="6:8" x14ac:dyDescent="0.3">
      <c r="F2700" s="11">
        <v>2.9444000000000001E-2</v>
      </c>
      <c r="G2700" s="11">
        <v>52.91</v>
      </c>
      <c r="H2700" s="11">
        <v>1</v>
      </c>
    </row>
    <row r="2701" spans="6:8" x14ac:dyDescent="0.3">
      <c r="F2701" s="11">
        <v>2.8056000000000001E-2</v>
      </c>
      <c r="G2701" s="11">
        <v>52.881388999999999</v>
      </c>
      <c r="H2701" s="11">
        <v>1</v>
      </c>
    </row>
    <row r="2702" spans="6:8" x14ac:dyDescent="0.3">
      <c r="F2702" s="11">
        <v>0.106944</v>
      </c>
      <c r="G2702" s="11">
        <v>52.883056000000003</v>
      </c>
      <c r="H2702" s="11">
        <v>1</v>
      </c>
    </row>
    <row r="2703" spans="6:8" x14ac:dyDescent="0.3">
      <c r="F2703" s="11">
        <v>0.17388899999999999</v>
      </c>
      <c r="G2703" s="11">
        <v>52.852499999999999</v>
      </c>
      <c r="H2703" s="11">
        <v>1</v>
      </c>
    </row>
    <row r="2704" spans="6:8" x14ac:dyDescent="0.3">
      <c r="F2704" s="11">
        <v>0.214722</v>
      </c>
      <c r="G2704" s="11">
        <v>52.81</v>
      </c>
      <c r="H2704" s="11">
        <v>1</v>
      </c>
    </row>
    <row r="2705" spans="6:8" x14ac:dyDescent="0.3">
      <c r="F2705" s="11">
        <v>0.28805599999999998</v>
      </c>
      <c r="G2705" s="11">
        <v>52.802778000000004</v>
      </c>
      <c r="H2705" s="11">
        <v>1</v>
      </c>
    </row>
    <row r="2706" spans="6:8" x14ac:dyDescent="0.3">
      <c r="F2706" s="11">
        <v>0.36333300000000002</v>
      </c>
      <c r="G2706" s="11">
        <v>52.780555999999997</v>
      </c>
      <c r="H2706" s="11">
        <v>1</v>
      </c>
    </row>
    <row r="2707" spans="6:8" x14ac:dyDescent="0.3">
      <c r="F2707" s="11">
        <v>0.38611099999999998</v>
      </c>
      <c r="G2707" s="11">
        <v>52.796944000000003</v>
      </c>
      <c r="H2707" s="11">
        <v>1</v>
      </c>
    </row>
    <row r="2708" spans="6:8" x14ac:dyDescent="0.3">
      <c r="F2708" s="11">
        <v>0.436944</v>
      </c>
      <c r="G2708" s="11">
        <v>52.837499999999999</v>
      </c>
      <c r="H2708" s="11">
        <v>1</v>
      </c>
    </row>
    <row r="2709" spans="6:8" x14ac:dyDescent="0.3">
      <c r="F2709" s="11">
        <v>0.466389</v>
      </c>
      <c r="G2709" s="11">
        <v>52.894722000000002</v>
      </c>
      <c r="H2709" s="11">
        <v>1</v>
      </c>
    </row>
    <row r="2710" spans="6:8" x14ac:dyDescent="0.3">
      <c r="F2710" s="11">
        <v>0.50611099999999998</v>
      </c>
      <c r="G2710" s="11">
        <v>52.944443999999997</v>
      </c>
      <c r="H2710" s="11">
        <v>1</v>
      </c>
    </row>
    <row r="2711" spans="6:8" x14ac:dyDescent="0.3">
      <c r="F2711" s="11">
        <v>0.57583300000000004</v>
      </c>
      <c r="G2711" s="11">
        <v>52.962778</v>
      </c>
      <c r="H2711" s="11">
        <v>1</v>
      </c>
    </row>
    <row r="2712" spans="6:8" x14ac:dyDescent="0.3">
      <c r="F2712" s="11">
        <v>0.656111</v>
      </c>
      <c r="G2712" s="11">
        <v>52.963889000000002</v>
      </c>
      <c r="H2712" s="11">
        <v>1</v>
      </c>
    </row>
    <row r="2713" spans="6:8" x14ac:dyDescent="0.3">
      <c r="F2713" s="11">
        <v>0.75388900000000003</v>
      </c>
      <c r="G2713" s="11">
        <v>52.960555999999997</v>
      </c>
      <c r="H2713" s="11">
        <v>1</v>
      </c>
    </row>
    <row r="2714" spans="6:8" x14ac:dyDescent="0.3">
      <c r="F2714" s="11">
        <v>0.848889</v>
      </c>
      <c r="G2714" s="11">
        <v>52.955832999999998</v>
      </c>
      <c r="H2714" s="11">
        <v>1</v>
      </c>
    </row>
    <row r="2715" spans="6:8" x14ac:dyDescent="0.3">
      <c r="F2715" s="11">
        <v>0.91194399999999998</v>
      </c>
      <c r="G2715" s="11">
        <v>52.952778000000002</v>
      </c>
      <c r="H2715" s="11">
        <v>1</v>
      </c>
    </row>
    <row r="2716" spans="6:8" x14ac:dyDescent="0.3">
      <c r="F2716" s="11">
        <v>1.006111</v>
      </c>
      <c r="G2716" s="11">
        <v>52.953055999999997</v>
      </c>
      <c r="H2716" s="11">
        <v>1</v>
      </c>
    </row>
    <row r="2717" spans="6:8" x14ac:dyDescent="0.3">
      <c r="F2717" s="11">
        <v>0.98833300000000002</v>
      </c>
      <c r="G2717" s="11">
        <v>52.972499999999997</v>
      </c>
      <c r="H2717" s="11">
        <v>1</v>
      </c>
    </row>
    <row r="2718" spans="6:8" x14ac:dyDescent="0.3">
      <c r="F2718" s="11">
        <v>1.075278</v>
      </c>
      <c r="G2718" s="11">
        <v>52.952500000000001</v>
      </c>
      <c r="H2718" s="11">
        <v>1</v>
      </c>
    </row>
    <row r="2719" spans="6:8" x14ac:dyDescent="0.3">
      <c r="F2719" s="11">
        <v>1.1763889999999999</v>
      </c>
      <c r="G2719" s="11">
        <v>52.94</v>
      </c>
      <c r="H2719" s="11">
        <v>1</v>
      </c>
    </row>
    <row r="2720" spans="6:8" x14ac:dyDescent="0.3">
      <c r="F2720" s="11">
        <v>1.282222</v>
      </c>
      <c r="G2720" s="11">
        <v>52.927778000000004</v>
      </c>
      <c r="H2720" s="11">
        <v>1</v>
      </c>
    </row>
    <row r="2721" spans="6:8" x14ac:dyDescent="0.3">
      <c r="F2721" s="11">
        <v>1.3680559999999999</v>
      </c>
      <c r="G2721" s="11">
        <v>52.904722</v>
      </c>
      <c r="H2721" s="11">
        <v>1</v>
      </c>
    </row>
    <row r="2722" spans="6:8" x14ac:dyDescent="0.3">
      <c r="F2722" s="11">
        <v>1.4325000000000001</v>
      </c>
      <c r="G2722" s="11">
        <v>52.875</v>
      </c>
      <c r="H2722" s="11">
        <v>1</v>
      </c>
    </row>
    <row r="2723" spans="6:8" x14ac:dyDescent="0.3">
      <c r="F2723" s="11">
        <v>1.4950000000000001</v>
      </c>
      <c r="G2723" s="11">
        <v>52.842222</v>
      </c>
      <c r="H2723" s="11">
        <v>1</v>
      </c>
    </row>
    <row r="2724" spans="6:8" x14ac:dyDescent="0.3">
      <c r="F2724" s="11">
        <v>1.561944</v>
      </c>
      <c r="G2724" s="11">
        <v>52.811110999999997</v>
      </c>
      <c r="H2724" s="11">
        <v>1</v>
      </c>
    </row>
    <row r="2725" spans="6:8" x14ac:dyDescent="0.3">
      <c r="F2725" s="11">
        <v>1.6269439999999999</v>
      </c>
      <c r="G2725" s="11">
        <v>52.779443999999998</v>
      </c>
      <c r="H2725" s="11">
        <v>1</v>
      </c>
    </row>
    <row r="2726" spans="6:8" x14ac:dyDescent="0.3">
      <c r="F2726" s="11">
        <v>1.6805559999999999</v>
      </c>
      <c r="G2726" s="11">
        <v>52.742778000000001</v>
      </c>
      <c r="H2726" s="11">
        <v>1</v>
      </c>
    </row>
    <row r="2727" spans="6:8" x14ac:dyDescent="0.3">
      <c r="F2727" s="11">
        <v>1.711111</v>
      </c>
      <c r="G2727" s="11">
        <v>52.696389000000003</v>
      </c>
      <c r="H2727" s="11">
        <v>1</v>
      </c>
    </row>
    <row r="2728" spans="6:8" x14ac:dyDescent="0.3">
      <c r="F2728" s="11">
        <v>1.7344440000000001</v>
      </c>
      <c r="G2728" s="11">
        <v>52.647221999999999</v>
      </c>
      <c r="H2728" s="11">
        <v>1</v>
      </c>
    </row>
    <row r="2729" spans="6:8" x14ac:dyDescent="0.3">
      <c r="F2729" s="11">
        <v>1.7450000000000001</v>
      </c>
      <c r="G2729" s="11">
        <v>52.592500000000001</v>
      </c>
      <c r="H2729" s="11">
        <v>1</v>
      </c>
    </row>
    <row r="2730" spans="6:8" x14ac:dyDescent="0.3">
      <c r="F2730" s="11">
        <v>1.7472220000000001</v>
      </c>
      <c r="G2730" s="11">
        <v>52.536389</v>
      </c>
      <c r="H2730" s="11">
        <v>1</v>
      </c>
    </row>
    <row r="2731" spans="6:8" x14ac:dyDescent="0.3">
      <c r="F2731" s="11">
        <v>1.769444</v>
      </c>
      <c r="G2731" s="11">
        <v>52.486666999999997</v>
      </c>
      <c r="H2731" s="11">
        <v>1</v>
      </c>
    </row>
    <row r="2732" spans="6:8" x14ac:dyDescent="0.3">
      <c r="F2732" s="11">
        <v>1.7375</v>
      </c>
      <c r="G2732" s="11">
        <v>52.438611000000002</v>
      </c>
      <c r="H2732" s="11">
        <v>1</v>
      </c>
    </row>
    <row r="2733" spans="6:8" x14ac:dyDescent="0.3">
      <c r="F2733" s="11">
        <v>1.724167</v>
      </c>
      <c r="G2733" s="11">
        <v>52.378610999999999</v>
      </c>
      <c r="H2733" s="11">
        <v>1</v>
      </c>
    </row>
    <row r="2734" spans="6:8" x14ac:dyDescent="0.3">
      <c r="F2734" s="11">
        <v>1.6852780000000001</v>
      </c>
      <c r="G2734" s="11">
        <v>52.327500000000001</v>
      </c>
      <c r="H2734" s="11">
        <v>1</v>
      </c>
    </row>
    <row r="2735" spans="6:8" x14ac:dyDescent="0.3">
      <c r="F2735" s="11">
        <v>1.6422220000000001</v>
      </c>
      <c r="G2735" s="11">
        <v>52.280278000000003</v>
      </c>
      <c r="H2735" s="11">
        <v>1</v>
      </c>
    </row>
    <row r="2736" spans="6:8" x14ac:dyDescent="0.3">
      <c r="F2736" s="11">
        <v>1.6269439999999999</v>
      </c>
      <c r="G2736" s="11">
        <v>52.218055999999997</v>
      </c>
      <c r="H2736" s="11">
        <v>1</v>
      </c>
    </row>
    <row r="2737" spans="6:8" x14ac:dyDescent="0.3">
      <c r="F2737" s="11">
        <v>1.615</v>
      </c>
      <c r="G2737" s="11">
        <v>52.160277999999998</v>
      </c>
      <c r="H2737" s="11">
        <v>1</v>
      </c>
    </row>
    <row r="2738" spans="6:8" x14ac:dyDescent="0.3">
      <c r="F2738" s="11">
        <v>1.5916669999999999</v>
      </c>
      <c r="G2738" s="11">
        <v>52.099167000000001</v>
      </c>
      <c r="H2738" s="11">
        <v>1</v>
      </c>
    </row>
    <row r="2739" spans="6:8" x14ac:dyDescent="0.3">
      <c r="F2739" s="11">
        <v>1.533056</v>
      </c>
      <c r="G2739" s="11">
        <v>52.066943999999999</v>
      </c>
      <c r="H2739" s="11">
        <v>1</v>
      </c>
    </row>
    <row r="2740" spans="6:8" x14ac:dyDescent="0.3">
      <c r="F2740" s="11">
        <v>1.4658329999999999</v>
      </c>
      <c r="G2740" s="11">
        <v>52.046111000000003</v>
      </c>
      <c r="H2740" s="11">
        <v>1</v>
      </c>
    </row>
    <row r="2741" spans="6:8" x14ac:dyDescent="0.3">
      <c r="F2741" s="11">
        <v>1.425</v>
      </c>
      <c r="G2741" s="11">
        <v>52.001944000000002</v>
      </c>
      <c r="H2741" s="11">
        <v>1</v>
      </c>
    </row>
    <row r="2742" spans="6:8" x14ac:dyDescent="0.3">
      <c r="F2742" s="11">
        <v>1.3761110000000001</v>
      </c>
      <c r="G2742" s="11">
        <v>51.960278000000002</v>
      </c>
      <c r="H2742" s="11">
        <v>1</v>
      </c>
    </row>
    <row r="2743" spans="6:8" x14ac:dyDescent="0.3">
      <c r="F2743" s="11">
        <v>1.325278</v>
      </c>
      <c r="G2743" s="11">
        <v>51.935277999999997</v>
      </c>
      <c r="H2743" s="11">
        <v>1</v>
      </c>
    </row>
    <row r="2744" spans="6:8" x14ac:dyDescent="0.3">
      <c r="F2744" s="11">
        <v>1.2836110000000001</v>
      </c>
      <c r="G2744" s="11">
        <v>51.976388999999998</v>
      </c>
      <c r="H2744" s="11">
        <v>1</v>
      </c>
    </row>
    <row r="2745" spans="6:8" x14ac:dyDescent="0.3">
      <c r="F2745" s="11">
        <v>1.2549999999999999</v>
      </c>
      <c r="G2745" s="11">
        <v>51.984721999999998</v>
      </c>
      <c r="H2745" s="11">
        <v>1</v>
      </c>
    </row>
    <row r="2746" spans="6:8" x14ac:dyDescent="0.3">
      <c r="F2746" s="11">
        <v>1.2555559999999999</v>
      </c>
      <c r="G2746" s="11">
        <v>51.954999999999998</v>
      </c>
      <c r="H2746" s="11">
        <v>1</v>
      </c>
    </row>
    <row r="2747" spans="6:8" x14ac:dyDescent="0.3">
      <c r="F2747" s="11">
        <v>1.1683330000000001</v>
      </c>
      <c r="G2747" s="11">
        <v>51.963889000000002</v>
      </c>
      <c r="H2747" s="11">
        <v>1</v>
      </c>
    </row>
    <row r="2748" spans="6:8" x14ac:dyDescent="0.3">
      <c r="F2748" s="11">
        <v>1.131111</v>
      </c>
      <c r="G2748" s="11">
        <v>51.943888999999999</v>
      </c>
      <c r="H2748" s="11">
        <v>1</v>
      </c>
    </row>
    <row r="2749" spans="6:8" x14ac:dyDescent="0.3">
      <c r="F2749" s="11">
        <v>1.2250000000000001</v>
      </c>
      <c r="G2749" s="11">
        <v>51.943333000000003</v>
      </c>
      <c r="H2749" s="11">
        <v>1</v>
      </c>
    </row>
    <row r="2750" spans="6:8" x14ac:dyDescent="0.3">
      <c r="F2750" s="11">
        <v>1.289722</v>
      </c>
      <c r="G2750" s="11">
        <v>51.937221999999998</v>
      </c>
      <c r="H2750" s="11">
        <v>1</v>
      </c>
    </row>
    <row r="2751" spans="6:8" x14ac:dyDescent="0.3">
      <c r="F2751" s="11">
        <v>1.233333</v>
      </c>
      <c r="G2751" s="11">
        <v>51.905833000000001</v>
      </c>
      <c r="H2751" s="11">
        <v>1</v>
      </c>
    </row>
    <row r="2752" spans="6:8" x14ac:dyDescent="0.3">
      <c r="F2752" s="11">
        <v>1.2130559999999999</v>
      </c>
      <c r="G2752" s="11">
        <v>51.869444000000001</v>
      </c>
      <c r="H2752" s="11">
        <v>1</v>
      </c>
    </row>
    <row r="2753" spans="6:8" x14ac:dyDescent="0.3">
      <c r="F2753" s="11">
        <v>1.273056</v>
      </c>
      <c r="G2753" s="11">
        <v>51.881943999999997</v>
      </c>
      <c r="H2753" s="11">
        <v>1</v>
      </c>
    </row>
    <row r="2754" spans="6:8" x14ac:dyDescent="0.3">
      <c r="F2754" s="11">
        <v>1.2725</v>
      </c>
      <c r="G2754" s="11">
        <v>51.843055999999997</v>
      </c>
      <c r="H2754" s="11">
        <v>1</v>
      </c>
    </row>
    <row r="2755" spans="6:8" x14ac:dyDescent="0.3">
      <c r="F2755" s="11">
        <v>1.2183330000000001</v>
      </c>
      <c r="G2755" s="11">
        <v>51.806111000000001</v>
      </c>
      <c r="H2755" s="11">
        <v>1</v>
      </c>
    </row>
    <row r="2756" spans="6:8" x14ac:dyDescent="0.3">
      <c r="F2756" s="11">
        <v>1.151389</v>
      </c>
      <c r="G2756" s="11">
        <v>51.781111000000003</v>
      </c>
      <c r="H2756" s="11">
        <v>1</v>
      </c>
    </row>
    <row r="2757" spans="6:8" x14ac:dyDescent="0.3">
      <c r="F2757" s="11">
        <v>1.068889</v>
      </c>
      <c r="G2757" s="11">
        <v>51.770277999999998</v>
      </c>
      <c r="H2757" s="11">
        <v>1</v>
      </c>
    </row>
    <row r="2758" spans="6:8" x14ac:dyDescent="0.3">
      <c r="F2758" s="11">
        <v>1.0147219999999999</v>
      </c>
      <c r="G2758" s="11">
        <v>51.802222</v>
      </c>
      <c r="H2758" s="11">
        <v>1</v>
      </c>
    </row>
    <row r="2759" spans="6:8" x14ac:dyDescent="0.3">
      <c r="F2759" s="11">
        <v>0.93</v>
      </c>
      <c r="G2759" s="11">
        <v>51.8</v>
      </c>
      <c r="H2759" s="11">
        <v>1</v>
      </c>
    </row>
    <row r="2760" spans="6:8" x14ac:dyDescent="0.3">
      <c r="F2760" s="11">
        <v>0.88305599999999995</v>
      </c>
      <c r="G2760" s="11">
        <v>51.768332999999998</v>
      </c>
      <c r="H2760" s="11">
        <v>1</v>
      </c>
    </row>
    <row r="2761" spans="6:8" x14ac:dyDescent="0.3">
      <c r="F2761" s="11">
        <v>0.81555599999999995</v>
      </c>
      <c r="G2761" s="11">
        <v>51.743333</v>
      </c>
      <c r="H2761" s="11">
        <v>1</v>
      </c>
    </row>
    <row r="2762" spans="6:8" x14ac:dyDescent="0.3">
      <c r="F2762" s="11">
        <v>0.73388900000000001</v>
      </c>
      <c r="G2762" s="11">
        <v>51.735278000000001</v>
      </c>
      <c r="H2762" s="11">
        <v>1</v>
      </c>
    </row>
    <row r="2763" spans="6:8" x14ac:dyDescent="0.3">
      <c r="F2763" s="11">
        <v>0.76777799999999996</v>
      </c>
      <c r="G2763" s="11">
        <v>51.708055999999999</v>
      </c>
      <c r="H2763" s="11">
        <v>1</v>
      </c>
    </row>
    <row r="2764" spans="6:8" x14ac:dyDescent="0.3">
      <c r="F2764" s="11">
        <v>0.82444399999999995</v>
      </c>
      <c r="G2764" s="11">
        <v>51.718333000000001</v>
      </c>
      <c r="H2764" s="11">
        <v>1</v>
      </c>
    </row>
    <row r="2765" spans="6:8" x14ac:dyDescent="0.3">
      <c r="F2765" s="11">
        <v>0.89666699999999999</v>
      </c>
      <c r="G2765" s="11">
        <v>51.739167000000002</v>
      </c>
      <c r="H2765" s="11">
        <v>1</v>
      </c>
    </row>
    <row r="2766" spans="6:8" x14ac:dyDescent="0.3">
      <c r="F2766" s="11">
        <v>0.95888899999999999</v>
      </c>
      <c r="G2766" s="11">
        <v>51.720278</v>
      </c>
      <c r="H2766" s="11">
        <v>1</v>
      </c>
    </row>
    <row r="2767" spans="6:8" x14ac:dyDescent="0.3">
      <c r="F2767" s="11">
        <v>0.94805600000000001</v>
      </c>
      <c r="G2767" s="11">
        <v>51.661667000000001</v>
      </c>
      <c r="H2767" s="11">
        <v>1</v>
      </c>
    </row>
    <row r="2768" spans="6:8" x14ac:dyDescent="0.3">
      <c r="F2768" s="11">
        <v>0.89249999999999996</v>
      </c>
      <c r="G2768" s="11">
        <v>51.626389000000003</v>
      </c>
      <c r="H2768" s="11">
        <v>1</v>
      </c>
    </row>
    <row r="2769" spans="6:8" x14ac:dyDescent="0.3">
      <c r="F2769" s="11">
        <v>0.81833299999999998</v>
      </c>
      <c r="G2769" s="11">
        <v>51.625278000000002</v>
      </c>
      <c r="H2769" s="11">
        <v>1</v>
      </c>
    </row>
    <row r="2770" spans="6:8" x14ac:dyDescent="0.3">
      <c r="F2770" s="11">
        <v>0.88055600000000001</v>
      </c>
      <c r="G2770" s="11">
        <v>51.601111000000003</v>
      </c>
      <c r="H2770" s="11">
        <v>1</v>
      </c>
    </row>
    <row r="2771" spans="6:8" x14ac:dyDescent="0.3">
      <c r="F2771" s="11">
        <v>0.95555599999999996</v>
      </c>
      <c r="G2771" s="11">
        <v>51.615833000000002</v>
      </c>
      <c r="H2771" s="11">
        <v>1</v>
      </c>
    </row>
    <row r="2772" spans="6:8" x14ac:dyDescent="0.3">
      <c r="F2772" s="11">
        <v>0.905833</v>
      </c>
      <c r="G2772" s="11">
        <v>51.579444000000002</v>
      </c>
      <c r="H2772" s="11">
        <v>1</v>
      </c>
    </row>
    <row r="2773" spans="6:8" x14ac:dyDescent="0.3">
      <c r="F2773" s="11">
        <v>0.84527799999999997</v>
      </c>
      <c r="G2773" s="11">
        <v>51.548889000000003</v>
      </c>
      <c r="H2773" s="11">
        <v>1</v>
      </c>
    </row>
    <row r="2774" spans="6:8" x14ac:dyDescent="0.3">
      <c r="F2774" s="11">
        <v>0.77916700000000005</v>
      </c>
      <c r="G2774" s="11">
        <v>51.522500000000001</v>
      </c>
      <c r="H2774" s="11">
        <v>1</v>
      </c>
    </row>
    <row r="2775" spans="6:8" x14ac:dyDescent="0.3">
      <c r="F2775" s="11">
        <v>0.68055600000000005</v>
      </c>
      <c r="G2775" s="11">
        <v>51.532778</v>
      </c>
      <c r="H2775" s="11">
        <v>1</v>
      </c>
    </row>
    <row r="2776" spans="6:8" x14ac:dyDescent="0.3">
      <c r="F2776" s="11">
        <v>0.60916700000000001</v>
      </c>
      <c r="G2776" s="11">
        <v>51.519167000000003</v>
      </c>
      <c r="H2776" s="11">
        <v>1</v>
      </c>
    </row>
    <row r="2777" spans="6:8" x14ac:dyDescent="0.3">
      <c r="F2777" s="11">
        <v>0.53749999999999998</v>
      </c>
      <c r="G2777" s="11">
        <v>51.512777999999997</v>
      </c>
      <c r="H2777" s="11">
        <v>1</v>
      </c>
    </row>
    <row r="2778" spans="6:8" x14ac:dyDescent="0.3">
      <c r="F2778" s="11">
        <v>0.45611099999999999</v>
      </c>
      <c r="G2778" s="11">
        <v>51.500278000000002</v>
      </c>
      <c r="H2778" s="11">
        <v>1</v>
      </c>
    </row>
    <row r="2779" spans="6:8" x14ac:dyDescent="0.3">
      <c r="F2779" s="11">
        <v>0.41222199999999998</v>
      </c>
      <c r="G2779" s="11">
        <v>51.458610999999998</v>
      </c>
      <c r="H2779" s="11">
        <v>1</v>
      </c>
    </row>
    <row r="2780" spans="6:8" x14ac:dyDescent="0.3">
      <c r="F2780" s="11">
        <v>0.43333300000000002</v>
      </c>
      <c r="G2780" s="11">
        <v>51.450277999999997</v>
      </c>
      <c r="H2780" s="11">
        <v>1</v>
      </c>
    </row>
    <row r="2781" spans="6:8" x14ac:dyDescent="0.3">
      <c r="F2781" s="11">
        <v>0.48916700000000002</v>
      </c>
      <c r="G2781" s="11">
        <v>51.484999999999999</v>
      </c>
      <c r="H2781" s="11">
        <v>1</v>
      </c>
    </row>
    <row r="2782" spans="6:8" x14ac:dyDescent="0.3">
      <c r="F2782" s="11">
        <v>0.57805600000000001</v>
      </c>
      <c r="G2782" s="11">
        <v>51.486389000000003</v>
      </c>
      <c r="H2782" s="11">
        <v>1</v>
      </c>
    </row>
    <row r="2783" spans="6:8" x14ac:dyDescent="0.3">
      <c r="F2783" s="11">
        <v>0.66583300000000001</v>
      </c>
      <c r="G2783" s="11">
        <v>51.475278000000003</v>
      </c>
      <c r="H2783" s="11">
        <v>1</v>
      </c>
    </row>
    <row r="2784" spans="6:8" x14ac:dyDescent="0.3">
      <c r="F2784" s="11">
        <v>0.72527799999999998</v>
      </c>
      <c r="G2784" s="11">
        <v>51.444721999999999</v>
      </c>
      <c r="H2784" s="11">
        <v>1</v>
      </c>
    </row>
    <row r="2785" spans="6:8" x14ac:dyDescent="0.3">
      <c r="F2785" s="11">
        <v>0.64</v>
      </c>
      <c r="G2785" s="11">
        <v>51.44</v>
      </c>
      <c r="H2785" s="11">
        <v>1</v>
      </c>
    </row>
    <row r="2786" spans="6:8" x14ac:dyDescent="0.3">
      <c r="F2786" s="11">
        <v>0.57499999999999996</v>
      </c>
      <c r="G2786" s="11">
        <v>51.413611000000003</v>
      </c>
      <c r="H2786" s="11">
        <v>1</v>
      </c>
    </row>
    <row r="2787" spans="6:8" x14ac:dyDescent="0.3">
      <c r="F2787" s="11">
        <v>0.60027799999999998</v>
      </c>
      <c r="G2787" s="11">
        <v>51.385832999999998</v>
      </c>
      <c r="H2787" s="11">
        <v>1</v>
      </c>
    </row>
    <row r="2788" spans="6:8" x14ac:dyDescent="0.3">
      <c r="F2788" s="11">
        <v>0.66666700000000001</v>
      </c>
      <c r="G2788" s="11">
        <v>51.386944</v>
      </c>
      <c r="H2788" s="11">
        <v>1</v>
      </c>
    </row>
    <row r="2789" spans="6:8" x14ac:dyDescent="0.3">
      <c r="F2789" s="11">
        <v>0.70444399999999996</v>
      </c>
      <c r="G2789" s="11">
        <v>51.406111000000003</v>
      </c>
      <c r="H2789" s="11">
        <v>1</v>
      </c>
    </row>
    <row r="2790" spans="6:8" x14ac:dyDescent="0.3">
      <c r="F2790" s="11">
        <v>0.74138899999999996</v>
      </c>
      <c r="G2790" s="11">
        <v>51.418332999999997</v>
      </c>
      <c r="H2790" s="11">
        <v>1</v>
      </c>
    </row>
    <row r="2791" spans="6:8" x14ac:dyDescent="0.3">
      <c r="F2791" s="11">
        <v>0.79666700000000001</v>
      </c>
      <c r="G2791" s="11">
        <v>51.438889000000003</v>
      </c>
      <c r="H2791" s="11">
        <v>1</v>
      </c>
    </row>
    <row r="2792" spans="6:8" x14ac:dyDescent="0.3">
      <c r="F2792" s="11">
        <v>0.89249999999999996</v>
      </c>
      <c r="G2792" s="11">
        <v>51.421944000000003</v>
      </c>
      <c r="H2792" s="11">
        <v>1</v>
      </c>
    </row>
    <row r="2793" spans="6:8" x14ac:dyDescent="0.3">
      <c r="F2793" s="11">
        <v>0.94416699999999998</v>
      </c>
      <c r="G2793" s="11">
        <v>51.385278</v>
      </c>
      <c r="H2793" s="11">
        <v>1</v>
      </c>
    </row>
    <row r="2794" spans="6:8" x14ac:dyDescent="0.3">
      <c r="F2794" s="11">
        <v>0.89277799999999996</v>
      </c>
      <c r="G2794" s="11">
        <v>51.357778000000003</v>
      </c>
      <c r="H2794" s="11">
        <v>1</v>
      </c>
    </row>
    <row r="2795" spans="6:8" x14ac:dyDescent="0.3">
      <c r="F2795" s="11">
        <v>0.79361099999999996</v>
      </c>
      <c r="G2795" s="11">
        <v>51.368056000000003</v>
      </c>
      <c r="H2795" s="11">
        <v>1</v>
      </c>
    </row>
    <row r="2796" spans="6:8" x14ac:dyDescent="0.3">
      <c r="F2796" s="11">
        <v>0.88416700000000004</v>
      </c>
      <c r="G2796" s="11">
        <v>51.348610999999998</v>
      </c>
      <c r="H2796" s="11">
        <v>1</v>
      </c>
    </row>
    <row r="2797" spans="6:8" x14ac:dyDescent="0.3">
      <c r="F2797" s="11">
        <v>0.97083299999999995</v>
      </c>
      <c r="G2797" s="11">
        <v>51.347222000000002</v>
      </c>
      <c r="H2797" s="11">
        <v>1</v>
      </c>
    </row>
    <row r="2798" spans="6:8" x14ac:dyDescent="0.3">
      <c r="F2798" s="11">
        <v>1.046111</v>
      </c>
      <c r="G2798" s="11">
        <v>51.364722</v>
      </c>
      <c r="H2798" s="11">
        <v>1</v>
      </c>
    </row>
    <row r="2799" spans="6:8" x14ac:dyDescent="0.3">
      <c r="F2799" s="11">
        <v>1.1327780000000001</v>
      </c>
      <c r="G2799" s="11">
        <v>51.371943999999999</v>
      </c>
      <c r="H2799" s="11">
        <v>1</v>
      </c>
    </row>
    <row r="2800" spans="6:8" x14ac:dyDescent="0.3">
      <c r="F2800" s="11">
        <v>1.2150000000000001</v>
      </c>
      <c r="G2800" s="11">
        <v>51.383889000000003</v>
      </c>
      <c r="H2800" s="11">
        <v>1</v>
      </c>
    </row>
    <row r="2801" spans="6:8" x14ac:dyDescent="0.3">
      <c r="F2801" s="11">
        <v>1.3069440000000001</v>
      </c>
      <c r="G2801" s="11">
        <v>51.386111</v>
      </c>
      <c r="H2801" s="11">
        <v>1</v>
      </c>
    </row>
    <row r="2802" spans="6:8" x14ac:dyDescent="0.3">
      <c r="F2802" s="11">
        <v>1.3933329999999999</v>
      </c>
      <c r="G2802" s="11">
        <v>51.393889000000001</v>
      </c>
      <c r="H2802" s="11">
        <v>1</v>
      </c>
    </row>
    <row r="2803" spans="6:8" x14ac:dyDescent="0.3">
      <c r="H2803" s="11">
        <v>1</v>
      </c>
    </row>
    <row r="2804" spans="6:8" x14ac:dyDescent="0.3">
      <c r="F2804" s="11">
        <v>1.437222</v>
      </c>
      <c r="G2804" s="11">
        <v>51.339722000000002</v>
      </c>
      <c r="H2804" s="11">
        <v>1</v>
      </c>
    </row>
    <row r="2805" spans="6:8" x14ac:dyDescent="0.3">
      <c r="F2805" s="11">
        <v>1.3769439999999999</v>
      </c>
      <c r="G2805" s="11">
        <v>51.3125</v>
      </c>
      <c r="H2805" s="11">
        <v>1</v>
      </c>
    </row>
    <row r="2806" spans="6:8" x14ac:dyDescent="0.3">
      <c r="F2806" s="11">
        <v>1.399167</v>
      </c>
      <c r="G2806" s="11">
        <v>51.263333000000003</v>
      </c>
      <c r="H2806" s="11">
        <v>1</v>
      </c>
    </row>
    <row r="2807" spans="6:8" x14ac:dyDescent="0.3">
      <c r="F2807" s="11">
        <v>1.411111</v>
      </c>
      <c r="G2807" s="11">
        <v>51.209443999999998</v>
      </c>
      <c r="H2807" s="11">
        <v>1</v>
      </c>
    </row>
    <row r="2808" spans="6:8" x14ac:dyDescent="0.3">
      <c r="F2808" s="11">
        <v>1.3866670000000001</v>
      </c>
      <c r="G2808" s="11">
        <v>51.151944</v>
      </c>
      <c r="H2808" s="11">
        <v>1</v>
      </c>
    </row>
    <row r="2809" spans="6:8" x14ac:dyDescent="0.3">
      <c r="F2809" s="11">
        <v>1.3274999999999999</v>
      </c>
      <c r="G2809" s="11">
        <v>51.122777999999997</v>
      </c>
      <c r="H2809" s="11">
        <v>1</v>
      </c>
    </row>
    <row r="2810" spans="6:8" x14ac:dyDescent="0.3">
      <c r="F2810" s="11">
        <v>1.2572220000000001</v>
      </c>
      <c r="G2810" s="11">
        <v>51.101388999999998</v>
      </c>
      <c r="H2810" s="11">
        <v>1</v>
      </c>
    </row>
    <row r="2811" spans="6:8" x14ac:dyDescent="0.3">
      <c r="F2811" s="11">
        <v>1.1894439999999999</v>
      </c>
      <c r="G2811" s="11">
        <v>51.078611000000002</v>
      </c>
      <c r="H2811" s="11">
        <v>1</v>
      </c>
    </row>
    <row r="2812" spans="6:8" x14ac:dyDescent="0.3">
      <c r="F2812" s="11">
        <v>1.1002780000000001</v>
      </c>
      <c r="G2812" s="11">
        <v>51.073889000000001</v>
      </c>
      <c r="H2812" s="11">
        <v>1</v>
      </c>
    </row>
    <row r="2813" spans="6:8" x14ac:dyDescent="0.3">
      <c r="F2813" s="11">
        <v>1.0380560000000001</v>
      </c>
      <c r="G2813" s="11">
        <v>51.045555999999998</v>
      </c>
      <c r="H2813" s="11">
        <v>1</v>
      </c>
    </row>
    <row r="2814" spans="6:8" x14ac:dyDescent="0.3">
      <c r="F2814" s="11">
        <v>0.98611099999999996</v>
      </c>
      <c r="G2814" s="11">
        <v>51.0075</v>
      </c>
      <c r="H2814" s="11">
        <v>1</v>
      </c>
    </row>
    <row r="2815" spans="6:8" x14ac:dyDescent="0.3">
      <c r="F2815" s="11">
        <v>0.96972199999999997</v>
      </c>
      <c r="G2815" s="11">
        <v>50.949444</v>
      </c>
      <c r="H2815" s="11">
        <v>1</v>
      </c>
    </row>
    <row r="2816" spans="6:8" x14ac:dyDescent="0.3">
      <c r="F2816" s="11">
        <v>0.94944399999999995</v>
      </c>
      <c r="G2816" s="11">
        <v>50.912778000000003</v>
      </c>
      <c r="H2816" s="11">
        <v>1</v>
      </c>
    </row>
    <row r="2817" spans="6:8" x14ac:dyDescent="0.3">
      <c r="F2817" s="11">
        <v>0.85027799999999998</v>
      </c>
      <c r="G2817" s="11">
        <v>50.927222</v>
      </c>
      <c r="H2817" s="11">
        <v>1</v>
      </c>
    </row>
    <row r="2818" spans="6:8" x14ac:dyDescent="0.3">
      <c r="F2818" s="11">
        <v>0.76611099999999999</v>
      </c>
      <c r="G2818" s="11">
        <v>50.928333000000002</v>
      </c>
      <c r="H2818" s="11">
        <v>1</v>
      </c>
    </row>
    <row r="2819" spans="6:8" x14ac:dyDescent="0.3">
      <c r="F2819" s="11">
        <v>0.70583300000000004</v>
      </c>
      <c r="G2819" s="11">
        <v>50.898055999999997</v>
      </c>
      <c r="H2819" s="11">
        <v>1</v>
      </c>
    </row>
    <row r="2820" spans="6:8" x14ac:dyDescent="0.3">
      <c r="F2820" s="11">
        <v>0.64694399999999996</v>
      </c>
      <c r="G2820" s="11">
        <v>50.866943999999997</v>
      </c>
      <c r="H2820" s="11">
        <v>1</v>
      </c>
    </row>
    <row r="2821" spans="6:8" x14ac:dyDescent="0.3">
      <c r="F2821" s="11">
        <v>0.57194400000000001</v>
      </c>
      <c r="G2821" s="11">
        <v>50.849722</v>
      </c>
      <c r="H2821" s="11">
        <v>1</v>
      </c>
    </row>
    <row r="2822" spans="6:8" x14ac:dyDescent="0.3">
      <c r="F2822" s="11">
        <v>0.49333300000000002</v>
      </c>
      <c r="G2822" s="11">
        <v>50.837499999999999</v>
      </c>
      <c r="H2822" s="11">
        <v>1</v>
      </c>
    </row>
    <row r="2823" spans="6:8" x14ac:dyDescent="0.3">
      <c r="F2823" s="11">
        <v>0.41055599999999998</v>
      </c>
      <c r="G2823" s="11">
        <v>50.827221999999999</v>
      </c>
      <c r="H2823" s="11">
        <v>1</v>
      </c>
    </row>
    <row r="2824" spans="6:8" x14ac:dyDescent="0.3">
      <c r="F2824" s="11">
        <v>0.34305600000000003</v>
      </c>
      <c r="G2824" s="11">
        <v>50.803610999999997</v>
      </c>
      <c r="H2824" s="11">
        <v>1</v>
      </c>
    </row>
    <row r="2825" spans="6:8" x14ac:dyDescent="0.3">
      <c r="F2825" s="11">
        <v>0.29083300000000001</v>
      </c>
      <c r="G2825" s="11">
        <v>50.767778</v>
      </c>
      <c r="H2825" s="11">
        <v>1</v>
      </c>
    </row>
    <row r="2826" spans="6:8" x14ac:dyDescent="0.3">
      <c r="F2826" s="11">
        <v>0.22805600000000001</v>
      </c>
      <c r="G2826" s="11">
        <v>50.74</v>
      </c>
      <c r="H2826" s="11">
        <v>1</v>
      </c>
    </row>
    <row r="2827" spans="6:8" x14ac:dyDescent="0.3">
      <c r="F2827" s="11">
        <v>0.14638899999999999</v>
      </c>
      <c r="G2827" s="11">
        <v>50.761667000000003</v>
      </c>
      <c r="H2827" s="11">
        <v>1</v>
      </c>
    </row>
    <row r="2828" spans="6:8" x14ac:dyDescent="0.3">
      <c r="F2828" s="11">
        <v>6.9722000000000006E-2</v>
      </c>
      <c r="G2828" s="11">
        <v>50.779167000000001</v>
      </c>
      <c r="H2828" s="11">
        <v>1</v>
      </c>
    </row>
    <row r="2829" spans="6:8" x14ac:dyDescent="0.3">
      <c r="F2829" s="11">
        <v>-1.3332999999999999E-2</v>
      </c>
      <c r="G2829" s="11">
        <v>50.791944000000001</v>
      </c>
      <c r="H2829" s="11">
        <v>1</v>
      </c>
    </row>
    <row r="2830" spans="6:8" x14ac:dyDescent="0.3">
      <c r="F2830" s="11">
        <v>-0.10083300000000001</v>
      </c>
      <c r="G2830" s="11">
        <v>50.811667</v>
      </c>
      <c r="H2830" s="11">
        <v>1</v>
      </c>
    </row>
    <row r="2831" spans="6:8" x14ac:dyDescent="0.3">
      <c r="F2831" s="11">
        <v>-0.190833</v>
      </c>
      <c r="G2831" s="11">
        <v>50.826110999999997</v>
      </c>
      <c r="H2831" s="11">
        <v>1</v>
      </c>
    </row>
    <row r="2832" spans="6:8" x14ac:dyDescent="0.3">
      <c r="F2832" s="11">
        <v>-0.27750000000000002</v>
      </c>
      <c r="G2832" s="11">
        <v>50.824444</v>
      </c>
      <c r="H2832" s="11">
        <v>1</v>
      </c>
    </row>
    <row r="2833" spans="6:8" x14ac:dyDescent="0.3">
      <c r="F2833" s="11">
        <v>-0.35055599999999998</v>
      </c>
      <c r="G2833" s="11">
        <v>50.807499999999997</v>
      </c>
      <c r="H2833" s="11">
        <v>1</v>
      </c>
    </row>
    <row r="2834" spans="6:8" x14ac:dyDescent="0.3">
      <c r="F2834" s="11">
        <v>-0.43055599999999999</v>
      </c>
      <c r="G2834" s="11">
        <v>50.794443999999999</v>
      </c>
      <c r="H2834" s="11">
        <v>1</v>
      </c>
    </row>
    <row r="2835" spans="6:8" x14ac:dyDescent="0.3">
      <c r="F2835" s="11">
        <v>-0.51916700000000005</v>
      </c>
      <c r="G2835" s="11">
        <v>50.790832999999999</v>
      </c>
      <c r="H2835" s="11">
        <v>1</v>
      </c>
    </row>
    <row r="2836" spans="6:8" x14ac:dyDescent="0.3">
      <c r="F2836" s="11">
        <v>-0.60166699999999995</v>
      </c>
      <c r="G2836" s="11">
        <v>50.781111000000003</v>
      </c>
      <c r="H2836" s="11">
        <v>1</v>
      </c>
    </row>
    <row r="2837" spans="6:8" x14ac:dyDescent="0.3">
      <c r="F2837" s="11">
        <v>-0.68500000000000005</v>
      </c>
      <c r="G2837" s="11">
        <v>50.770833000000003</v>
      </c>
      <c r="H2837" s="11">
        <v>1</v>
      </c>
    </row>
    <row r="2838" spans="6:8" x14ac:dyDescent="0.3">
      <c r="F2838" s="11">
        <v>-0.74694400000000005</v>
      </c>
      <c r="G2838" s="11">
        <v>50.766111000000002</v>
      </c>
      <c r="H2838" s="11">
        <v>1</v>
      </c>
    </row>
    <row r="2839" spans="6:8" x14ac:dyDescent="0.3">
      <c r="F2839" s="11">
        <v>-0.76222199999999996</v>
      </c>
      <c r="G2839" s="11">
        <v>50.725000000000001</v>
      </c>
      <c r="H2839" s="11">
        <v>1</v>
      </c>
    </row>
    <row r="2840" spans="6:8" x14ac:dyDescent="0.3">
      <c r="F2840" s="11">
        <v>-0.83333299999999999</v>
      </c>
      <c r="G2840" s="11">
        <v>50.745277999999999</v>
      </c>
      <c r="H2840" s="11">
        <v>1</v>
      </c>
    </row>
    <row r="2841" spans="6:8" x14ac:dyDescent="0.3">
      <c r="F2841" s="11">
        <v>-0.90416700000000005</v>
      </c>
      <c r="G2841" s="11">
        <v>50.766666999999998</v>
      </c>
      <c r="H2841" s="11">
        <v>1</v>
      </c>
    </row>
    <row r="2842" spans="6:8" x14ac:dyDescent="0.3">
      <c r="F2842" s="11">
        <v>-0.87277800000000005</v>
      </c>
      <c r="G2842" s="11">
        <v>50.798333</v>
      </c>
      <c r="H2842" s="11">
        <v>1</v>
      </c>
    </row>
    <row r="2843" spans="6:8" x14ac:dyDescent="0.3">
      <c r="F2843" s="11">
        <v>-0.90722199999999997</v>
      </c>
      <c r="G2843" s="11">
        <v>50.827221999999999</v>
      </c>
      <c r="H2843" s="11">
        <v>1</v>
      </c>
    </row>
    <row r="2844" spans="6:8" x14ac:dyDescent="0.3">
      <c r="F2844" s="11">
        <v>-0.93138900000000002</v>
      </c>
      <c r="G2844" s="11">
        <v>50.842500000000001</v>
      </c>
      <c r="H2844" s="11">
        <v>1</v>
      </c>
    </row>
    <row r="2845" spans="6:8" x14ac:dyDescent="0.3">
      <c r="F2845" s="11">
        <v>-0.94916699999999998</v>
      </c>
      <c r="G2845" s="11">
        <v>50.813056000000003</v>
      </c>
      <c r="H2845" s="11">
        <v>1</v>
      </c>
    </row>
    <row r="2846" spans="6:8" x14ac:dyDescent="0.3">
      <c r="F2846" s="11">
        <v>-0.97944399999999998</v>
      </c>
      <c r="G2846" s="11">
        <v>50.776111</v>
      </c>
      <c r="H2846" s="11">
        <v>1</v>
      </c>
    </row>
    <row r="2847" spans="6:8" x14ac:dyDescent="0.3">
      <c r="F2847" s="11">
        <v>-1.004167</v>
      </c>
      <c r="G2847" s="11">
        <v>50.792777999999998</v>
      </c>
      <c r="H2847" s="11">
        <v>1</v>
      </c>
    </row>
    <row r="2848" spans="6:8" x14ac:dyDescent="0.3">
      <c r="F2848" s="11">
        <v>-0.99166699999999997</v>
      </c>
      <c r="G2848" s="11">
        <v>50.840555999999999</v>
      </c>
      <c r="H2848" s="11">
        <v>1</v>
      </c>
    </row>
    <row r="2849" spans="6:8" x14ac:dyDescent="0.3">
      <c r="F2849" s="11">
        <v>-1.0375000000000001</v>
      </c>
      <c r="G2849" s="11">
        <v>50.802778000000004</v>
      </c>
      <c r="H2849" s="11">
        <v>1</v>
      </c>
    </row>
    <row r="2850" spans="6:8" x14ac:dyDescent="0.3">
      <c r="F2850" s="11">
        <v>-1.0972219999999999</v>
      </c>
      <c r="G2850" s="11">
        <v>50.780833000000001</v>
      </c>
      <c r="H2850" s="11">
        <v>1</v>
      </c>
    </row>
    <row r="2851" spans="6:8" x14ac:dyDescent="0.3">
      <c r="F2851" s="11">
        <v>-1.0900000000000001</v>
      </c>
      <c r="G2851" s="11">
        <v>50.826388999999999</v>
      </c>
      <c r="H2851" s="11">
        <v>1</v>
      </c>
    </row>
    <row r="2852" spans="6:8" x14ac:dyDescent="0.3">
      <c r="F2852" s="11">
        <v>-1.1105560000000001</v>
      </c>
      <c r="G2852" s="11">
        <v>50.841667000000001</v>
      </c>
      <c r="H2852" s="11">
        <v>1</v>
      </c>
    </row>
    <row r="2853" spans="6:8" x14ac:dyDescent="0.3">
      <c r="F2853" s="11">
        <v>-1.141389</v>
      </c>
      <c r="G2853" s="11">
        <v>50.828611000000002</v>
      </c>
      <c r="H2853" s="11">
        <v>1</v>
      </c>
    </row>
    <row r="2854" spans="6:8" x14ac:dyDescent="0.3">
      <c r="F2854" s="11">
        <v>-1.1294439999999999</v>
      </c>
      <c r="G2854" s="11">
        <v>50.781111000000003</v>
      </c>
      <c r="H2854" s="11">
        <v>1</v>
      </c>
    </row>
    <row r="2855" spans="6:8" x14ac:dyDescent="0.3">
      <c r="F2855" s="11">
        <v>-1.199722</v>
      </c>
      <c r="G2855" s="11">
        <v>50.799166999999997</v>
      </c>
      <c r="H2855" s="11">
        <v>1</v>
      </c>
    </row>
    <row r="2856" spans="6:8" x14ac:dyDescent="0.3">
      <c r="F2856" s="11">
        <v>-1.263889</v>
      </c>
      <c r="G2856" s="11">
        <v>50.829444000000002</v>
      </c>
      <c r="H2856" s="11">
        <v>1</v>
      </c>
    </row>
    <row r="2857" spans="6:8" x14ac:dyDescent="0.3">
      <c r="F2857" s="11">
        <v>-1.3280559999999999</v>
      </c>
      <c r="G2857" s="11">
        <v>50.859444000000003</v>
      </c>
      <c r="H2857" s="11">
        <v>1</v>
      </c>
    </row>
    <row r="2858" spans="6:8" x14ac:dyDescent="0.3">
      <c r="F2858" s="11">
        <v>-1.3919440000000001</v>
      </c>
      <c r="G2858" s="11">
        <v>50.888888999999999</v>
      </c>
      <c r="H2858" s="11">
        <v>1</v>
      </c>
    </row>
    <row r="2859" spans="6:8" x14ac:dyDescent="0.3">
      <c r="F2859" s="11">
        <v>-1.463611</v>
      </c>
      <c r="G2859" s="11">
        <v>50.915556000000002</v>
      </c>
      <c r="H2859" s="11">
        <v>1</v>
      </c>
    </row>
    <row r="2860" spans="6:8" x14ac:dyDescent="0.3">
      <c r="F2860" s="11">
        <v>-1.4122220000000001</v>
      </c>
      <c r="G2860" s="11">
        <v>50.889443999999997</v>
      </c>
      <c r="H2860" s="11">
        <v>1</v>
      </c>
    </row>
    <row r="2861" spans="6:8" x14ac:dyDescent="0.3">
      <c r="F2861" s="11">
        <v>-1.355278</v>
      </c>
      <c r="G2861" s="11">
        <v>50.855832999999997</v>
      </c>
      <c r="H2861" s="11">
        <v>1</v>
      </c>
    </row>
    <row r="2862" spans="6:8" x14ac:dyDescent="0.3">
      <c r="F2862" s="11">
        <v>-1.306389</v>
      </c>
      <c r="G2862" s="11">
        <v>50.818333000000003</v>
      </c>
      <c r="H2862" s="11">
        <v>1</v>
      </c>
    </row>
    <row r="2863" spans="6:8" x14ac:dyDescent="0.3">
      <c r="F2863" s="11">
        <v>-1.355278</v>
      </c>
      <c r="G2863" s="11">
        <v>50.778888999999999</v>
      </c>
      <c r="H2863" s="11">
        <v>1</v>
      </c>
    </row>
    <row r="2864" spans="6:8" x14ac:dyDescent="0.3">
      <c r="F2864" s="11">
        <v>-1.4391670000000001</v>
      </c>
      <c r="G2864" s="11">
        <v>50.768611</v>
      </c>
      <c r="H2864" s="11">
        <v>1</v>
      </c>
    </row>
    <row r="2865" spans="6:8" x14ac:dyDescent="0.3">
      <c r="F2865" s="11">
        <v>-1.506111</v>
      </c>
      <c r="G2865" s="11">
        <v>50.744444000000001</v>
      </c>
      <c r="H2865" s="11">
        <v>1</v>
      </c>
    </row>
    <row r="2866" spans="6:8" x14ac:dyDescent="0.3">
      <c r="F2866" s="11">
        <v>-1.5613889999999999</v>
      </c>
      <c r="G2866" s="11">
        <v>50.711388999999997</v>
      </c>
      <c r="H2866" s="11">
        <v>1</v>
      </c>
    </row>
    <row r="2867" spans="6:8" x14ac:dyDescent="0.3">
      <c r="F2867" s="11">
        <v>-1.6361110000000001</v>
      </c>
      <c r="G2867" s="11">
        <v>50.733888999999998</v>
      </c>
      <c r="H2867" s="11">
        <v>1</v>
      </c>
    </row>
    <row r="2868" spans="6:8" x14ac:dyDescent="0.3">
      <c r="F2868" s="11">
        <v>-1.723889</v>
      </c>
      <c r="G2868" s="11">
        <v>50.731110999999999</v>
      </c>
      <c r="H2868" s="11">
        <v>1</v>
      </c>
    </row>
    <row r="2869" spans="6:8" x14ac:dyDescent="0.3">
      <c r="F2869" s="11">
        <v>-1.7408330000000001</v>
      </c>
      <c r="G2869" s="11">
        <v>50.708888999999999</v>
      </c>
      <c r="H2869" s="11">
        <v>1</v>
      </c>
    </row>
    <row r="2870" spans="6:8" x14ac:dyDescent="0.3">
      <c r="F2870" s="11">
        <v>-1.8316669999999999</v>
      </c>
      <c r="G2870" s="11">
        <v>50.716110999999998</v>
      </c>
      <c r="H2870" s="11">
        <v>1</v>
      </c>
    </row>
    <row r="2871" spans="6:8" x14ac:dyDescent="0.3">
      <c r="F2871" s="11">
        <v>-1.9027780000000001</v>
      </c>
      <c r="G2871" s="11">
        <v>50.695278000000002</v>
      </c>
      <c r="H2871" s="11">
        <v>1</v>
      </c>
    </row>
    <row r="2872" spans="6:8" x14ac:dyDescent="0.3">
      <c r="F2872" s="11">
        <v>-1.940833</v>
      </c>
      <c r="G2872" s="11">
        <v>50.702221999999999</v>
      </c>
      <c r="H2872" s="11">
        <v>1</v>
      </c>
    </row>
    <row r="2873" spans="6:8" x14ac:dyDescent="0.3">
      <c r="F2873" s="11">
        <v>-2.0150000000000001</v>
      </c>
      <c r="G2873" s="11">
        <v>50.704999999999998</v>
      </c>
      <c r="H2873" s="11">
        <v>1</v>
      </c>
    </row>
    <row r="2874" spans="6:8" x14ac:dyDescent="0.3">
      <c r="F2874" s="11">
        <v>-2.072778</v>
      </c>
      <c r="G2874" s="11">
        <v>50.688889000000003</v>
      </c>
      <c r="H2874" s="11">
        <v>1</v>
      </c>
    </row>
    <row r="2875" spans="6:8" x14ac:dyDescent="0.3">
      <c r="F2875" s="11">
        <v>-2.0291670000000002</v>
      </c>
      <c r="G2875" s="11">
        <v>50.696944000000002</v>
      </c>
      <c r="H2875" s="11">
        <v>1</v>
      </c>
    </row>
    <row r="2876" spans="6:8" x14ac:dyDescent="0.3">
      <c r="F2876" s="11">
        <v>-1.988056</v>
      </c>
      <c r="G2876" s="11">
        <v>50.681111000000001</v>
      </c>
      <c r="H2876" s="11">
        <v>1</v>
      </c>
    </row>
    <row r="2877" spans="6:8" x14ac:dyDescent="0.3">
      <c r="F2877" s="11">
        <v>-1.941667</v>
      </c>
      <c r="G2877" s="11">
        <v>50.655555999999997</v>
      </c>
      <c r="H2877" s="11">
        <v>1</v>
      </c>
    </row>
    <row r="2878" spans="6:8" x14ac:dyDescent="0.3">
      <c r="F2878" s="11">
        <v>-1.931111</v>
      </c>
      <c r="G2878" s="11">
        <v>50.625</v>
      </c>
      <c r="H2878" s="11">
        <v>1</v>
      </c>
    </row>
    <row r="2879" spans="6:8" x14ac:dyDescent="0.3">
      <c r="F2879" s="11">
        <v>-1.969444</v>
      </c>
      <c r="G2879" s="11">
        <v>50.586944000000003</v>
      </c>
      <c r="H2879" s="11">
        <v>1</v>
      </c>
    </row>
    <row r="2880" spans="6:8" x14ac:dyDescent="0.3">
      <c r="F2880" s="11">
        <v>-2.0525000000000002</v>
      </c>
      <c r="G2880" s="11">
        <v>50.577221999999999</v>
      </c>
      <c r="H2880" s="11">
        <v>1</v>
      </c>
    </row>
    <row r="2881" spans="6:8" x14ac:dyDescent="0.3">
      <c r="F2881" s="11">
        <v>-2.1202779999999999</v>
      </c>
      <c r="G2881" s="11">
        <v>50.604444000000001</v>
      </c>
      <c r="H2881" s="11">
        <v>1</v>
      </c>
    </row>
    <row r="2882" spans="6:8" x14ac:dyDescent="0.3">
      <c r="F2882" s="11">
        <v>-2.2047219999999998</v>
      </c>
      <c r="G2882" s="11">
        <v>50.6175</v>
      </c>
      <c r="H2882" s="11">
        <v>1</v>
      </c>
    </row>
    <row r="2883" spans="6:8" x14ac:dyDescent="0.3">
      <c r="F2883" s="11">
        <v>-2.3019440000000002</v>
      </c>
      <c r="G2883" s="11">
        <v>50.621110999999999</v>
      </c>
      <c r="H2883" s="11">
        <v>1</v>
      </c>
    </row>
    <row r="2884" spans="6:8" x14ac:dyDescent="0.3">
      <c r="F2884" s="11">
        <v>-2.3941669999999999</v>
      </c>
      <c r="G2884" s="11">
        <v>50.631943999999997</v>
      </c>
      <c r="H2884" s="11">
        <v>1</v>
      </c>
    </row>
    <row r="2885" spans="6:8" x14ac:dyDescent="0.3">
      <c r="F2885" s="11">
        <v>-2.4444439999999998</v>
      </c>
      <c r="G2885" s="11">
        <v>50.597777999999998</v>
      </c>
      <c r="H2885" s="11">
        <v>1</v>
      </c>
    </row>
    <row r="2886" spans="6:8" x14ac:dyDescent="0.3">
      <c r="F2886" s="11">
        <v>-2.4236110000000002</v>
      </c>
      <c r="G2886" s="11">
        <v>50.562221999999998</v>
      </c>
      <c r="H2886" s="11">
        <v>1</v>
      </c>
    </row>
    <row r="2887" spans="6:8" x14ac:dyDescent="0.3">
      <c r="F2887" s="11">
        <v>-2.4416669999999998</v>
      </c>
      <c r="G2887" s="11">
        <v>50.516944000000002</v>
      </c>
      <c r="H2887" s="11">
        <v>1</v>
      </c>
    </row>
    <row r="2888" spans="6:8" x14ac:dyDescent="0.3">
      <c r="H2888" s="11">
        <v>1</v>
      </c>
    </row>
    <row r="2889" spans="6:8" x14ac:dyDescent="0.3">
      <c r="F2889" s="11">
        <v>-2.4527779999999999</v>
      </c>
      <c r="G2889" s="11">
        <v>50.549166999999997</v>
      </c>
      <c r="H2889" s="11">
        <v>1</v>
      </c>
    </row>
    <row r="2890" spans="6:8" x14ac:dyDescent="0.3">
      <c r="F2890" s="11">
        <v>-2.499444</v>
      </c>
      <c r="G2890" s="11">
        <v>50.585833000000001</v>
      </c>
      <c r="H2890" s="11">
        <v>1</v>
      </c>
    </row>
    <row r="2891" spans="6:8" x14ac:dyDescent="0.3">
      <c r="F2891" s="11">
        <v>-2.5594440000000001</v>
      </c>
      <c r="G2891" s="11">
        <v>50.617778000000001</v>
      </c>
      <c r="H2891" s="11">
        <v>1</v>
      </c>
    </row>
    <row r="2892" spans="6:8" x14ac:dyDescent="0.3">
      <c r="F2892" s="11">
        <v>-2.6172219999999999</v>
      </c>
      <c r="G2892" s="11">
        <v>50.649166999999998</v>
      </c>
      <c r="H2892" s="11">
        <v>1</v>
      </c>
    </row>
    <row r="2893" spans="6:8" x14ac:dyDescent="0.3">
      <c r="F2893" s="11">
        <v>-2.6947220000000001</v>
      </c>
      <c r="G2893" s="11">
        <v>50.672221999999998</v>
      </c>
      <c r="H2893" s="11">
        <v>1</v>
      </c>
    </row>
    <row r="2894" spans="6:8" x14ac:dyDescent="0.3">
      <c r="F2894" s="11">
        <v>-2.7605559999999998</v>
      </c>
      <c r="G2894" s="11">
        <v>50.700833000000003</v>
      </c>
      <c r="H2894" s="11">
        <v>1</v>
      </c>
    </row>
    <row r="2895" spans="6:8" x14ac:dyDescent="0.3">
      <c r="F2895" s="11">
        <v>-2.849167</v>
      </c>
      <c r="G2895" s="11">
        <v>50.717500000000001</v>
      </c>
      <c r="H2895" s="11">
        <v>1</v>
      </c>
    </row>
    <row r="2896" spans="6:8" x14ac:dyDescent="0.3">
      <c r="F2896" s="11">
        <v>-2.9352779999999998</v>
      </c>
      <c r="G2896" s="11">
        <v>50.718055999999997</v>
      </c>
      <c r="H2896" s="11">
        <v>1</v>
      </c>
    </row>
    <row r="2897" spans="6:8" x14ac:dyDescent="0.3">
      <c r="F2897" s="11">
        <v>-3.0041669999999998</v>
      </c>
      <c r="G2897" s="11">
        <v>50.695</v>
      </c>
      <c r="H2897" s="11">
        <v>1</v>
      </c>
    </row>
    <row r="2898" spans="6:8" x14ac:dyDescent="0.3">
      <c r="F2898" s="11">
        <v>-3.0897220000000001</v>
      </c>
      <c r="G2898" s="11">
        <v>50.687221999999998</v>
      </c>
      <c r="H2898" s="11">
        <v>1</v>
      </c>
    </row>
    <row r="2899" spans="6:8" x14ac:dyDescent="0.3">
      <c r="F2899" s="11">
        <v>-3.181111</v>
      </c>
      <c r="G2899" s="11">
        <v>50.682222000000003</v>
      </c>
      <c r="H2899" s="11">
        <v>1</v>
      </c>
    </row>
    <row r="2900" spans="6:8" x14ac:dyDescent="0.3">
      <c r="F2900" s="11">
        <v>-3.2605559999999998</v>
      </c>
      <c r="G2900" s="11">
        <v>50.667777999999998</v>
      </c>
      <c r="H2900" s="11">
        <v>1</v>
      </c>
    </row>
    <row r="2901" spans="6:8" x14ac:dyDescent="0.3">
      <c r="F2901" s="11">
        <v>-3.3088890000000002</v>
      </c>
      <c r="G2901" s="11">
        <v>50.627777999999999</v>
      </c>
      <c r="H2901" s="11">
        <v>1</v>
      </c>
    </row>
    <row r="2902" spans="6:8" x14ac:dyDescent="0.3">
      <c r="F2902" s="11">
        <v>-3.3772220000000002</v>
      </c>
      <c r="G2902" s="11">
        <v>50.604444000000001</v>
      </c>
      <c r="H2902" s="11">
        <v>1</v>
      </c>
    </row>
    <row r="2903" spans="6:8" x14ac:dyDescent="0.3">
      <c r="F2903" s="11">
        <v>-3.4244439999999998</v>
      </c>
      <c r="G2903" s="11">
        <v>50.637777999999997</v>
      </c>
      <c r="H2903" s="11">
        <v>1</v>
      </c>
    </row>
    <row r="2904" spans="6:8" x14ac:dyDescent="0.3">
      <c r="F2904" s="11">
        <v>-3.4688889999999999</v>
      </c>
      <c r="G2904" s="11">
        <v>50.669722</v>
      </c>
      <c r="H2904" s="11">
        <v>1</v>
      </c>
    </row>
    <row r="2905" spans="6:8" x14ac:dyDescent="0.3">
      <c r="F2905" s="11">
        <v>-3.4469439999999998</v>
      </c>
      <c r="G2905" s="11">
        <v>50.620277999999999</v>
      </c>
      <c r="H2905" s="11">
        <v>1</v>
      </c>
    </row>
    <row r="2906" spans="6:8" x14ac:dyDescent="0.3">
      <c r="F2906" s="11">
        <v>-3.4519440000000001</v>
      </c>
      <c r="G2906" s="11">
        <v>50.570556000000003</v>
      </c>
      <c r="H2906" s="11">
        <v>1</v>
      </c>
    </row>
    <row r="2907" spans="6:8" x14ac:dyDescent="0.3">
      <c r="F2907" s="11">
        <v>-3.4969440000000001</v>
      </c>
      <c r="G2907" s="11">
        <v>50.529167000000001</v>
      </c>
      <c r="H2907" s="11">
        <v>1</v>
      </c>
    </row>
    <row r="2908" spans="6:8" x14ac:dyDescent="0.3">
      <c r="F2908" s="11">
        <v>-3.4983330000000001</v>
      </c>
      <c r="G2908" s="11">
        <v>50.475555999999997</v>
      </c>
      <c r="H2908" s="11">
        <v>1</v>
      </c>
    </row>
    <row r="2909" spans="6:8" x14ac:dyDescent="0.3">
      <c r="F2909" s="11">
        <v>-3.5330560000000002</v>
      </c>
      <c r="G2909" s="11">
        <v>50.452778000000002</v>
      </c>
      <c r="H2909" s="11">
        <v>1</v>
      </c>
    </row>
    <row r="2910" spans="6:8" x14ac:dyDescent="0.3">
      <c r="F2910" s="11">
        <v>-3.5358329999999998</v>
      </c>
      <c r="G2910" s="11">
        <v>50.405555999999997</v>
      </c>
      <c r="H2910" s="11">
        <v>1</v>
      </c>
    </row>
    <row r="2911" spans="6:8" x14ac:dyDescent="0.3">
      <c r="F2911" s="11">
        <v>-3.4933329999999998</v>
      </c>
      <c r="G2911" s="11">
        <v>50.383333</v>
      </c>
      <c r="H2911" s="11">
        <v>1</v>
      </c>
    </row>
    <row r="2912" spans="6:8" x14ac:dyDescent="0.3">
      <c r="F2912" s="11">
        <v>-3.5261110000000002</v>
      </c>
      <c r="G2912" s="11">
        <v>50.338332999999999</v>
      </c>
      <c r="H2912" s="11">
        <v>1</v>
      </c>
    </row>
    <row r="2913" spans="6:8" x14ac:dyDescent="0.3">
      <c r="F2913" s="11">
        <v>-3.5677780000000001</v>
      </c>
      <c r="G2913" s="11">
        <v>50.335278000000002</v>
      </c>
      <c r="H2913" s="11">
        <v>1</v>
      </c>
    </row>
    <row r="2914" spans="6:8" x14ac:dyDescent="0.3">
      <c r="F2914" s="11">
        <v>-3.6138889999999999</v>
      </c>
      <c r="G2914" s="11">
        <v>50.309722000000001</v>
      </c>
      <c r="H2914" s="11">
        <v>1</v>
      </c>
    </row>
    <row r="2915" spans="6:8" x14ac:dyDescent="0.3">
      <c r="F2915" s="11">
        <v>-3.6516670000000002</v>
      </c>
      <c r="G2915" s="11">
        <v>50.262777999999997</v>
      </c>
      <c r="H2915" s="11">
        <v>1</v>
      </c>
    </row>
    <row r="2916" spans="6:8" x14ac:dyDescent="0.3">
      <c r="F2916" s="11">
        <v>-3.6719439999999999</v>
      </c>
      <c r="G2916" s="11">
        <v>50.221389000000002</v>
      </c>
      <c r="H2916" s="11">
        <v>1</v>
      </c>
    </row>
    <row r="2917" spans="6:8" x14ac:dyDescent="0.3">
      <c r="F2917" s="11">
        <v>-3.7427779999999999</v>
      </c>
      <c r="G2917" s="11">
        <v>50.214167000000003</v>
      </c>
      <c r="H2917" s="11">
        <v>1</v>
      </c>
    </row>
    <row r="2918" spans="6:8" x14ac:dyDescent="0.3">
      <c r="F2918" s="11">
        <v>-3.8094440000000001</v>
      </c>
      <c r="G2918" s="11">
        <v>50.217778000000003</v>
      </c>
      <c r="H2918" s="11">
        <v>1</v>
      </c>
    </row>
    <row r="2919" spans="6:8" x14ac:dyDescent="0.3">
      <c r="F2919" s="11">
        <v>-3.855</v>
      </c>
      <c r="G2919" s="11">
        <v>50.256388999999999</v>
      </c>
      <c r="H2919" s="11">
        <v>1</v>
      </c>
    </row>
    <row r="2920" spans="6:8" x14ac:dyDescent="0.3">
      <c r="F2920" s="11">
        <v>-3.9138890000000002</v>
      </c>
      <c r="G2920" s="11">
        <v>50.288333000000002</v>
      </c>
      <c r="H2920" s="11">
        <v>1</v>
      </c>
    </row>
    <row r="2921" spans="6:8" x14ac:dyDescent="0.3">
      <c r="F2921" s="11">
        <v>-3.979444</v>
      </c>
      <c r="G2921" s="11">
        <v>50.300832999999997</v>
      </c>
      <c r="H2921" s="11">
        <v>1</v>
      </c>
    </row>
    <row r="2922" spans="6:8" x14ac:dyDescent="0.3">
      <c r="F2922" s="11">
        <v>-4.0622220000000002</v>
      </c>
      <c r="G2922" s="11">
        <v>50.298333</v>
      </c>
      <c r="H2922" s="11">
        <v>1</v>
      </c>
    </row>
    <row r="2923" spans="6:8" x14ac:dyDescent="0.3">
      <c r="F2923" s="11">
        <v>-4.1163889999999999</v>
      </c>
      <c r="G2923" s="11">
        <v>50.33</v>
      </c>
      <c r="H2923" s="11">
        <v>1</v>
      </c>
    </row>
    <row r="2924" spans="6:8" x14ac:dyDescent="0.3">
      <c r="F2924" s="11">
        <v>-4.1672219999999998</v>
      </c>
      <c r="G2924" s="11">
        <v>50.355277999999998</v>
      </c>
      <c r="H2924" s="11">
        <v>1</v>
      </c>
    </row>
    <row r="2925" spans="6:8" x14ac:dyDescent="0.3">
      <c r="F2925" s="11">
        <v>-4.1988890000000003</v>
      </c>
      <c r="G2925" s="11">
        <v>50.354444000000001</v>
      </c>
      <c r="H2925" s="11">
        <v>1</v>
      </c>
    </row>
    <row r="2926" spans="6:8" x14ac:dyDescent="0.3">
      <c r="F2926" s="11">
        <v>-4.1894439999999999</v>
      </c>
      <c r="G2926" s="11">
        <v>50.321944000000002</v>
      </c>
      <c r="H2926" s="11">
        <v>1</v>
      </c>
    </row>
    <row r="2927" spans="6:8" x14ac:dyDescent="0.3">
      <c r="F2927" s="11">
        <v>-4.2430560000000002</v>
      </c>
      <c r="G2927" s="11">
        <v>50.331944</v>
      </c>
      <c r="H2927" s="11">
        <v>1</v>
      </c>
    </row>
    <row r="2928" spans="6:8" x14ac:dyDescent="0.3">
      <c r="F2928" s="11">
        <v>-4.3158329999999996</v>
      </c>
      <c r="G2928" s="11">
        <v>50.354722000000002</v>
      </c>
      <c r="H2928" s="11">
        <v>1</v>
      </c>
    </row>
    <row r="2929" spans="6:8" x14ac:dyDescent="0.3">
      <c r="F2929" s="11">
        <v>-4.4144439999999996</v>
      </c>
      <c r="G2929" s="11">
        <v>50.354722000000002</v>
      </c>
      <c r="H2929" s="11">
        <v>1</v>
      </c>
    </row>
    <row r="2930" spans="6:8" x14ac:dyDescent="0.3">
      <c r="F2930" s="11">
        <v>-4.4769439999999996</v>
      </c>
      <c r="G2930" s="11">
        <v>50.326943999999997</v>
      </c>
      <c r="H2930" s="11">
        <v>1</v>
      </c>
    </row>
    <row r="2931" spans="6:8" x14ac:dyDescent="0.3">
      <c r="F2931" s="11">
        <v>-4.5716669999999997</v>
      </c>
      <c r="G2931" s="11">
        <v>50.325277999999997</v>
      </c>
      <c r="H2931" s="11">
        <v>1</v>
      </c>
    </row>
    <row r="2932" spans="6:8" x14ac:dyDescent="0.3">
      <c r="F2932" s="11">
        <v>-4.6541670000000002</v>
      </c>
      <c r="G2932" s="11">
        <v>50.320833</v>
      </c>
      <c r="H2932" s="11">
        <v>1</v>
      </c>
    </row>
    <row r="2933" spans="6:8" x14ac:dyDescent="0.3">
      <c r="F2933" s="11">
        <v>-4.7019440000000001</v>
      </c>
      <c r="G2933" s="11">
        <v>50.338332999999999</v>
      </c>
      <c r="H2933" s="11">
        <v>1</v>
      </c>
    </row>
    <row r="2934" spans="6:8" x14ac:dyDescent="0.3">
      <c r="F2934" s="11">
        <v>-4.7625000000000002</v>
      </c>
      <c r="G2934" s="11">
        <v>50.310833000000002</v>
      </c>
      <c r="H2934" s="11">
        <v>1</v>
      </c>
    </row>
    <row r="2935" spans="6:8" x14ac:dyDescent="0.3">
      <c r="F2935" s="11">
        <v>-4.7850000000000001</v>
      </c>
      <c r="G2935" s="11">
        <v>50.269167000000003</v>
      </c>
      <c r="H2935" s="11">
        <v>1</v>
      </c>
    </row>
    <row r="2936" spans="6:8" x14ac:dyDescent="0.3">
      <c r="F2936" s="11">
        <v>-4.7983330000000004</v>
      </c>
      <c r="G2936" s="11">
        <v>50.224167000000001</v>
      </c>
      <c r="H2936" s="11">
        <v>1</v>
      </c>
    </row>
    <row r="2937" spans="6:8" x14ac:dyDescent="0.3">
      <c r="F2937" s="11">
        <v>-4.8669440000000002</v>
      </c>
      <c r="G2937" s="11">
        <v>50.224722</v>
      </c>
      <c r="H2937" s="11">
        <v>1</v>
      </c>
    </row>
    <row r="2938" spans="6:8" x14ac:dyDescent="0.3">
      <c r="F2938" s="11">
        <v>-4.9263890000000004</v>
      </c>
      <c r="G2938" s="11">
        <v>50.198611</v>
      </c>
      <c r="H2938" s="11">
        <v>1</v>
      </c>
    </row>
    <row r="2939" spans="6:8" x14ac:dyDescent="0.3">
      <c r="F2939" s="11">
        <v>-4.9755560000000001</v>
      </c>
      <c r="G2939" s="11">
        <v>50.161943999999998</v>
      </c>
      <c r="H2939" s="11">
        <v>1</v>
      </c>
    </row>
    <row r="2940" spans="6:8" x14ac:dyDescent="0.3">
      <c r="F2940" s="11">
        <v>-4.9977780000000003</v>
      </c>
      <c r="G2940" s="11">
        <v>50.150832999999999</v>
      </c>
      <c r="H2940" s="11">
        <v>1</v>
      </c>
    </row>
    <row r="2941" spans="6:8" x14ac:dyDescent="0.3">
      <c r="F2941" s="11">
        <v>-5.0163890000000002</v>
      </c>
      <c r="G2941" s="11">
        <v>50.183056000000001</v>
      </c>
      <c r="H2941" s="11">
        <v>1</v>
      </c>
    </row>
    <row r="2942" spans="6:8" x14ac:dyDescent="0.3">
      <c r="F2942" s="11">
        <v>-5.03</v>
      </c>
      <c r="G2942" s="11">
        <v>50.209443999999998</v>
      </c>
      <c r="H2942" s="11">
        <v>1</v>
      </c>
    </row>
    <row r="2943" spans="6:8" x14ac:dyDescent="0.3">
      <c r="F2943" s="11">
        <v>-5.0480559999999999</v>
      </c>
      <c r="G2943" s="11">
        <v>50.17</v>
      </c>
      <c r="H2943" s="11">
        <v>1</v>
      </c>
    </row>
    <row r="2944" spans="6:8" x14ac:dyDescent="0.3">
      <c r="F2944" s="11">
        <v>-5.0533330000000003</v>
      </c>
      <c r="G2944" s="11">
        <v>50.140555999999997</v>
      </c>
      <c r="H2944" s="11">
        <v>1</v>
      </c>
    </row>
    <row r="2945" spans="6:8" x14ac:dyDescent="0.3">
      <c r="F2945" s="11">
        <v>-5.0997219999999999</v>
      </c>
      <c r="G2945" s="11">
        <v>50.102778000000001</v>
      </c>
      <c r="H2945" s="11">
        <v>1</v>
      </c>
    </row>
    <row r="2946" spans="6:8" x14ac:dyDescent="0.3">
      <c r="F2946" s="11">
        <v>-5.0711110000000001</v>
      </c>
      <c r="G2946" s="11">
        <v>50.083055999999999</v>
      </c>
      <c r="H2946" s="11">
        <v>1</v>
      </c>
    </row>
    <row r="2947" spans="6:8" x14ac:dyDescent="0.3">
      <c r="F2947" s="11">
        <v>-5.07</v>
      </c>
      <c r="G2947" s="11">
        <v>50.036110999999998</v>
      </c>
      <c r="H2947" s="11">
        <v>1</v>
      </c>
    </row>
    <row r="2948" spans="6:8" x14ac:dyDescent="0.3">
      <c r="F2948" s="11">
        <v>-5.1313890000000004</v>
      </c>
      <c r="G2948" s="11">
        <v>50.008889000000003</v>
      </c>
      <c r="H2948" s="11">
        <v>1</v>
      </c>
    </row>
    <row r="2949" spans="6:8" x14ac:dyDescent="0.3">
      <c r="F2949" s="11">
        <v>-5.1830559999999997</v>
      </c>
      <c r="G2949" s="11">
        <v>49.973056</v>
      </c>
      <c r="H2949" s="11">
        <v>1</v>
      </c>
    </row>
    <row r="2950" spans="6:8" x14ac:dyDescent="0.3">
      <c r="F2950" s="11">
        <v>-5.2316669999999998</v>
      </c>
      <c r="G2950" s="11">
        <v>49.976111000000003</v>
      </c>
      <c r="H2950" s="11">
        <v>1</v>
      </c>
    </row>
    <row r="2951" spans="6:8" x14ac:dyDescent="0.3">
      <c r="F2951" s="11">
        <v>-5.2508330000000001</v>
      </c>
      <c r="G2951" s="11">
        <v>50.023333000000001</v>
      </c>
      <c r="H2951" s="11">
        <v>1</v>
      </c>
    </row>
    <row r="2952" spans="6:8" x14ac:dyDescent="0.3">
      <c r="F2952" s="11">
        <v>-5.2863889999999998</v>
      </c>
      <c r="G2952" s="11">
        <v>50.067500000000003</v>
      </c>
      <c r="H2952" s="11">
        <v>1</v>
      </c>
    </row>
    <row r="2953" spans="6:8" x14ac:dyDescent="0.3">
      <c r="F2953" s="11">
        <v>-5.3511110000000004</v>
      </c>
      <c r="G2953" s="11">
        <v>50.093333000000001</v>
      </c>
      <c r="H2953" s="11">
        <v>1</v>
      </c>
    </row>
    <row r="2954" spans="6:8" x14ac:dyDescent="0.3">
      <c r="F2954" s="11">
        <v>-5.4311109999999996</v>
      </c>
      <c r="G2954" s="11">
        <v>50.108611000000003</v>
      </c>
      <c r="H2954" s="11">
        <v>1</v>
      </c>
    </row>
    <row r="2955" spans="6:8" x14ac:dyDescent="0.3">
      <c r="F2955" s="11">
        <v>-5.5061109999999998</v>
      </c>
      <c r="G2955" s="11">
        <v>50.125278000000002</v>
      </c>
      <c r="H2955" s="11">
        <v>1</v>
      </c>
    </row>
    <row r="2956" spans="6:8" x14ac:dyDescent="0.3">
      <c r="F2956" s="11">
        <v>-5.5377780000000003</v>
      </c>
      <c r="G2956" s="11">
        <v>50.083055999999999</v>
      </c>
      <c r="H2956" s="11">
        <v>1</v>
      </c>
    </row>
    <row r="2957" spans="6:8" x14ac:dyDescent="0.3">
      <c r="F2957" s="11">
        <v>-5.5883330000000004</v>
      </c>
      <c r="G2957" s="11">
        <v>50.047499999999999</v>
      </c>
      <c r="H2957" s="11">
        <v>1</v>
      </c>
    </row>
    <row r="2958" spans="6:8" x14ac:dyDescent="0.3">
      <c r="F2958" s="11">
        <v>-5.6722219999999997</v>
      </c>
      <c r="G2958" s="11">
        <v>50.038055999999997</v>
      </c>
      <c r="H2958" s="11">
        <v>1</v>
      </c>
    </row>
    <row r="2959" spans="6:8" x14ac:dyDescent="0.3">
      <c r="F2959" s="11">
        <v>-5.7147220000000001</v>
      </c>
      <c r="G2959" s="11">
        <v>50.074722000000001</v>
      </c>
      <c r="H2959" s="11">
        <v>1</v>
      </c>
    </row>
    <row r="2960" spans="6:8" x14ac:dyDescent="0.3">
      <c r="F2960" s="11">
        <v>-5.7094440000000004</v>
      </c>
      <c r="G2960" s="11">
        <v>50.121110999999999</v>
      </c>
      <c r="H2960" s="11">
        <v>1</v>
      </c>
    </row>
    <row r="2961" spans="6:8" x14ac:dyDescent="0.3">
      <c r="F2961" s="11">
        <v>-5.6666670000000003</v>
      </c>
      <c r="G2961" s="11">
        <v>50.161667000000001</v>
      </c>
      <c r="H2961" s="11">
        <v>1</v>
      </c>
    </row>
    <row r="2962" spans="6:8" x14ac:dyDescent="0.3">
      <c r="F2962" s="11">
        <v>-5.5977779999999999</v>
      </c>
      <c r="G2962" s="11">
        <v>50.184443999999999</v>
      </c>
      <c r="H2962" s="11">
        <v>1</v>
      </c>
    </row>
    <row r="2963" spans="6:8" x14ac:dyDescent="0.3">
      <c r="F2963" s="11">
        <v>-5.5297219999999996</v>
      </c>
      <c r="G2963" s="11">
        <v>50.208055999999999</v>
      </c>
      <c r="H2963" s="11">
        <v>1</v>
      </c>
    </row>
    <row r="2964" spans="6:8" x14ac:dyDescent="0.3">
      <c r="F2964" s="11">
        <v>-5.4688889999999999</v>
      </c>
      <c r="G2964" s="11">
        <v>50.198056000000001</v>
      </c>
      <c r="H2964" s="11">
        <v>1</v>
      </c>
    </row>
    <row r="2965" spans="6:8" x14ac:dyDescent="0.3">
      <c r="F2965" s="11">
        <v>-5.4016669999999998</v>
      </c>
      <c r="G2965" s="11">
        <v>50.214444</v>
      </c>
      <c r="H2965" s="11">
        <v>1</v>
      </c>
    </row>
    <row r="2966" spans="6:8" x14ac:dyDescent="0.3">
      <c r="F2966" s="11">
        <v>-5.3391669999999998</v>
      </c>
      <c r="G2966" s="11">
        <v>50.238056</v>
      </c>
      <c r="H2966" s="11">
        <v>1</v>
      </c>
    </row>
    <row r="2967" spans="6:8" x14ac:dyDescent="0.3">
      <c r="F2967" s="11">
        <v>-5.2813889999999999</v>
      </c>
      <c r="G2967" s="11">
        <v>50.269444</v>
      </c>
      <c r="H2967" s="11">
        <v>1</v>
      </c>
    </row>
    <row r="2968" spans="6:8" x14ac:dyDescent="0.3">
      <c r="F2968" s="11">
        <v>-5.2283330000000001</v>
      </c>
      <c r="G2968" s="11">
        <v>50.304443999999997</v>
      </c>
      <c r="H2968" s="11">
        <v>1</v>
      </c>
    </row>
    <row r="2969" spans="6:8" x14ac:dyDescent="0.3">
      <c r="F2969" s="11">
        <v>-5.173889</v>
      </c>
      <c r="G2969" s="11">
        <v>50.338056000000002</v>
      </c>
      <c r="H2969" s="11">
        <v>1</v>
      </c>
    </row>
    <row r="2970" spans="6:8" x14ac:dyDescent="0.3">
      <c r="F2970" s="11">
        <v>-5.1502780000000001</v>
      </c>
      <c r="G2970" s="11">
        <v>50.384444000000002</v>
      </c>
      <c r="H2970" s="11">
        <v>1</v>
      </c>
    </row>
    <row r="2971" spans="6:8" x14ac:dyDescent="0.3">
      <c r="F2971" s="11">
        <v>-5.1036109999999999</v>
      </c>
      <c r="G2971" s="11">
        <v>50.413611000000003</v>
      </c>
      <c r="H2971" s="11">
        <v>1</v>
      </c>
    </row>
    <row r="2972" spans="6:8" x14ac:dyDescent="0.3">
      <c r="F2972" s="11">
        <v>-5.043056</v>
      </c>
      <c r="G2972" s="11">
        <v>50.436110999999997</v>
      </c>
      <c r="H2972" s="11">
        <v>1</v>
      </c>
    </row>
    <row r="2973" spans="6:8" x14ac:dyDescent="0.3">
      <c r="F2973" s="11">
        <v>-5.0333329999999998</v>
      </c>
      <c r="G2973" s="11">
        <v>50.486666999999997</v>
      </c>
      <c r="H2973" s="11">
        <v>1</v>
      </c>
    </row>
    <row r="2974" spans="6:8" x14ac:dyDescent="0.3">
      <c r="F2974" s="11">
        <v>-5.0216669999999999</v>
      </c>
      <c r="G2974" s="11">
        <v>50.536110999999998</v>
      </c>
      <c r="H2974" s="11">
        <v>1</v>
      </c>
    </row>
    <row r="2975" spans="6:8" x14ac:dyDescent="0.3">
      <c r="F2975" s="11">
        <v>-4.9647220000000001</v>
      </c>
      <c r="G2975" s="11">
        <v>50.551389</v>
      </c>
      <c r="H2975" s="11">
        <v>1</v>
      </c>
    </row>
    <row r="2976" spans="6:8" x14ac:dyDescent="0.3">
      <c r="F2976" s="11">
        <v>-4.9249999999999998</v>
      </c>
      <c r="G2976" s="11">
        <v>50.556944000000001</v>
      </c>
      <c r="H2976" s="11">
        <v>1</v>
      </c>
    </row>
    <row r="2977" spans="6:8" x14ac:dyDescent="0.3">
      <c r="F2977" s="11">
        <v>-4.9044439999999998</v>
      </c>
      <c r="G2977" s="11">
        <v>50.580556000000001</v>
      </c>
      <c r="H2977" s="11">
        <v>1</v>
      </c>
    </row>
    <row r="2978" spans="6:8" x14ac:dyDescent="0.3">
      <c r="F2978" s="11">
        <v>-4.8202780000000001</v>
      </c>
      <c r="G2978" s="11">
        <v>50.589167000000003</v>
      </c>
      <c r="H2978" s="11">
        <v>1</v>
      </c>
    </row>
    <row r="2979" spans="6:8" x14ac:dyDescent="0.3">
      <c r="F2979" s="11">
        <v>-4.7605560000000002</v>
      </c>
      <c r="G2979" s="11">
        <v>50.619444000000001</v>
      </c>
      <c r="H2979" s="11">
        <v>1</v>
      </c>
    </row>
    <row r="2980" spans="6:8" x14ac:dyDescent="0.3">
      <c r="F2980" s="11">
        <v>-4.7436109999999996</v>
      </c>
      <c r="G2980" s="11">
        <v>50.667777999999998</v>
      </c>
      <c r="H2980" s="11">
        <v>1</v>
      </c>
    </row>
    <row r="2981" spans="6:8" x14ac:dyDescent="0.3">
      <c r="F2981" s="11">
        <v>-4.6819439999999997</v>
      </c>
      <c r="G2981" s="11">
        <v>50.694721999999999</v>
      </c>
      <c r="H2981" s="11">
        <v>1</v>
      </c>
    </row>
    <row r="2982" spans="6:8" x14ac:dyDescent="0.3">
      <c r="F2982" s="11">
        <v>-4.6402780000000003</v>
      </c>
      <c r="G2982" s="11">
        <v>50.736666999999997</v>
      </c>
      <c r="H2982" s="11">
        <v>1</v>
      </c>
    </row>
    <row r="2983" spans="6:8" x14ac:dyDescent="0.3">
      <c r="F2983" s="11">
        <v>-4.585</v>
      </c>
      <c r="G2983" s="11">
        <v>50.769167000000003</v>
      </c>
      <c r="H2983" s="11">
        <v>1</v>
      </c>
    </row>
    <row r="2984" spans="6:8" x14ac:dyDescent="0.3">
      <c r="F2984" s="11">
        <v>-4.5475000000000003</v>
      </c>
      <c r="G2984" s="11">
        <v>50.816667000000002</v>
      </c>
      <c r="H2984" s="11">
        <v>1</v>
      </c>
    </row>
    <row r="2985" spans="6:8" x14ac:dyDescent="0.3">
      <c r="F2985" s="11">
        <v>-4.5575000000000001</v>
      </c>
      <c r="G2985" s="11">
        <v>50.874443999999997</v>
      </c>
      <c r="H2985" s="11">
        <v>1</v>
      </c>
    </row>
    <row r="2986" spans="6:8" x14ac:dyDescent="0.3">
      <c r="F2986" s="11">
        <v>-4.5413889999999997</v>
      </c>
      <c r="G2986" s="11">
        <v>50.931111000000001</v>
      </c>
      <c r="H2986" s="11">
        <v>1</v>
      </c>
    </row>
    <row r="2987" spans="6:8" x14ac:dyDescent="0.3">
      <c r="F2987" s="11">
        <v>-4.5274999999999999</v>
      </c>
      <c r="G2987" s="11">
        <v>50.989443999999999</v>
      </c>
      <c r="H2987" s="11">
        <v>1</v>
      </c>
    </row>
    <row r="2988" spans="6:8" x14ac:dyDescent="0.3">
      <c r="H2988" s="11">
        <v>1</v>
      </c>
    </row>
    <row r="2989" spans="6:8" x14ac:dyDescent="0.3">
      <c r="F2989" s="11">
        <v>-4.4488890000000003</v>
      </c>
      <c r="G2989" s="11">
        <v>51.008056000000003</v>
      </c>
      <c r="H2989" s="11">
        <v>1</v>
      </c>
    </row>
    <row r="2990" spans="6:8" x14ac:dyDescent="0.3">
      <c r="F2990" s="11">
        <v>-4.375</v>
      </c>
      <c r="G2990" s="11">
        <v>50.985556000000003</v>
      </c>
      <c r="H2990" s="11">
        <v>1</v>
      </c>
    </row>
    <row r="2991" spans="6:8" x14ac:dyDescent="0.3">
      <c r="F2991" s="11">
        <v>-4.2977780000000001</v>
      </c>
      <c r="G2991" s="11">
        <v>50.998610999999997</v>
      </c>
      <c r="H2991" s="11">
        <v>1</v>
      </c>
    </row>
    <row r="2992" spans="6:8" x14ac:dyDescent="0.3">
      <c r="F2992" s="11">
        <v>-4.2411110000000001</v>
      </c>
      <c r="G2992" s="11">
        <v>51.031666999999999</v>
      </c>
      <c r="H2992" s="11">
        <v>1</v>
      </c>
    </row>
    <row r="2993" spans="6:8" x14ac:dyDescent="0.3">
      <c r="F2993" s="11">
        <v>-4.2066670000000004</v>
      </c>
      <c r="G2993" s="11">
        <v>51.074444</v>
      </c>
      <c r="H2993" s="11">
        <v>1</v>
      </c>
    </row>
    <row r="2994" spans="6:8" x14ac:dyDescent="0.3">
      <c r="F2994" s="11">
        <v>-4.236389</v>
      </c>
      <c r="G2994" s="11">
        <v>51.120277999999999</v>
      </c>
      <c r="H2994" s="11">
        <v>1</v>
      </c>
    </row>
    <row r="2995" spans="6:8" x14ac:dyDescent="0.3">
      <c r="F2995" s="11">
        <v>-4.2066670000000004</v>
      </c>
      <c r="G2995" s="11">
        <v>51.154722</v>
      </c>
      <c r="H2995" s="11">
        <v>1</v>
      </c>
    </row>
    <row r="2996" spans="6:8" x14ac:dyDescent="0.3">
      <c r="F2996" s="11">
        <v>-4.1863890000000001</v>
      </c>
      <c r="G2996" s="11">
        <v>51.192222000000001</v>
      </c>
      <c r="H2996" s="11">
        <v>1</v>
      </c>
    </row>
    <row r="2997" spans="6:8" x14ac:dyDescent="0.3">
      <c r="F2997" s="11">
        <v>-4.104444</v>
      </c>
      <c r="G2997" s="11">
        <v>51.204999999999998</v>
      </c>
      <c r="H2997" s="11">
        <v>1</v>
      </c>
    </row>
    <row r="2998" spans="6:8" x14ac:dyDescent="0.3">
      <c r="F2998" s="11">
        <v>-4.0180559999999996</v>
      </c>
      <c r="G2998" s="11">
        <v>51.205278</v>
      </c>
      <c r="H2998" s="11">
        <v>1</v>
      </c>
    </row>
    <row r="2999" spans="6:8" x14ac:dyDescent="0.3">
      <c r="F2999" s="11">
        <v>-3.934167</v>
      </c>
      <c r="G2999" s="11">
        <v>51.216943999999998</v>
      </c>
      <c r="H2999" s="11">
        <v>1</v>
      </c>
    </row>
    <row r="3000" spans="6:8" x14ac:dyDescent="0.3">
      <c r="F3000" s="11">
        <v>-3.851944</v>
      </c>
      <c r="G3000" s="11">
        <v>51.224443999999998</v>
      </c>
      <c r="H3000" s="11">
        <v>1</v>
      </c>
    </row>
    <row r="3001" spans="6:8" x14ac:dyDescent="0.3">
      <c r="F3001" s="11">
        <v>-3.7711109999999999</v>
      </c>
      <c r="G3001" s="11">
        <v>51.227499999999999</v>
      </c>
      <c r="H3001" s="11">
        <v>1</v>
      </c>
    </row>
    <row r="3002" spans="6:8" x14ac:dyDescent="0.3">
      <c r="F3002" s="11">
        <v>-3.681667</v>
      </c>
      <c r="G3002" s="11">
        <v>51.217222</v>
      </c>
      <c r="H3002" s="11">
        <v>1</v>
      </c>
    </row>
    <row r="3003" spans="6:8" x14ac:dyDescent="0.3">
      <c r="F3003" s="11">
        <v>-3.5916670000000002</v>
      </c>
      <c r="G3003" s="11">
        <v>51.210278000000002</v>
      </c>
      <c r="H3003" s="11">
        <v>1</v>
      </c>
    </row>
    <row r="3004" spans="6:8" x14ac:dyDescent="0.3">
      <c r="F3004" s="11">
        <v>-3.5116670000000001</v>
      </c>
      <c r="G3004" s="11">
        <v>51.216110999999998</v>
      </c>
      <c r="H3004" s="11">
        <v>1</v>
      </c>
    </row>
    <row r="3005" spans="6:8" x14ac:dyDescent="0.3">
      <c r="F3005" s="11">
        <v>-3.4344440000000001</v>
      </c>
      <c r="G3005" s="11">
        <v>51.197499999999998</v>
      </c>
      <c r="H3005" s="11">
        <v>1</v>
      </c>
    </row>
    <row r="3006" spans="6:8" x14ac:dyDescent="0.3">
      <c r="F3006" s="11">
        <v>-3.3611110000000002</v>
      </c>
      <c r="G3006" s="11">
        <v>51.174722000000003</v>
      </c>
      <c r="H3006" s="11">
        <v>1</v>
      </c>
    </row>
    <row r="3007" spans="6:8" x14ac:dyDescent="0.3">
      <c r="F3007" s="11">
        <v>-3.2611110000000001</v>
      </c>
      <c r="G3007" s="11">
        <v>51.173333</v>
      </c>
      <c r="H3007" s="11">
        <v>1</v>
      </c>
    </row>
    <row r="3008" spans="6:8" x14ac:dyDescent="0.3">
      <c r="F3008" s="11">
        <v>-3.1863890000000001</v>
      </c>
      <c r="G3008" s="11">
        <v>51.192500000000003</v>
      </c>
      <c r="H3008" s="11">
        <v>1</v>
      </c>
    </row>
    <row r="3009" spans="6:8" x14ac:dyDescent="0.3">
      <c r="F3009" s="11">
        <v>-3.0997219999999999</v>
      </c>
      <c r="G3009" s="11">
        <v>51.196944000000002</v>
      </c>
      <c r="H3009" s="11">
        <v>1</v>
      </c>
    </row>
    <row r="3010" spans="6:8" x14ac:dyDescent="0.3">
      <c r="F3010" s="11">
        <v>-3.0188890000000002</v>
      </c>
      <c r="G3010" s="11">
        <v>51.206389000000001</v>
      </c>
      <c r="H3010" s="11">
        <v>1</v>
      </c>
    </row>
    <row r="3011" spans="6:8" x14ac:dyDescent="0.3">
      <c r="F3011" s="11">
        <v>-3.0091670000000001</v>
      </c>
      <c r="G3011" s="11">
        <v>51.250278000000002</v>
      </c>
      <c r="H3011" s="11">
        <v>1</v>
      </c>
    </row>
    <row r="3012" spans="6:8" x14ac:dyDescent="0.3">
      <c r="F3012" s="11">
        <v>-3.0086110000000001</v>
      </c>
      <c r="G3012" s="11">
        <v>51.310833000000002</v>
      </c>
      <c r="H3012" s="11">
        <v>1</v>
      </c>
    </row>
    <row r="3013" spans="6:8" x14ac:dyDescent="0.3">
      <c r="F3013" s="11">
        <v>-2.9836109999999998</v>
      </c>
      <c r="G3013" s="11">
        <v>51.333888999999999</v>
      </c>
      <c r="H3013" s="11">
        <v>1</v>
      </c>
    </row>
    <row r="3014" spans="6:8" x14ac:dyDescent="0.3">
      <c r="F3014" s="11">
        <v>-2.963889</v>
      </c>
      <c r="G3014" s="11">
        <v>51.377777999999999</v>
      </c>
      <c r="H3014" s="11">
        <v>1</v>
      </c>
    </row>
    <row r="3015" spans="6:8" x14ac:dyDescent="0.3">
      <c r="F3015" s="11">
        <v>-2.9094440000000001</v>
      </c>
      <c r="G3015" s="11">
        <v>51.397221999999999</v>
      </c>
      <c r="H3015" s="11">
        <v>1</v>
      </c>
    </row>
    <row r="3016" spans="6:8" x14ac:dyDescent="0.3">
      <c r="F3016" s="11">
        <v>-2.8616670000000002</v>
      </c>
      <c r="G3016" s="11">
        <v>51.436388999999998</v>
      </c>
      <c r="H3016" s="11">
        <v>1</v>
      </c>
    </row>
    <row r="3017" spans="6:8" x14ac:dyDescent="0.3">
      <c r="F3017" s="11">
        <v>-2.8083330000000002</v>
      </c>
      <c r="G3017" s="11">
        <v>51.472777999999998</v>
      </c>
      <c r="H3017" s="11">
        <v>1</v>
      </c>
    </row>
    <row r="3018" spans="6:8" x14ac:dyDescent="0.3">
      <c r="F3018" s="11">
        <v>-2.7319439999999999</v>
      </c>
      <c r="G3018" s="11">
        <v>51.489722</v>
      </c>
      <c r="H3018" s="11">
        <v>1</v>
      </c>
    </row>
    <row r="3019" spans="6:8" x14ac:dyDescent="0.3">
      <c r="F3019" s="11">
        <v>-2.681111</v>
      </c>
      <c r="G3019" s="11">
        <v>51.524166999999998</v>
      </c>
      <c r="H3019" s="11">
        <v>1</v>
      </c>
    </row>
    <row r="3020" spans="6:8" x14ac:dyDescent="0.3">
      <c r="F3020" s="11">
        <v>-2.6477780000000002</v>
      </c>
      <c r="G3020" s="11">
        <v>51.570278000000002</v>
      </c>
      <c r="H3020" s="11">
        <v>1</v>
      </c>
    </row>
    <row r="3021" spans="6:8" x14ac:dyDescent="0.3">
      <c r="F3021" s="11">
        <v>-2.5966670000000001</v>
      </c>
      <c r="G3021" s="11">
        <v>51.608611000000003</v>
      </c>
      <c r="H3021" s="11">
        <v>1</v>
      </c>
    </row>
    <row r="3022" spans="6:8" x14ac:dyDescent="0.3">
      <c r="F3022" s="11">
        <v>-2.5558329999999998</v>
      </c>
      <c r="G3022" s="11">
        <v>51.654722</v>
      </c>
      <c r="H3022" s="11">
        <v>1</v>
      </c>
    </row>
    <row r="3023" spans="6:8" x14ac:dyDescent="0.3">
      <c r="F3023" s="11">
        <v>-2.4988890000000001</v>
      </c>
      <c r="G3023" s="11">
        <v>51.688611000000002</v>
      </c>
      <c r="H3023" s="11">
        <v>1</v>
      </c>
    </row>
    <row r="3024" spans="6:8" x14ac:dyDescent="0.3">
      <c r="F3024" s="11">
        <v>-2.4544440000000001</v>
      </c>
      <c r="G3024" s="11">
        <v>51.732222</v>
      </c>
      <c r="H3024" s="11">
        <v>1</v>
      </c>
    </row>
    <row r="3025" spans="6:8" x14ac:dyDescent="0.3">
      <c r="F3025" s="11">
        <v>-2.3819439999999998</v>
      </c>
      <c r="G3025" s="11">
        <v>51.752499999999998</v>
      </c>
      <c r="H3025" s="11">
        <v>1</v>
      </c>
    </row>
    <row r="3026" spans="6:8" x14ac:dyDescent="0.3">
      <c r="F3026" s="11">
        <v>-2.4022220000000001</v>
      </c>
      <c r="G3026" s="11">
        <v>51.753056000000001</v>
      </c>
      <c r="H3026" s="11">
        <v>1</v>
      </c>
    </row>
    <row r="3027" spans="6:8" x14ac:dyDescent="0.3">
      <c r="F3027" s="11">
        <v>-2.4824999999999999</v>
      </c>
      <c r="G3027" s="11">
        <v>51.738056</v>
      </c>
      <c r="H3027" s="11">
        <v>1</v>
      </c>
    </row>
    <row r="3028" spans="6:8" x14ac:dyDescent="0.3">
      <c r="F3028" s="11">
        <v>-2.5330560000000002</v>
      </c>
      <c r="G3028" s="11">
        <v>51.699444</v>
      </c>
      <c r="H3028" s="11">
        <v>1</v>
      </c>
    </row>
    <row r="3029" spans="6:8" x14ac:dyDescent="0.3">
      <c r="F3029" s="11">
        <v>-2.5944440000000002</v>
      </c>
      <c r="G3029" s="11">
        <v>51.669443999999999</v>
      </c>
      <c r="H3029" s="11">
        <v>1</v>
      </c>
    </row>
    <row r="3030" spans="6:8" x14ac:dyDescent="0.3">
      <c r="F3030" s="11">
        <v>-2.6430560000000001</v>
      </c>
      <c r="G3030" s="11">
        <v>51.629443999999999</v>
      </c>
      <c r="H3030" s="11">
        <v>1</v>
      </c>
    </row>
    <row r="3031" spans="6:8" x14ac:dyDescent="0.3">
      <c r="F3031" s="11">
        <v>-2.6952780000000001</v>
      </c>
      <c r="G3031" s="11">
        <v>51.592222</v>
      </c>
      <c r="H3031" s="11">
        <v>1</v>
      </c>
    </row>
    <row r="3032" spans="6:8" x14ac:dyDescent="0.3">
      <c r="F3032" s="11">
        <v>-2.769444</v>
      </c>
      <c r="G3032" s="11">
        <v>51.572499999999998</v>
      </c>
      <c r="H3032" s="11">
        <v>1</v>
      </c>
    </row>
    <row r="3033" spans="6:8" x14ac:dyDescent="0.3">
      <c r="F3033" s="11">
        <v>-2.8377780000000001</v>
      </c>
      <c r="G3033" s="11">
        <v>51.548056000000003</v>
      </c>
      <c r="H3033" s="11">
        <v>1</v>
      </c>
    </row>
    <row r="3034" spans="6:8" x14ac:dyDescent="0.3">
      <c r="F3034" s="11">
        <v>-2.9261110000000001</v>
      </c>
      <c r="G3034" s="11">
        <v>51.538611000000003</v>
      </c>
      <c r="H3034" s="11">
        <v>1</v>
      </c>
    </row>
    <row r="3035" spans="6:8" x14ac:dyDescent="0.3">
      <c r="F3035" s="11">
        <v>-2.9880559999999998</v>
      </c>
      <c r="G3035" s="11">
        <v>51.551943999999999</v>
      </c>
      <c r="H3035" s="11">
        <v>1</v>
      </c>
    </row>
    <row r="3036" spans="6:8" x14ac:dyDescent="0.3">
      <c r="F3036" s="11">
        <v>-3.0452780000000002</v>
      </c>
      <c r="G3036" s="11">
        <v>51.518611</v>
      </c>
      <c r="H3036" s="11">
        <v>1</v>
      </c>
    </row>
    <row r="3037" spans="6:8" x14ac:dyDescent="0.3">
      <c r="F3037" s="11">
        <v>-3.1105559999999999</v>
      </c>
      <c r="G3037" s="11">
        <v>51.491943999999997</v>
      </c>
      <c r="H3037" s="11">
        <v>1</v>
      </c>
    </row>
    <row r="3038" spans="6:8" x14ac:dyDescent="0.3">
      <c r="F3038" s="11">
        <v>-3.1580560000000002</v>
      </c>
      <c r="G3038" s="11">
        <v>51.454444000000002</v>
      </c>
      <c r="H3038" s="11">
        <v>1</v>
      </c>
    </row>
    <row r="3039" spans="6:8" x14ac:dyDescent="0.3">
      <c r="F3039" s="11">
        <v>-3.1663890000000001</v>
      </c>
      <c r="G3039" s="11">
        <v>51.407221999999997</v>
      </c>
      <c r="H3039" s="11">
        <v>1</v>
      </c>
    </row>
    <row r="3040" spans="6:8" x14ac:dyDescent="0.3">
      <c r="F3040" s="11">
        <v>-3.2433329999999998</v>
      </c>
      <c r="G3040" s="11">
        <v>51.392778</v>
      </c>
      <c r="H3040" s="11">
        <v>1</v>
      </c>
    </row>
    <row r="3041" spans="6:8" x14ac:dyDescent="0.3">
      <c r="F3041" s="11">
        <v>-3.3205559999999998</v>
      </c>
      <c r="G3041" s="11">
        <v>51.384999999999998</v>
      </c>
      <c r="H3041" s="11">
        <v>1</v>
      </c>
    </row>
    <row r="3042" spans="6:8" x14ac:dyDescent="0.3">
      <c r="F3042" s="11">
        <v>-3.4105560000000001</v>
      </c>
      <c r="G3042" s="11">
        <v>51.380555999999999</v>
      </c>
      <c r="H3042" s="11">
        <v>1</v>
      </c>
    </row>
    <row r="3043" spans="6:8" x14ac:dyDescent="0.3">
      <c r="F3043" s="11">
        <v>-3.4997220000000002</v>
      </c>
      <c r="G3043" s="11">
        <v>51.393056000000001</v>
      </c>
      <c r="H3043" s="11">
        <v>1</v>
      </c>
    </row>
    <row r="3044" spans="6:8" x14ac:dyDescent="0.3">
      <c r="F3044" s="11">
        <v>-3.5694439999999998</v>
      </c>
      <c r="G3044" s="11">
        <v>51.418056</v>
      </c>
      <c r="H3044" s="11">
        <v>1</v>
      </c>
    </row>
    <row r="3045" spans="6:8" x14ac:dyDescent="0.3">
      <c r="F3045" s="11">
        <v>-3.6286109999999998</v>
      </c>
      <c r="G3045" s="11">
        <v>51.450277999999997</v>
      </c>
      <c r="H3045" s="11">
        <v>1</v>
      </c>
    </row>
    <row r="3046" spans="6:8" x14ac:dyDescent="0.3">
      <c r="F3046" s="11">
        <v>-3.6897220000000002</v>
      </c>
      <c r="G3046" s="11">
        <v>51.468611000000003</v>
      </c>
      <c r="H3046" s="11">
        <v>1</v>
      </c>
    </row>
    <row r="3047" spans="6:8" x14ac:dyDescent="0.3">
      <c r="F3047" s="11">
        <v>-3.746111</v>
      </c>
      <c r="G3047" s="11">
        <v>51.498333000000002</v>
      </c>
      <c r="H3047" s="11">
        <v>1</v>
      </c>
    </row>
    <row r="3048" spans="6:8" x14ac:dyDescent="0.3">
      <c r="F3048" s="11">
        <v>-3.766111</v>
      </c>
      <c r="G3048" s="11">
        <v>51.550832999999997</v>
      </c>
      <c r="H3048" s="11">
        <v>1</v>
      </c>
    </row>
    <row r="3049" spans="6:8" x14ac:dyDescent="0.3">
      <c r="F3049" s="11">
        <v>-3.8127779999999998</v>
      </c>
      <c r="G3049" s="11">
        <v>51.59</v>
      </c>
      <c r="H3049" s="11">
        <v>1</v>
      </c>
    </row>
    <row r="3050" spans="6:8" x14ac:dyDescent="0.3">
      <c r="F3050" s="11">
        <v>-3.8636110000000001</v>
      </c>
      <c r="G3050" s="11">
        <v>51.619444000000001</v>
      </c>
      <c r="H3050" s="11">
        <v>1</v>
      </c>
    </row>
    <row r="3051" spans="6:8" x14ac:dyDescent="0.3">
      <c r="F3051" s="11">
        <v>-3.9494440000000002</v>
      </c>
      <c r="G3051" s="11">
        <v>51.613332999999997</v>
      </c>
      <c r="H3051" s="11">
        <v>1</v>
      </c>
    </row>
    <row r="3052" spans="6:8" x14ac:dyDescent="0.3">
      <c r="F3052" s="11">
        <v>-3.9969440000000001</v>
      </c>
      <c r="G3052" s="11">
        <v>51.581944</v>
      </c>
      <c r="H3052" s="11">
        <v>1</v>
      </c>
    </row>
    <row r="3053" spans="6:8" x14ac:dyDescent="0.3">
      <c r="F3053" s="11">
        <v>-4.01</v>
      </c>
      <c r="G3053" s="11">
        <v>51.563333</v>
      </c>
      <c r="H3053" s="11">
        <v>1</v>
      </c>
    </row>
    <row r="3054" spans="6:8" x14ac:dyDescent="0.3">
      <c r="F3054" s="11">
        <v>-4.0697219999999996</v>
      </c>
      <c r="G3054" s="11">
        <v>51.555</v>
      </c>
      <c r="H3054" s="11">
        <v>1</v>
      </c>
    </row>
    <row r="3055" spans="6:8" x14ac:dyDescent="0.3">
      <c r="F3055" s="11">
        <v>-4.1472220000000002</v>
      </c>
      <c r="G3055" s="11">
        <v>51.556666999999997</v>
      </c>
      <c r="H3055" s="11">
        <v>1</v>
      </c>
    </row>
    <row r="3056" spans="6:8" x14ac:dyDescent="0.3">
      <c r="F3056" s="11">
        <v>-4.2022219999999999</v>
      </c>
      <c r="G3056" s="11">
        <v>51.535277999999998</v>
      </c>
      <c r="H3056" s="11">
        <v>1</v>
      </c>
    </row>
    <row r="3057" spans="6:8" x14ac:dyDescent="0.3">
      <c r="F3057" s="11">
        <v>-4.2711110000000003</v>
      </c>
      <c r="G3057" s="11">
        <v>51.556389000000003</v>
      </c>
      <c r="H3057" s="11">
        <v>1</v>
      </c>
    </row>
    <row r="3058" spans="6:8" x14ac:dyDescent="0.3">
      <c r="F3058" s="11">
        <v>-4.2836109999999996</v>
      </c>
      <c r="G3058" s="11">
        <v>51.591110999999998</v>
      </c>
      <c r="H3058" s="11">
        <v>1</v>
      </c>
    </row>
    <row r="3059" spans="6:8" x14ac:dyDescent="0.3">
      <c r="F3059" s="11">
        <v>-4.2536110000000003</v>
      </c>
      <c r="G3059" s="11">
        <v>51.626389000000003</v>
      </c>
      <c r="H3059" s="11">
        <v>1</v>
      </c>
    </row>
    <row r="3060" spans="6:8" x14ac:dyDescent="0.3">
      <c r="F3060" s="11">
        <v>-4.2061109999999999</v>
      </c>
      <c r="G3060" s="11">
        <v>51.628056000000001</v>
      </c>
      <c r="H3060" s="11">
        <v>1</v>
      </c>
    </row>
    <row r="3061" spans="6:8" x14ac:dyDescent="0.3">
      <c r="F3061" s="11">
        <v>-4.1277780000000002</v>
      </c>
      <c r="G3061" s="11">
        <v>51.633056000000003</v>
      </c>
      <c r="H3061" s="11">
        <v>1</v>
      </c>
    </row>
    <row r="3062" spans="6:8" x14ac:dyDescent="0.3">
      <c r="F3062" s="11">
        <v>-4.0652780000000002</v>
      </c>
      <c r="G3062" s="11">
        <v>51.662222</v>
      </c>
      <c r="H3062" s="11">
        <v>1</v>
      </c>
    </row>
    <row r="3063" spans="6:8" x14ac:dyDescent="0.3">
      <c r="F3063" s="11">
        <v>-4.1116669999999997</v>
      </c>
      <c r="G3063" s="11">
        <v>51.659722000000002</v>
      </c>
      <c r="H3063" s="11">
        <v>1</v>
      </c>
    </row>
    <row r="3064" spans="6:8" x14ac:dyDescent="0.3">
      <c r="F3064" s="11">
        <v>-4.1802780000000004</v>
      </c>
      <c r="G3064" s="11">
        <v>51.675832999999997</v>
      </c>
      <c r="H3064" s="11">
        <v>1</v>
      </c>
    </row>
    <row r="3065" spans="6:8" x14ac:dyDescent="0.3">
      <c r="F3065" s="11">
        <v>-4.2727779999999997</v>
      </c>
      <c r="G3065" s="11">
        <v>51.675277999999999</v>
      </c>
      <c r="H3065" s="11">
        <v>1</v>
      </c>
    </row>
    <row r="3066" spans="6:8" x14ac:dyDescent="0.3">
      <c r="F3066" s="11">
        <v>-4.3408329999999999</v>
      </c>
      <c r="G3066" s="11">
        <v>51.690832999999998</v>
      </c>
      <c r="H3066" s="11">
        <v>1</v>
      </c>
    </row>
    <row r="3067" spans="6:8" x14ac:dyDescent="0.3">
      <c r="F3067" s="11">
        <v>-4.3694439999999997</v>
      </c>
      <c r="G3067" s="11">
        <v>51.726388999999998</v>
      </c>
      <c r="H3067" s="11">
        <v>1</v>
      </c>
    </row>
    <row r="3068" spans="6:8" x14ac:dyDescent="0.3">
      <c r="F3068" s="11">
        <v>-4.329167</v>
      </c>
      <c r="G3068" s="11">
        <v>51.732778000000003</v>
      </c>
      <c r="H3068" s="11">
        <v>1</v>
      </c>
    </row>
    <row r="3069" spans="6:8" x14ac:dyDescent="0.3">
      <c r="F3069" s="11">
        <v>-4.3605559999999999</v>
      </c>
      <c r="G3069" s="11">
        <v>51.764443999999997</v>
      </c>
      <c r="H3069" s="11">
        <v>1</v>
      </c>
    </row>
    <row r="3070" spans="6:8" x14ac:dyDescent="0.3">
      <c r="F3070" s="11">
        <v>-4.395556</v>
      </c>
      <c r="G3070" s="11">
        <v>51.76</v>
      </c>
      <c r="H3070" s="11">
        <v>1</v>
      </c>
    </row>
    <row r="3071" spans="6:8" x14ac:dyDescent="0.3">
      <c r="F3071" s="11">
        <v>-4.4513889999999998</v>
      </c>
      <c r="G3071" s="11">
        <v>51.767499999999998</v>
      </c>
      <c r="H3071" s="11">
        <v>1</v>
      </c>
    </row>
    <row r="3072" spans="6:8" x14ac:dyDescent="0.3">
      <c r="F3072" s="11">
        <v>-4.4613889999999996</v>
      </c>
      <c r="G3072" s="11">
        <v>51.736389000000003</v>
      </c>
      <c r="H3072" s="11">
        <v>1</v>
      </c>
    </row>
    <row r="3073" spans="6:8" x14ac:dyDescent="0.3">
      <c r="F3073" s="11">
        <v>-4.5533330000000003</v>
      </c>
      <c r="G3073" s="11">
        <v>51.734444000000003</v>
      </c>
      <c r="H3073" s="11">
        <v>1</v>
      </c>
    </row>
    <row r="3074" spans="6:8" x14ac:dyDescent="0.3">
      <c r="F3074" s="11">
        <v>-4.6458329999999997</v>
      </c>
      <c r="G3074" s="11">
        <v>51.727221999999998</v>
      </c>
      <c r="H3074" s="11">
        <v>1</v>
      </c>
    </row>
    <row r="3075" spans="6:8" x14ac:dyDescent="0.3">
      <c r="F3075" s="11">
        <v>-4.6866669999999999</v>
      </c>
      <c r="G3075" s="11">
        <v>51.69</v>
      </c>
      <c r="H3075" s="11">
        <v>1</v>
      </c>
    </row>
    <row r="3076" spans="6:8" x14ac:dyDescent="0.3">
      <c r="F3076" s="11">
        <v>-4.7194440000000002</v>
      </c>
      <c r="G3076" s="11">
        <v>51.648611000000002</v>
      </c>
      <c r="H3076" s="11">
        <v>1</v>
      </c>
    </row>
    <row r="3077" spans="6:8" x14ac:dyDescent="0.3">
      <c r="F3077" s="11">
        <v>-4.7894439999999996</v>
      </c>
      <c r="G3077" s="11">
        <v>51.633333</v>
      </c>
      <c r="H3077" s="11">
        <v>1</v>
      </c>
    </row>
    <row r="3078" spans="6:8" x14ac:dyDescent="0.3">
      <c r="F3078" s="11">
        <v>-4.8663889999999999</v>
      </c>
      <c r="G3078" s="11">
        <v>51.639721999999999</v>
      </c>
      <c r="H3078" s="11">
        <v>1</v>
      </c>
    </row>
    <row r="3079" spans="6:8" x14ac:dyDescent="0.3">
      <c r="F3079" s="11">
        <v>-4.9155559999999996</v>
      </c>
      <c r="G3079" s="11">
        <v>51.605832999999997</v>
      </c>
      <c r="H3079" s="11">
        <v>1</v>
      </c>
    </row>
    <row r="3080" spans="6:8" x14ac:dyDescent="0.3">
      <c r="F3080" s="11">
        <v>-4.9836109999999998</v>
      </c>
      <c r="G3080" s="11">
        <v>51.609721999999998</v>
      </c>
      <c r="H3080" s="11">
        <v>1</v>
      </c>
    </row>
    <row r="3081" spans="6:8" x14ac:dyDescent="0.3">
      <c r="F3081" s="11">
        <v>-5.0475000000000003</v>
      </c>
      <c r="G3081" s="11">
        <v>51.626944000000002</v>
      </c>
      <c r="H3081" s="11">
        <v>1</v>
      </c>
    </row>
    <row r="3082" spans="6:8" x14ac:dyDescent="0.3">
      <c r="F3082" s="11">
        <v>-5.0766669999999996</v>
      </c>
      <c r="G3082" s="11">
        <v>51.664166999999999</v>
      </c>
      <c r="H3082" s="11">
        <v>1</v>
      </c>
    </row>
    <row r="3083" spans="6:8" x14ac:dyDescent="0.3">
      <c r="F3083" s="11">
        <v>-5.0966670000000001</v>
      </c>
      <c r="G3083" s="11">
        <v>51.685833000000002</v>
      </c>
      <c r="H3083" s="11">
        <v>1</v>
      </c>
    </row>
    <row r="3084" spans="6:8" x14ac:dyDescent="0.3">
      <c r="F3084" s="11">
        <v>-5.0438890000000001</v>
      </c>
      <c r="G3084" s="11">
        <v>51.687221999999998</v>
      </c>
      <c r="H3084" s="11">
        <v>1</v>
      </c>
    </row>
    <row r="3085" spans="6:8" x14ac:dyDescent="0.3">
      <c r="F3085" s="11">
        <v>-4.9605560000000004</v>
      </c>
      <c r="G3085" s="11">
        <v>51.689444000000002</v>
      </c>
      <c r="H3085" s="11">
        <v>1</v>
      </c>
    </row>
    <row r="3086" spans="6:8" x14ac:dyDescent="0.3">
      <c r="F3086" s="11">
        <v>-4.8827780000000001</v>
      </c>
      <c r="G3086" s="11">
        <v>51.707222000000002</v>
      </c>
      <c r="H3086" s="11">
        <v>1</v>
      </c>
    </row>
    <row r="3087" spans="6:8" x14ac:dyDescent="0.3">
      <c r="F3087" s="11">
        <v>-4.9486109999999996</v>
      </c>
      <c r="G3087" s="11">
        <v>51.708333000000003</v>
      </c>
      <c r="H3087" s="11">
        <v>1</v>
      </c>
    </row>
    <row r="3088" spans="6:8" x14ac:dyDescent="0.3">
      <c r="F3088" s="11">
        <v>-5.0277779999999996</v>
      </c>
      <c r="G3088" s="11">
        <v>51.708610999999998</v>
      </c>
      <c r="H3088" s="11">
        <v>1</v>
      </c>
    </row>
    <row r="3089" spans="6:8" x14ac:dyDescent="0.3">
      <c r="F3089" s="11">
        <v>-5.1052780000000002</v>
      </c>
      <c r="G3089" s="11">
        <v>51.715277999999998</v>
      </c>
      <c r="H3089" s="11">
        <v>1</v>
      </c>
    </row>
    <row r="3090" spans="6:8" x14ac:dyDescent="0.3">
      <c r="F3090" s="11">
        <v>-5.1619440000000001</v>
      </c>
      <c r="G3090" s="11">
        <v>51.706667000000003</v>
      </c>
      <c r="H3090" s="11">
        <v>1</v>
      </c>
    </row>
    <row r="3091" spans="6:8" x14ac:dyDescent="0.3">
      <c r="F3091" s="11">
        <v>-5.183611</v>
      </c>
      <c r="G3091" s="11">
        <v>51.700555999999999</v>
      </c>
      <c r="H3091" s="11">
        <v>1</v>
      </c>
    </row>
    <row r="3092" spans="6:8" x14ac:dyDescent="0.3">
      <c r="F3092" s="11">
        <v>-5.2469440000000001</v>
      </c>
      <c r="G3092" s="11">
        <v>51.730832999999997</v>
      </c>
      <c r="H3092" s="11">
        <v>1</v>
      </c>
    </row>
    <row r="3093" spans="6:8" x14ac:dyDescent="0.3">
      <c r="F3093" s="11">
        <v>-5.1769439999999998</v>
      </c>
      <c r="G3093" s="11">
        <v>51.749167</v>
      </c>
      <c r="H3093" s="11">
        <v>1</v>
      </c>
    </row>
    <row r="3094" spans="6:8" x14ac:dyDescent="0.3">
      <c r="F3094" s="11">
        <v>-5.1041670000000003</v>
      </c>
      <c r="G3094" s="11">
        <v>51.771110999999998</v>
      </c>
      <c r="H3094" s="11">
        <v>1</v>
      </c>
    </row>
    <row r="3095" spans="6:8" x14ac:dyDescent="0.3">
      <c r="F3095" s="11">
        <v>-5.1144439999999998</v>
      </c>
      <c r="G3095" s="11">
        <v>51.827778000000002</v>
      </c>
      <c r="H3095" s="11">
        <v>1</v>
      </c>
    </row>
    <row r="3096" spans="6:8" x14ac:dyDescent="0.3">
      <c r="F3096" s="11">
        <v>-5.1616669999999996</v>
      </c>
      <c r="G3096" s="11">
        <v>51.863056</v>
      </c>
      <c r="H3096" s="11">
        <v>1</v>
      </c>
    </row>
    <row r="3097" spans="6:8" x14ac:dyDescent="0.3">
      <c r="F3097" s="11">
        <v>-5.2411110000000001</v>
      </c>
      <c r="G3097" s="11">
        <v>51.868056000000003</v>
      </c>
      <c r="H3097" s="11">
        <v>1</v>
      </c>
    </row>
    <row r="3098" spans="6:8" x14ac:dyDescent="0.3">
      <c r="F3098" s="11">
        <v>-5.3063890000000002</v>
      </c>
      <c r="G3098" s="11">
        <v>51.864443999999999</v>
      </c>
      <c r="H3098" s="11">
        <v>1</v>
      </c>
    </row>
    <row r="3099" spans="6:8" x14ac:dyDescent="0.3">
      <c r="F3099" s="11">
        <v>-5.2966670000000002</v>
      </c>
      <c r="G3099" s="11">
        <v>51.909444000000001</v>
      </c>
      <c r="H3099" s="11">
        <v>1</v>
      </c>
    </row>
    <row r="3100" spans="6:8" x14ac:dyDescent="0.3">
      <c r="F3100" s="11">
        <v>-5.2286109999999999</v>
      </c>
      <c r="G3100" s="11">
        <v>51.923889000000003</v>
      </c>
      <c r="H3100" s="11">
        <v>1</v>
      </c>
    </row>
    <row r="3101" spans="6:8" x14ac:dyDescent="0.3">
      <c r="F3101" s="11">
        <v>-5.1577780000000004</v>
      </c>
      <c r="G3101" s="11">
        <v>51.947778</v>
      </c>
      <c r="H3101" s="11">
        <v>1</v>
      </c>
    </row>
    <row r="3102" spans="6:8" x14ac:dyDescent="0.3">
      <c r="F3102" s="11">
        <v>-5.0883330000000004</v>
      </c>
      <c r="G3102" s="11">
        <v>51.970556000000002</v>
      </c>
      <c r="H3102" s="11">
        <v>1</v>
      </c>
    </row>
    <row r="3103" spans="6:8" x14ac:dyDescent="0.3">
      <c r="F3103" s="11">
        <v>-5.0844440000000004</v>
      </c>
      <c r="G3103" s="11">
        <v>52.014167</v>
      </c>
      <c r="H3103" s="11">
        <v>1</v>
      </c>
    </row>
    <row r="3104" spans="6:8" x14ac:dyDescent="0.3">
      <c r="F3104" s="11">
        <v>-5.0044440000000003</v>
      </c>
      <c r="G3104" s="11">
        <v>52.017778</v>
      </c>
      <c r="H3104" s="11">
        <v>1</v>
      </c>
    </row>
    <row r="3105" spans="6:8" x14ac:dyDescent="0.3">
      <c r="F3105" s="11">
        <v>-4.9505559999999997</v>
      </c>
      <c r="G3105" s="11">
        <v>52.000833</v>
      </c>
      <c r="H3105" s="11">
        <v>1</v>
      </c>
    </row>
    <row r="3106" spans="6:8" x14ac:dyDescent="0.3">
      <c r="F3106" s="11">
        <v>-4.9091670000000001</v>
      </c>
      <c r="G3106" s="11">
        <v>52.025832999999999</v>
      </c>
      <c r="H3106" s="11">
        <v>1</v>
      </c>
    </row>
    <row r="3107" spans="6:8" x14ac:dyDescent="0.3">
      <c r="F3107" s="11">
        <v>-4.8322219999999998</v>
      </c>
      <c r="G3107" s="11">
        <v>52.015555999999997</v>
      </c>
      <c r="H3107" s="11">
        <v>1</v>
      </c>
    </row>
    <row r="3108" spans="6:8" x14ac:dyDescent="0.3">
      <c r="F3108" s="11">
        <v>-4.8055560000000002</v>
      </c>
      <c r="G3108" s="11">
        <v>52.052222</v>
      </c>
      <c r="H3108" s="11">
        <v>1</v>
      </c>
    </row>
    <row r="3109" spans="6:8" x14ac:dyDescent="0.3">
      <c r="F3109" s="11">
        <v>-4.7502779999999998</v>
      </c>
      <c r="G3109" s="11">
        <v>52.087221999999997</v>
      </c>
      <c r="H3109" s="11">
        <v>1</v>
      </c>
    </row>
    <row r="3110" spans="6:8" x14ac:dyDescent="0.3">
      <c r="F3110" s="11">
        <v>-4.6922220000000001</v>
      </c>
      <c r="G3110" s="11">
        <v>52.101944000000003</v>
      </c>
      <c r="H3110" s="11">
        <v>1</v>
      </c>
    </row>
    <row r="3111" spans="6:8" x14ac:dyDescent="0.3">
      <c r="F3111" s="11">
        <v>-4.6519440000000003</v>
      </c>
      <c r="G3111" s="11">
        <v>52.132778000000002</v>
      </c>
      <c r="H3111" s="11">
        <v>1</v>
      </c>
    </row>
    <row r="3112" spans="6:8" x14ac:dyDescent="0.3">
      <c r="F3112" s="11">
        <v>-4.5655559999999999</v>
      </c>
      <c r="G3112" s="11">
        <v>52.138055999999999</v>
      </c>
      <c r="H3112" s="11">
        <v>1</v>
      </c>
    </row>
    <row r="3113" spans="6:8" x14ac:dyDescent="0.3">
      <c r="F3113" s="11">
        <v>-4.4922219999999999</v>
      </c>
      <c r="G3113" s="11">
        <v>52.145000000000003</v>
      </c>
      <c r="H3113" s="11">
        <v>1</v>
      </c>
    </row>
    <row r="3114" spans="6:8" x14ac:dyDescent="0.3">
      <c r="F3114" s="11">
        <v>-4.4294440000000002</v>
      </c>
      <c r="G3114" s="11">
        <v>52.171666999999999</v>
      </c>
      <c r="H3114" s="11">
        <v>1</v>
      </c>
    </row>
    <row r="3115" spans="6:8" x14ac:dyDescent="0.3">
      <c r="F3115" s="11">
        <v>-4.3766670000000003</v>
      </c>
      <c r="G3115" s="11">
        <v>52.208610999999998</v>
      </c>
      <c r="H3115" s="11">
        <v>1</v>
      </c>
    </row>
    <row r="3116" spans="6:8" x14ac:dyDescent="0.3">
      <c r="F3116" s="11">
        <v>-4.2966670000000002</v>
      </c>
      <c r="G3116" s="11">
        <v>52.221389000000002</v>
      </c>
      <c r="H3116" s="11">
        <v>1</v>
      </c>
    </row>
    <row r="3117" spans="6:8" x14ac:dyDescent="0.3">
      <c r="F3117" s="11">
        <v>-4.2316669999999998</v>
      </c>
      <c r="G3117" s="11">
        <v>52.249443999999997</v>
      </c>
      <c r="H3117" s="11">
        <v>1</v>
      </c>
    </row>
    <row r="3118" spans="6:8" x14ac:dyDescent="0.3">
      <c r="F3118" s="11">
        <v>-4.1819439999999997</v>
      </c>
      <c r="G3118" s="11">
        <v>52.288611000000003</v>
      </c>
      <c r="H3118" s="11">
        <v>1</v>
      </c>
    </row>
    <row r="3119" spans="6:8" x14ac:dyDescent="0.3">
      <c r="F3119" s="11">
        <v>-4.1361109999999996</v>
      </c>
      <c r="G3119" s="11">
        <v>52.329166999999998</v>
      </c>
      <c r="H3119" s="11">
        <v>1</v>
      </c>
    </row>
    <row r="3120" spans="6:8" x14ac:dyDescent="0.3">
      <c r="F3120" s="11">
        <v>-4.1002780000000003</v>
      </c>
      <c r="G3120" s="11">
        <v>52.378889000000001</v>
      </c>
      <c r="H3120" s="11">
        <v>1</v>
      </c>
    </row>
    <row r="3121" spans="6:8" x14ac:dyDescent="0.3">
      <c r="F3121" s="11">
        <v>-4.0827780000000002</v>
      </c>
      <c r="G3121" s="11">
        <v>52.442222000000001</v>
      </c>
      <c r="H3121" s="11">
        <v>1</v>
      </c>
    </row>
    <row r="3122" spans="6:8" x14ac:dyDescent="0.3">
      <c r="F3122" s="11">
        <v>-4.0608329999999997</v>
      </c>
      <c r="G3122" s="11">
        <v>52.498333000000002</v>
      </c>
      <c r="H3122" s="11">
        <v>1</v>
      </c>
    </row>
    <row r="3123" spans="6:8" x14ac:dyDescent="0.3">
      <c r="F3123" s="11">
        <v>-4.0147219999999999</v>
      </c>
      <c r="G3123" s="11">
        <v>52.521388999999999</v>
      </c>
      <c r="H3123" s="11">
        <v>1</v>
      </c>
    </row>
    <row r="3124" spans="6:8" x14ac:dyDescent="0.3">
      <c r="F3124" s="11">
        <v>-3.9469439999999998</v>
      </c>
      <c r="G3124" s="11">
        <v>52.547499999999999</v>
      </c>
      <c r="H3124" s="11">
        <v>1</v>
      </c>
    </row>
    <row r="3125" spans="6:8" x14ac:dyDescent="0.3">
      <c r="F3125" s="11">
        <v>-4.023333</v>
      </c>
      <c r="G3125" s="11">
        <v>52.541944000000001</v>
      </c>
      <c r="H3125" s="11">
        <v>1</v>
      </c>
    </row>
    <row r="3126" spans="6:8" x14ac:dyDescent="0.3">
      <c r="F3126" s="11">
        <v>-4.0866670000000003</v>
      </c>
      <c r="G3126" s="11">
        <v>52.567500000000003</v>
      </c>
      <c r="H3126" s="11">
        <v>1</v>
      </c>
    </row>
    <row r="3127" spans="6:8" x14ac:dyDescent="0.3">
      <c r="F3127" s="11">
        <v>-4.1261109999999999</v>
      </c>
      <c r="G3127" s="11">
        <v>52.609721999999998</v>
      </c>
      <c r="H3127" s="11">
        <v>1</v>
      </c>
    </row>
    <row r="3128" spans="6:8" x14ac:dyDescent="0.3">
      <c r="F3128" s="11">
        <v>-4.0933330000000003</v>
      </c>
      <c r="G3128" s="11">
        <v>52.661943999999998</v>
      </c>
      <c r="H3128" s="11">
        <v>1</v>
      </c>
    </row>
    <row r="3129" spans="6:8" x14ac:dyDescent="0.3">
      <c r="F3129" s="11">
        <v>-4.0513890000000004</v>
      </c>
      <c r="G3129" s="11">
        <v>52.704721999999997</v>
      </c>
      <c r="H3129" s="11">
        <v>1</v>
      </c>
    </row>
    <row r="3130" spans="6:8" x14ac:dyDescent="0.3">
      <c r="F3130" s="11">
        <v>-3.9891670000000001</v>
      </c>
      <c r="G3130" s="11">
        <v>52.732222</v>
      </c>
      <c r="H3130" s="11">
        <v>1</v>
      </c>
    </row>
    <row r="3131" spans="6:8" x14ac:dyDescent="0.3">
      <c r="F3131" s="11">
        <v>-4.0563890000000002</v>
      </c>
      <c r="G3131" s="11">
        <v>52.719721999999997</v>
      </c>
      <c r="H3131" s="11">
        <v>1</v>
      </c>
    </row>
    <row r="3132" spans="6:8" x14ac:dyDescent="0.3">
      <c r="F3132" s="11">
        <v>-4.101667</v>
      </c>
      <c r="G3132" s="11">
        <v>52.759166999999998</v>
      </c>
      <c r="H3132" s="11">
        <v>1</v>
      </c>
    </row>
    <row r="3133" spans="6:8" x14ac:dyDescent="0.3">
      <c r="F3133" s="11">
        <v>-4.148333</v>
      </c>
      <c r="G3133" s="11">
        <v>52.798611000000001</v>
      </c>
      <c r="H3133" s="11">
        <v>1</v>
      </c>
    </row>
    <row r="3134" spans="6:8" x14ac:dyDescent="0.3">
      <c r="F3134" s="11">
        <v>-4.1194439999999997</v>
      </c>
      <c r="G3134" s="11">
        <v>52.846666999999997</v>
      </c>
      <c r="H3134" s="11">
        <v>1</v>
      </c>
    </row>
    <row r="3135" spans="6:8" x14ac:dyDescent="0.3">
      <c r="F3135" s="11">
        <v>-4.1538890000000004</v>
      </c>
      <c r="G3135" s="11">
        <v>52.892221999999997</v>
      </c>
      <c r="H3135" s="11">
        <v>1</v>
      </c>
    </row>
    <row r="3136" spans="6:8" x14ac:dyDescent="0.3">
      <c r="F3136" s="11">
        <v>-4.2341670000000002</v>
      </c>
      <c r="G3136" s="11">
        <v>52.905278000000003</v>
      </c>
      <c r="H3136" s="11">
        <v>1</v>
      </c>
    </row>
    <row r="3137" spans="6:8" x14ac:dyDescent="0.3">
      <c r="F3137" s="11">
        <v>-4.3197219999999996</v>
      </c>
      <c r="G3137" s="11">
        <v>52.892778</v>
      </c>
      <c r="H3137" s="11">
        <v>1</v>
      </c>
    </row>
    <row r="3138" spans="6:8" x14ac:dyDescent="0.3">
      <c r="F3138" s="11">
        <v>-4.4002780000000001</v>
      </c>
      <c r="G3138" s="11">
        <v>52.879443999999999</v>
      </c>
      <c r="H3138" s="11">
        <v>1</v>
      </c>
    </row>
    <row r="3139" spans="6:8" x14ac:dyDescent="0.3">
      <c r="F3139" s="11">
        <v>-4.4658329999999999</v>
      </c>
      <c r="G3139" s="11">
        <v>52.850833000000002</v>
      </c>
      <c r="H3139" s="11">
        <v>1</v>
      </c>
    </row>
    <row r="3140" spans="6:8" x14ac:dyDescent="0.3">
      <c r="F3140" s="11">
        <v>-4.4797219999999998</v>
      </c>
      <c r="G3140" s="11">
        <v>52.803888999999998</v>
      </c>
      <c r="H3140" s="11">
        <v>1</v>
      </c>
    </row>
    <row r="3141" spans="6:8" x14ac:dyDescent="0.3">
      <c r="F3141" s="11">
        <v>-4.5280560000000003</v>
      </c>
      <c r="G3141" s="11">
        <v>52.777222000000002</v>
      </c>
      <c r="H3141" s="11">
        <v>1</v>
      </c>
    </row>
    <row r="3142" spans="6:8" x14ac:dyDescent="0.3">
      <c r="F3142" s="11">
        <v>-4.5811109999999999</v>
      </c>
      <c r="G3142" s="11">
        <v>52.812778000000002</v>
      </c>
      <c r="H3142" s="11">
        <v>1</v>
      </c>
    </row>
    <row r="3143" spans="6:8" x14ac:dyDescent="0.3">
      <c r="F3143" s="11">
        <v>-4.6563889999999999</v>
      </c>
      <c r="G3143" s="11">
        <v>52.801389</v>
      </c>
      <c r="H3143" s="11">
        <v>1</v>
      </c>
    </row>
    <row r="3144" spans="6:8" x14ac:dyDescent="0.3">
      <c r="F3144" s="11">
        <v>-4.7227779999999999</v>
      </c>
      <c r="G3144" s="11">
        <v>52.783332999999999</v>
      </c>
      <c r="H3144" s="11">
        <v>1</v>
      </c>
    </row>
    <row r="3145" spans="6:8" x14ac:dyDescent="0.3">
      <c r="H3145" s="11">
        <v>1</v>
      </c>
    </row>
    <row r="3146" spans="6:8" x14ac:dyDescent="0.3">
      <c r="F3146" s="11">
        <v>-4.7261110000000004</v>
      </c>
      <c r="G3146" s="11">
        <v>52.829444000000002</v>
      </c>
      <c r="H3146" s="11">
        <v>1</v>
      </c>
    </row>
    <row r="3147" spans="6:8" x14ac:dyDescent="0.3">
      <c r="F3147" s="11">
        <v>-4.68</v>
      </c>
      <c r="G3147" s="11">
        <v>52.867778000000001</v>
      </c>
      <c r="H3147" s="11">
        <v>1</v>
      </c>
    </row>
    <row r="3148" spans="6:8" x14ac:dyDescent="0.3">
      <c r="F3148" s="11">
        <v>-4.6244440000000004</v>
      </c>
      <c r="G3148" s="11">
        <v>52.903333000000003</v>
      </c>
      <c r="H3148" s="11">
        <v>1</v>
      </c>
    </row>
    <row r="3149" spans="6:8" x14ac:dyDescent="0.3">
      <c r="F3149" s="11">
        <v>-4.5672220000000001</v>
      </c>
      <c r="G3149" s="11">
        <v>52.934722000000001</v>
      </c>
      <c r="H3149" s="11">
        <v>1</v>
      </c>
    </row>
    <row r="3150" spans="6:8" x14ac:dyDescent="0.3">
      <c r="F3150" s="11">
        <v>-4.4983329999999997</v>
      </c>
      <c r="G3150" s="11">
        <v>52.951110999999997</v>
      </c>
      <c r="H3150" s="11">
        <v>1</v>
      </c>
    </row>
    <row r="3151" spans="6:8" x14ac:dyDescent="0.3">
      <c r="F3151" s="11">
        <v>-4.4397219999999997</v>
      </c>
      <c r="G3151" s="11">
        <v>52.984721999999998</v>
      </c>
      <c r="H3151" s="11">
        <v>1</v>
      </c>
    </row>
    <row r="3152" spans="6:8" x14ac:dyDescent="0.3">
      <c r="F3152" s="11">
        <v>-4.3816670000000002</v>
      </c>
      <c r="G3152" s="11">
        <v>53.018611</v>
      </c>
      <c r="H3152" s="11">
        <v>1</v>
      </c>
    </row>
    <row r="3153" spans="6:8" x14ac:dyDescent="0.3">
      <c r="F3153" s="11">
        <v>-4.3438889999999999</v>
      </c>
      <c r="G3153" s="11">
        <v>53.067777999999997</v>
      </c>
      <c r="H3153" s="11">
        <v>1</v>
      </c>
    </row>
    <row r="3154" spans="6:8" x14ac:dyDescent="0.3">
      <c r="F3154" s="11">
        <v>-4.3255559999999997</v>
      </c>
      <c r="G3154" s="11">
        <v>53.106389</v>
      </c>
      <c r="H3154" s="11">
        <v>1</v>
      </c>
    </row>
    <row r="3155" spans="6:8" x14ac:dyDescent="0.3">
      <c r="F3155" s="11">
        <v>-4.2791670000000002</v>
      </c>
      <c r="G3155" s="11">
        <v>53.134444000000002</v>
      </c>
      <c r="H3155" s="11">
        <v>1</v>
      </c>
    </row>
    <row r="3156" spans="6:8" x14ac:dyDescent="0.3">
      <c r="F3156" s="11">
        <v>-4.2227779999999999</v>
      </c>
      <c r="G3156" s="11">
        <v>53.169722</v>
      </c>
      <c r="H3156" s="11">
        <v>1</v>
      </c>
    </row>
    <row r="3157" spans="6:8" x14ac:dyDescent="0.3">
      <c r="F3157" s="11">
        <v>-4.1788889999999999</v>
      </c>
      <c r="G3157" s="11">
        <v>53.214167000000003</v>
      </c>
      <c r="H3157" s="11">
        <v>1</v>
      </c>
    </row>
    <row r="3158" spans="6:8" x14ac:dyDescent="0.3">
      <c r="F3158" s="11">
        <v>-4.1002780000000003</v>
      </c>
      <c r="G3158" s="11">
        <v>53.229444000000001</v>
      </c>
      <c r="H3158" s="11">
        <v>1</v>
      </c>
    </row>
    <row r="3159" spans="6:8" x14ac:dyDescent="0.3">
      <c r="F3159" s="11">
        <v>-4.0183330000000002</v>
      </c>
      <c r="G3159" s="11">
        <v>53.237777999999999</v>
      </c>
      <c r="H3159" s="11">
        <v>1</v>
      </c>
    </row>
    <row r="3160" spans="6:8" x14ac:dyDescent="0.3">
      <c r="F3160" s="11">
        <v>-3.9494440000000002</v>
      </c>
      <c r="G3160" s="11">
        <v>53.263610999999997</v>
      </c>
      <c r="H3160" s="11">
        <v>1</v>
      </c>
    </row>
    <row r="3161" spans="6:8" x14ac:dyDescent="0.3">
      <c r="F3161" s="11">
        <v>-3.8688889999999998</v>
      </c>
      <c r="G3161" s="11">
        <v>53.280278000000003</v>
      </c>
      <c r="H3161" s="11">
        <v>1</v>
      </c>
    </row>
    <row r="3162" spans="6:8" x14ac:dyDescent="0.3">
      <c r="F3162" s="11">
        <v>-3.8430559999999998</v>
      </c>
      <c r="G3162" s="11">
        <v>53.310555999999998</v>
      </c>
      <c r="H3162" s="11">
        <v>1</v>
      </c>
    </row>
    <row r="3163" spans="6:8" x14ac:dyDescent="0.3">
      <c r="F3163" s="11">
        <v>-3.8477779999999999</v>
      </c>
      <c r="G3163" s="11">
        <v>53.329166999999998</v>
      </c>
      <c r="H3163" s="11">
        <v>1</v>
      </c>
    </row>
    <row r="3164" spans="6:8" x14ac:dyDescent="0.3">
      <c r="F3164" s="11">
        <v>-3.7708330000000001</v>
      </c>
      <c r="G3164" s="11">
        <v>53.313889000000003</v>
      </c>
      <c r="H3164" s="11">
        <v>1</v>
      </c>
    </row>
    <row r="3165" spans="6:8" x14ac:dyDescent="0.3">
      <c r="F3165" s="11">
        <v>-3.6986110000000001</v>
      </c>
      <c r="G3165" s="11">
        <v>53.287222</v>
      </c>
      <c r="H3165" s="11">
        <v>1</v>
      </c>
    </row>
    <row r="3166" spans="6:8" x14ac:dyDescent="0.3">
      <c r="F3166" s="11">
        <v>-3.601111</v>
      </c>
      <c r="G3166" s="11">
        <v>53.281111000000003</v>
      </c>
      <c r="H3166" s="11">
        <v>1</v>
      </c>
    </row>
    <row r="3167" spans="6:8" x14ac:dyDescent="0.3">
      <c r="F3167" s="11">
        <v>-3.5291670000000002</v>
      </c>
      <c r="G3167" s="11">
        <v>53.304167</v>
      </c>
      <c r="H3167" s="11">
        <v>1</v>
      </c>
    </row>
    <row r="3168" spans="6:8" x14ac:dyDescent="0.3">
      <c r="F3168" s="11">
        <v>-3.4525000000000001</v>
      </c>
      <c r="G3168" s="11">
        <v>53.324722000000001</v>
      </c>
      <c r="H3168" s="11">
        <v>1</v>
      </c>
    </row>
    <row r="3169" spans="6:8" x14ac:dyDescent="0.3">
      <c r="F3169" s="11">
        <v>-3.3761109999999999</v>
      </c>
      <c r="G3169" s="11">
        <v>53.345556000000002</v>
      </c>
      <c r="H3169" s="11">
        <v>1</v>
      </c>
    </row>
    <row r="3170" spans="6:8" x14ac:dyDescent="0.3">
      <c r="F3170" s="11">
        <v>-3.291944</v>
      </c>
      <c r="G3170" s="11">
        <v>53.333888999999999</v>
      </c>
      <c r="H3170" s="11">
        <v>1</v>
      </c>
    </row>
    <row r="3171" spans="6:8" x14ac:dyDescent="0.3">
      <c r="F3171" s="11">
        <v>-3.226944</v>
      </c>
      <c r="G3171" s="11">
        <v>53.303055999999998</v>
      </c>
      <c r="H3171" s="11">
        <v>1</v>
      </c>
    </row>
    <row r="3172" spans="6:8" x14ac:dyDescent="0.3">
      <c r="F3172" s="11">
        <v>-3.16</v>
      </c>
      <c r="G3172" s="11">
        <v>53.272778000000002</v>
      </c>
      <c r="H3172" s="11">
        <v>1</v>
      </c>
    </row>
    <row r="3173" spans="6:8" x14ac:dyDescent="0.3">
      <c r="F3173" s="11">
        <v>-3.099167</v>
      </c>
      <c r="G3173" s="11">
        <v>53.239722</v>
      </c>
      <c r="H3173" s="11">
        <v>1</v>
      </c>
    </row>
    <row r="3174" spans="6:8" x14ac:dyDescent="0.3">
      <c r="F3174" s="11">
        <v>-3.0705559999999998</v>
      </c>
      <c r="G3174" s="11">
        <v>53.261111</v>
      </c>
      <c r="H3174" s="11">
        <v>1</v>
      </c>
    </row>
    <row r="3175" spans="6:8" x14ac:dyDescent="0.3">
      <c r="F3175" s="11">
        <v>-3.092778</v>
      </c>
      <c r="G3175" s="11">
        <v>53.301943999999999</v>
      </c>
      <c r="H3175" s="11">
        <v>1</v>
      </c>
    </row>
    <row r="3176" spans="6:8" x14ac:dyDescent="0.3">
      <c r="F3176" s="11">
        <v>-3.1452779999999998</v>
      </c>
      <c r="G3176" s="11">
        <v>53.338056000000002</v>
      </c>
      <c r="H3176" s="11">
        <v>1</v>
      </c>
    </row>
    <row r="3177" spans="6:8" x14ac:dyDescent="0.3">
      <c r="F3177" s="11">
        <v>-3.1911109999999998</v>
      </c>
      <c r="G3177" s="11">
        <v>53.378332999999998</v>
      </c>
      <c r="H3177" s="11">
        <v>1</v>
      </c>
    </row>
    <row r="3178" spans="6:8" x14ac:dyDescent="0.3">
      <c r="F3178" s="11">
        <v>-3.1380560000000002</v>
      </c>
      <c r="G3178" s="11">
        <v>53.410277999999998</v>
      </c>
      <c r="H3178" s="11">
        <v>1</v>
      </c>
    </row>
    <row r="3179" spans="6:8" x14ac:dyDescent="0.3">
      <c r="F3179" s="11">
        <v>-3.0608330000000001</v>
      </c>
      <c r="G3179" s="11">
        <v>53.430556000000003</v>
      </c>
      <c r="H3179" s="11">
        <v>1</v>
      </c>
    </row>
    <row r="3180" spans="6:8" x14ac:dyDescent="0.3">
      <c r="F3180" s="11">
        <v>-3.0049999999999999</v>
      </c>
      <c r="G3180" s="11">
        <v>53.398055999999997</v>
      </c>
      <c r="H3180" s="11">
        <v>1</v>
      </c>
    </row>
    <row r="3181" spans="6:8" x14ac:dyDescent="0.3">
      <c r="F3181" s="11">
        <v>-2.9725000000000001</v>
      </c>
      <c r="G3181" s="11">
        <v>53.351666999999999</v>
      </c>
      <c r="H3181" s="11">
        <v>1</v>
      </c>
    </row>
    <row r="3182" spans="6:8" x14ac:dyDescent="0.3">
      <c r="F3182" s="11">
        <v>-2.931111</v>
      </c>
      <c r="G3182" s="11">
        <v>53.309167000000002</v>
      </c>
      <c r="H3182" s="11">
        <v>1</v>
      </c>
    </row>
    <row r="3183" spans="6:8" x14ac:dyDescent="0.3">
      <c r="F3183" s="11">
        <v>-2.8566669999999998</v>
      </c>
      <c r="G3183" s="11">
        <v>53.283332999999999</v>
      </c>
      <c r="H3183" s="11">
        <v>1</v>
      </c>
    </row>
    <row r="3184" spans="6:8" x14ac:dyDescent="0.3">
      <c r="F3184" s="11">
        <v>-2.7786110000000002</v>
      </c>
      <c r="G3184" s="11">
        <v>53.297221999999998</v>
      </c>
      <c r="H3184" s="11">
        <v>1</v>
      </c>
    </row>
    <row r="3185" spans="6:8" x14ac:dyDescent="0.3">
      <c r="F3185" s="11">
        <v>-2.7383329999999999</v>
      </c>
      <c r="G3185" s="11">
        <v>53.336944000000003</v>
      </c>
      <c r="H3185" s="11">
        <v>1</v>
      </c>
    </row>
    <row r="3186" spans="6:8" x14ac:dyDescent="0.3">
      <c r="F3186" s="11">
        <v>-2.798889</v>
      </c>
      <c r="G3186" s="11">
        <v>53.327221999999999</v>
      </c>
      <c r="H3186" s="11">
        <v>1</v>
      </c>
    </row>
    <row r="3187" spans="6:8" x14ac:dyDescent="0.3">
      <c r="F3187" s="11">
        <v>-2.8855559999999998</v>
      </c>
      <c r="G3187" s="11">
        <v>53.345278</v>
      </c>
      <c r="H3187" s="11">
        <v>1</v>
      </c>
    </row>
    <row r="3188" spans="6:8" x14ac:dyDescent="0.3">
      <c r="F3188" s="11">
        <v>-2.9583330000000001</v>
      </c>
      <c r="G3188" s="11">
        <v>53.372777999999997</v>
      </c>
      <c r="H3188" s="11">
        <v>1</v>
      </c>
    </row>
    <row r="3189" spans="6:8" x14ac:dyDescent="0.3">
      <c r="F3189" s="11">
        <v>-3.0022220000000002</v>
      </c>
      <c r="G3189" s="11">
        <v>53.413055999999997</v>
      </c>
      <c r="H3189" s="11">
        <v>1</v>
      </c>
    </row>
    <row r="3190" spans="6:8" x14ac:dyDescent="0.3">
      <c r="F3190" s="11">
        <v>-3.0283329999999999</v>
      </c>
      <c r="G3190" s="11">
        <v>53.462778</v>
      </c>
      <c r="H3190" s="11">
        <v>1</v>
      </c>
    </row>
    <row r="3191" spans="6:8" x14ac:dyDescent="0.3">
      <c r="F3191" s="11">
        <v>-3.0633330000000001</v>
      </c>
      <c r="G3191" s="11">
        <v>53.5075</v>
      </c>
      <c r="H3191" s="11">
        <v>1</v>
      </c>
    </row>
    <row r="3192" spans="6:8" x14ac:dyDescent="0.3">
      <c r="F3192" s="11">
        <v>-3.1072220000000002</v>
      </c>
      <c r="G3192" s="11">
        <v>53.549166999999997</v>
      </c>
      <c r="H3192" s="11">
        <v>1</v>
      </c>
    </row>
    <row r="3193" spans="6:8" x14ac:dyDescent="0.3">
      <c r="F3193" s="11">
        <v>-3.072778</v>
      </c>
      <c r="G3193" s="11">
        <v>53.598889</v>
      </c>
      <c r="H3193" s="11">
        <v>1</v>
      </c>
    </row>
    <row r="3194" spans="6:8" x14ac:dyDescent="0.3">
      <c r="F3194" s="11">
        <v>-3.0272220000000001</v>
      </c>
      <c r="G3194" s="11">
        <v>53.643332999999998</v>
      </c>
      <c r="H3194" s="11">
        <v>1</v>
      </c>
    </row>
    <row r="3195" spans="6:8" x14ac:dyDescent="0.3">
      <c r="F3195" s="11">
        <v>-2.976667</v>
      </c>
      <c r="G3195" s="11">
        <v>53.683610999999999</v>
      </c>
      <c r="H3195" s="11">
        <v>1</v>
      </c>
    </row>
    <row r="3196" spans="6:8" x14ac:dyDescent="0.3">
      <c r="F3196" s="11">
        <v>-2.91</v>
      </c>
      <c r="G3196" s="11">
        <v>53.71</v>
      </c>
      <c r="H3196" s="11">
        <v>1</v>
      </c>
    </row>
    <row r="3197" spans="6:8" x14ac:dyDescent="0.3">
      <c r="F3197" s="11">
        <v>-2.8397220000000001</v>
      </c>
      <c r="G3197" s="11">
        <v>53.735556000000003</v>
      </c>
      <c r="H3197" s="11">
        <v>1</v>
      </c>
    </row>
    <row r="3198" spans="6:8" x14ac:dyDescent="0.3">
      <c r="F3198" s="11">
        <v>-2.92</v>
      </c>
      <c r="G3198" s="11">
        <v>53.734999999999999</v>
      </c>
      <c r="H3198" s="11">
        <v>1</v>
      </c>
    </row>
    <row r="3199" spans="6:8" x14ac:dyDescent="0.3">
      <c r="F3199" s="11">
        <v>-3.0044439999999999</v>
      </c>
      <c r="G3199" s="11">
        <v>53.729166999999997</v>
      </c>
      <c r="H3199" s="11">
        <v>1</v>
      </c>
    </row>
    <row r="3200" spans="6:8" x14ac:dyDescent="0.3">
      <c r="F3200" s="11">
        <v>-3.0572219999999999</v>
      </c>
      <c r="G3200" s="11">
        <v>53.758056000000003</v>
      </c>
      <c r="H3200" s="11">
        <v>1</v>
      </c>
    </row>
    <row r="3201" spans="6:8" x14ac:dyDescent="0.3">
      <c r="F3201" s="11">
        <v>-3.0558329999999998</v>
      </c>
      <c r="G3201" s="11">
        <v>53.818055999999999</v>
      </c>
      <c r="H3201" s="11">
        <v>1</v>
      </c>
    </row>
    <row r="3202" spans="6:8" x14ac:dyDescent="0.3">
      <c r="F3202" s="11">
        <v>-3.0441669999999998</v>
      </c>
      <c r="G3202" s="11">
        <v>53.882221999999999</v>
      </c>
      <c r="H3202" s="11">
        <v>1</v>
      </c>
    </row>
    <row r="3203" spans="6:8" x14ac:dyDescent="0.3">
      <c r="F3203" s="11">
        <v>-3.021944</v>
      </c>
      <c r="G3203" s="11">
        <v>53.928888999999998</v>
      </c>
      <c r="H3203" s="11">
        <v>1</v>
      </c>
    </row>
    <row r="3204" spans="6:8" x14ac:dyDescent="0.3">
      <c r="F3204" s="11">
        <v>-2.9361109999999999</v>
      </c>
      <c r="G3204" s="11">
        <v>53.940277999999999</v>
      </c>
      <c r="H3204" s="11">
        <v>1</v>
      </c>
    </row>
    <row r="3205" spans="6:8" x14ac:dyDescent="0.3">
      <c r="F3205" s="11">
        <v>-2.87</v>
      </c>
      <c r="G3205" s="11">
        <v>53.946389000000003</v>
      </c>
      <c r="H3205" s="11">
        <v>1</v>
      </c>
    </row>
    <row r="3206" spans="6:8" x14ac:dyDescent="0.3">
      <c r="F3206" s="11">
        <v>-2.8661110000000001</v>
      </c>
      <c r="G3206" s="11">
        <v>53.976111000000003</v>
      </c>
      <c r="H3206" s="11">
        <v>1</v>
      </c>
    </row>
    <row r="3207" spans="6:8" x14ac:dyDescent="0.3">
      <c r="F3207" s="11">
        <v>-2.8833329999999999</v>
      </c>
      <c r="G3207" s="11">
        <v>53.992778000000001</v>
      </c>
      <c r="H3207" s="11">
        <v>1</v>
      </c>
    </row>
    <row r="3208" spans="6:8" x14ac:dyDescent="0.3">
      <c r="F3208" s="11">
        <v>-2.9080560000000002</v>
      </c>
      <c r="G3208" s="11">
        <v>54.039166999999999</v>
      </c>
      <c r="H3208" s="11">
        <v>1</v>
      </c>
    </row>
    <row r="3209" spans="6:8" x14ac:dyDescent="0.3">
      <c r="F3209" s="11">
        <v>-2.851944</v>
      </c>
      <c r="G3209" s="11">
        <v>54.076110999999997</v>
      </c>
      <c r="H3209" s="11">
        <v>1</v>
      </c>
    </row>
    <row r="3210" spans="6:8" x14ac:dyDescent="0.3">
      <c r="F3210" s="11">
        <v>-2.8019440000000002</v>
      </c>
      <c r="G3210" s="11">
        <v>54.114167000000002</v>
      </c>
      <c r="H3210" s="11">
        <v>1</v>
      </c>
    </row>
    <row r="3211" spans="6:8" x14ac:dyDescent="0.3">
      <c r="F3211" s="11">
        <v>-2.8311109999999999</v>
      </c>
      <c r="G3211" s="11">
        <v>54.157499999999999</v>
      </c>
      <c r="H3211" s="11">
        <v>1</v>
      </c>
    </row>
    <row r="3212" spans="6:8" x14ac:dyDescent="0.3">
      <c r="F3212" s="11">
        <v>-2.8197220000000001</v>
      </c>
      <c r="G3212" s="11">
        <v>54.194167</v>
      </c>
      <c r="H3212" s="11">
        <v>1</v>
      </c>
    </row>
    <row r="3213" spans="6:8" x14ac:dyDescent="0.3">
      <c r="F3213" s="11">
        <v>-2.8952779999999998</v>
      </c>
      <c r="G3213" s="11">
        <v>54.183056000000001</v>
      </c>
      <c r="H3213" s="11">
        <v>1</v>
      </c>
    </row>
    <row r="3214" spans="6:8" x14ac:dyDescent="0.3">
      <c r="F3214" s="11">
        <v>-2.9566669999999999</v>
      </c>
      <c r="G3214" s="11">
        <v>54.150278</v>
      </c>
      <c r="H3214" s="11">
        <v>1</v>
      </c>
    </row>
    <row r="3215" spans="6:8" x14ac:dyDescent="0.3">
      <c r="F3215" s="11">
        <v>-3.016111</v>
      </c>
      <c r="G3215" s="11">
        <v>54.180556000000003</v>
      </c>
      <c r="H3215" s="11">
        <v>1</v>
      </c>
    </row>
    <row r="3216" spans="6:8" x14ac:dyDescent="0.3">
      <c r="F3216" s="11">
        <v>-3.0533329999999999</v>
      </c>
      <c r="G3216" s="11">
        <v>54.16</v>
      </c>
      <c r="H3216" s="11">
        <v>1</v>
      </c>
    </row>
    <row r="3217" spans="6:8" x14ac:dyDescent="0.3">
      <c r="F3217" s="11">
        <v>-3.0941670000000001</v>
      </c>
      <c r="G3217" s="11">
        <v>54.114443999999999</v>
      </c>
      <c r="H3217" s="11">
        <v>1</v>
      </c>
    </row>
    <row r="3218" spans="6:8" x14ac:dyDescent="0.3">
      <c r="F3218" s="11">
        <v>-3.155278</v>
      </c>
      <c r="G3218" s="11">
        <v>54.082500000000003</v>
      </c>
      <c r="H3218" s="11">
        <v>1</v>
      </c>
    </row>
    <row r="3219" spans="6:8" x14ac:dyDescent="0.3">
      <c r="F3219" s="11">
        <v>-3.1727780000000001</v>
      </c>
      <c r="G3219" s="11">
        <v>54.076667</v>
      </c>
      <c r="H3219" s="11">
        <v>1</v>
      </c>
    </row>
    <row r="3220" spans="6:8" x14ac:dyDescent="0.3">
      <c r="F3220" s="11">
        <v>-3.236389</v>
      </c>
      <c r="G3220" s="11">
        <v>54.106667000000002</v>
      </c>
      <c r="H3220" s="11">
        <v>1</v>
      </c>
    </row>
    <row r="3221" spans="6:8" x14ac:dyDescent="0.3">
      <c r="F3221" s="11">
        <v>-3.235833</v>
      </c>
      <c r="G3221" s="11">
        <v>54.159166999999997</v>
      </c>
      <c r="H3221" s="11">
        <v>1</v>
      </c>
    </row>
    <row r="3222" spans="6:8" x14ac:dyDescent="0.3">
      <c r="F3222" s="11">
        <v>-3.2136110000000002</v>
      </c>
      <c r="G3222" s="11">
        <v>54.193610999999997</v>
      </c>
      <c r="H3222" s="11">
        <v>1</v>
      </c>
    </row>
    <row r="3223" spans="6:8" x14ac:dyDescent="0.3">
      <c r="F3223" s="11">
        <v>-3.2116669999999998</v>
      </c>
      <c r="G3223" s="11">
        <v>54.245832999999998</v>
      </c>
      <c r="H3223" s="11">
        <v>1</v>
      </c>
    </row>
    <row r="3224" spans="6:8" x14ac:dyDescent="0.3">
      <c r="F3224" s="11">
        <v>-3.2311109999999998</v>
      </c>
      <c r="G3224" s="11">
        <v>54.230277999999998</v>
      </c>
      <c r="H3224" s="11">
        <v>1</v>
      </c>
    </row>
    <row r="3225" spans="6:8" x14ac:dyDescent="0.3">
      <c r="F3225" s="11">
        <v>-3.2625000000000002</v>
      </c>
      <c r="G3225" s="11">
        <v>54.193055999999999</v>
      </c>
      <c r="H3225" s="11">
        <v>1</v>
      </c>
    </row>
    <row r="3226" spans="6:8" x14ac:dyDescent="0.3">
      <c r="F3226" s="11">
        <v>-3.334444</v>
      </c>
      <c r="G3226" s="11">
        <v>54.208333000000003</v>
      </c>
      <c r="H3226" s="11">
        <v>1</v>
      </c>
    </row>
    <row r="3227" spans="6:8" x14ac:dyDescent="0.3">
      <c r="F3227" s="11">
        <v>-3.3819439999999998</v>
      </c>
      <c r="G3227" s="11">
        <v>54.248055999999998</v>
      </c>
      <c r="H3227" s="11">
        <v>1</v>
      </c>
    </row>
    <row r="3228" spans="6:8" x14ac:dyDescent="0.3">
      <c r="F3228" s="11">
        <v>-3.4102779999999999</v>
      </c>
      <c r="G3228" s="11">
        <v>54.295555999999998</v>
      </c>
      <c r="H3228" s="11">
        <v>1</v>
      </c>
    </row>
    <row r="3229" spans="6:8" x14ac:dyDescent="0.3">
      <c r="F3229" s="11">
        <v>-3.4294440000000002</v>
      </c>
      <c r="G3229" s="11">
        <v>54.346389000000002</v>
      </c>
      <c r="H3229" s="11">
        <v>1</v>
      </c>
    </row>
    <row r="3230" spans="6:8" x14ac:dyDescent="0.3">
      <c r="F3230" s="11">
        <v>-3.4755560000000001</v>
      </c>
      <c r="G3230" s="11">
        <v>54.387222000000001</v>
      </c>
      <c r="H3230" s="11">
        <v>1</v>
      </c>
    </row>
    <row r="3231" spans="6:8" x14ac:dyDescent="0.3">
      <c r="F3231" s="11">
        <v>-3.5244439999999999</v>
      </c>
      <c r="G3231" s="11">
        <v>54.426667000000002</v>
      </c>
      <c r="H3231" s="11">
        <v>1</v>
      </c>
    </row>
    <row r="3232" spans="6:8" x14ac:dyDescent="0.3">
      <c r="F3232" s="11">
        <v>-3.576111</v>
      </c>
      <c r="G3232" s="11">
        <v>54.464722000000002</v>
      </c>
      <c r="H3232" s="11">
        <v>1</v>
      </c>
    </row>
    <row r="3233" spans="6:8" x14ac:dyDescent="0.3">
      <c r="F3233" s="11">
        <v>-3.6269439999999999</v>
      </c>
      <c r="G3233" s="11">
        <v>54.503332999999998</v>
      </c>
      <c r="H3233" s="11">
        <v>1</v>
      </c>
    </row>
    <row r="3234" spans="6:8" x14ac:dyDescent="0.3">
      <c r="F3234" s="11">
        <v>-3.5961110000000001</v>
      </c>
      <c r="G3234" s="11">
        <v>54.546111000000003</v>
      </c>
      <c r="H3234" s="11">
        <v>1</v>
      </c>
    </row>
    <row r="3235" spans="6:8" x14ac:dyDescent="0.3">
      <c r="F3235" s="11">
        <v>-3.5736110000000001</v>
      </c>
      <c r="G3235" s="11">
        <v>54.598889</v>
      </c>
      <c r="H3235" s="11">
        <v>1</v>
      </c>
    </row>
    <row r="3236" spans="6:8" x14ac:dyDescent="0.3">
      <c r="F3236" s="11">
        <v>-3.5572219999999999</v>
      </c>
      <c r="G3236" s="11">
        <v>54.655000000000001</v>
      </c>
      <c r="H3236" s="11">
        <v>1</v>
      </c>
    </row>
    <row r="3237" spans="6:8" x14ac:dyDescent="0.3">
      <c r="F3237" s="11">
        <v>-3.5150000000000001</v>
      </c>
      <c r="G3237" s="11">
        <v>54.702221999999999</v>
      </c>
      <c r="H3237" s="11">
        <v>1</v>
      </c>
    </row>
    <row r="3238" spans="6:8" x14ac:dyDescent="0.3">
      <c r="F3238" s="11">
        <v>-3.460556</v>
      </c>
      <c r="G3238" s="11">
        <v>54.739167000000002</v>
      </c>
      <c r="H3238" s="11">
        <v>1</v>
      </c>
    </row>
    <row r="3239" spans="6:8" x14ac:dyDescent="0.3">
      <c r="F3239" s="11">
        <v>-3.4363890000000001</v>
      </c>
      <c r="G3239" s="11">
        <v>54.791111000000001</v>
      </c>
      <c r="H3239" s="11">
        <v>1</v>
      </c>
    </row>
    <row r="3240" spans="6:8" x14ac:dyDescent="0.3">
      <c r="F3240" s="11">
        <v>-3.4041670000000002</v>
      </c>
      <c r="G3240" s="11">
        <v>54.833333000000003</v>
      </c>
      <c r="H3240" s="11">
        <v>1</v>
      </c>
    </row>
    <row r="3241" spans="6:8" x14ac:dyDescent="0.3">
      <c r="F3241" s="11">
        <v>-3.3602780000000001</v>
      </c>
      <c r="G3241" s="11">
        <v>54.879443999999999</v>
      </c>
      <c r="H3241" s="11">
        <v>1</v>
      </c>
    </row>
    <row r="3242" spans="6:8" x14ac:dyDescent="0.3">
      <c r="F3242" s="11">
        <v>-3.3174999999999999</v>
      </c>
      <c r="G3242" s="11">
        <v>54.882221999999999</v>
      </c>
      <c r="H3242" s="11">
        <v>1</v>
      </c>
    </row>
    <row r="3243" spans="6:8" x14ac:dyDescent="0.3">
      <c r="F3243" s="11">
        <v>-3.2611110000000001</v>
      </c>
      <c r="G3243" s="11">
        <v>54.888333000000003</v>
      </c>
      <c r="H3243" s="11">
        <v>1</v>
      </c>
    </row>
    <row r="3244" spans="6:8" x14ac:dyDescent="0.3">
      <c r="F3244" s="11">
        <v>-3.2869440000000001</v>
      </c>
      <c r="G3244" s="11">
        <v>54.913055999999997</v>
      </c>
      <c r="H3244" s="11">
        <v>1</v>
      </c>
    </row>
    <row r="3245" spans="6:8" x14ac:dyDescent="0.3">
      <c r="F3245" s="11">
        <v>-3.223611</v>
      </c>
      <c r="G3245" s="11">
        <v>54.946389000000003</v>
      </c>
      <c r="H3245" s="11">
        <v>1</v>
      </c>
    </row>
    <row r="3246" spans="6:8" x14ac:dyDescent="0.3">
      <c r="F3246" s="11">
        <v>-3.144444</v>
      </c>
      <c r="G3246" s="11">
        <v>54.931944000000001</v>
      </c>
      <c r="H3246" s="11">
        <v>1</v>
      </c>
    </row>
    <row r="3247" spans="6:8" x14ac:dyDescent="0.3">
      <c r="F3247" s="11">
        <v>-3.0680559999999999</v>
      </c>
      <c r="G3247" s="11">
        <v>54.933332999999998</v>
      </c>
      <c r="H3247" s="11">
        <v>1</v>
      </c>
    </row>
    <row r="3248" spans="6:8" x14ac:dyDescent="0.3">
      <c r="F3248" s="11">
        <v>-3.0555560000000002</v>
      </c>
      <c r="G3248" s="11">
        <v>54.949167000000003</v>
      </c>
      <c r="H3248" s="11">
        <v>1</v>
      </c>
    </row>
    <row r="3249" spans="6:8" x14ac:dyDescent="0.3">
      <c r="F3249" s="11">
        <v>-3.0225</v>
      </c>
      <c r="G3249" s="11">
        <v>54.960833000000001</v>
      </c>
      <c r="H3249" s="11">
        <v>1</v>
      </c>
    </row>
    <row r="3250" spans="6:8" x14ac:dyDescent="0.3">
      <c r="F3250" s="11">
        <v>-3.0550000000000002</v>
      </c>
      <c r="G3250" s="11">
        <v>54.98</v>
      </c>
      <c r="H3250" s="11">
        <v>1</v>
      </c>
    </row>
    <row r="3251" spans="6:8" x14ac:dyDescent="0.3">
      <c r="F3251" s="11">
        <v>-3.14</v>
      </c>
      <c r="G3251" s="11">
        <v>54.963332999999999</v>
      </c>
      <c r="H3251" s="11">
        <v>1</v>
      </c>
    </row>
    <row r="3252" spans="6:8" x14ac:dyDescent="0.3">
      <c r="F3252" s="11">
        <v>-3.2383329999999999</v>
      </c>
      <c r="G3252" s="11">
        <v>54.964722000000002</v>
      </c>
      <c r="H3252" s="11">
        <v>1</v>
      </c>
    </row>
    <row r="3253" spans="6:8" x14ac:dyDescent="0.3">
      <c r="F3253" s="11">
        <v>-3.33</v>
      </c>
      <c r="G3253" s="11">
        <v>54.976111000000003</v>
      </c>
      <c r="H3253" s="11">
        <v>1</v>
      </c>
    </row>
    <row r="3254" spans="6:8" x14ac:dyDescent="0.3">
      <c r="F3254" s="11">
        <v>-3.4202780000000002</v>
      </c>
      <c r="G3254" s="11">
        <v>54.985833</v>
      </c>
      <c r="H3254" s="11">
        <v>1</v>
      </c>
    </row>
    <row r="3255" spans="6:8" x14ac:dyDescent="0.3">
      <c r="F3255" s="11">
        <v>-3.4977779999999998</v>
      </c>
      <c r="G3255" s="11">
        <v>54.988610999999999</v>
      </c>
      <c r="H3255" s="11">
        <v>1</v>
      </c>
    </row>
    <row r="3256" spans="6:8" x14ac:dyDescent="0.3">
      <c r="F3256" s="11">
        <v>-3.548889</v>
      </c>
      <c r="G3256" s="11">
        <v>54.981667000000002</v>
      </c>
      <c r="H3256" s="11">
        <v>1</v>
      </c>
    </row>
    <row r="3257" spans="6:8" x14ac:dyDescent="0.3">
      <c r="F3257" s="11">
        <v>-3.5705559999999998</v>
      </c>
      <c r="G3257" s="11">
        <v>54.955832999999998</v>
      </c>
      <c r="H3257" s="11">
        <v>1</v>
      </c>
    </row>
    <row r="3258" spans="6:8" x14ac:dyDescent="0.3">
      <c r="F3258" s="11">
        <v>-3.5677780000000001</v>
      </c>
      <c r="G3258" s="11">
        <v>54.900556000000002</v>
      </c>
      <c r="H3258" s="11">
        <v>1</v>
      </c>
    </row>
    <row r="3259" spans="6:8" x14ac:dyDescent="0.3">
      <c r="F3259" s="11">
        <v>-3.628889</v>
      </c>
      <c r="G3259" s="11">
        <v>54.878056000000001</v>
      </c>
      <c r="H3259" s="11">
        <v>1</v>
      </c>
    </row>
    <row r="3260" spans="6:8" x14ac:dyDescent="0.3">
      <c r="F3260" s="11">
        <v>-3.7188889999999999</v>
      </c>
      <c r="G3260" s="11">
        <v>54.871943999999999</v>
      </c>
      <c r="H3260" s="11">
        <v>1</v>
      </c>
    </row>
    <row r="3261" spans="6:8" x14ac:dyDescent="0.3">
      <c r="F3261" s="11">
        <v>-3.800278</v>
      </c>
      <c r="G3261" s="11">
        <v>54.863056</v>
      </c>
      <c r="H3261" s="11">
        <v>1</v>
      </c>
    </row>
    <row r="3262" spans="6:8" x14ac:dyDescent="0.3">
      <c r="F3262" s="11">
        <v>-3.8230559999999998</v>
      </c>
      <c r="G3262" s="11">
        <v>54.873610999999997</v>
      </c>
      <c r="H3262" s="11">
        <v>1</v>
      </c>
    </row>
    <row r="3263" spans="6:8" x14ac:dyDescent="0.3">
      <c r="F3263" s="11">
        <v>-3.8461110000000001</v>
      </c>
      <c r="G3263" s="11">
        <v>54.86</v>
      </c>
      <c r="H3263" s="11">
        <v>1</v>
      </c>
    </row>
    <row r="3264" spans="6:8" x14ac:dyDescent="0.3">
      <c r="F3264" s="11">
        <v>-3.824722</v>
      </c>
      <c r="G3264" s="11">
        <v>54.824444</v>
      </c>
      <c r="H3264" s="11">
        <v>1</v>
      </c>
    </row>
    <row r="3265" spans="6:8" x14ac:dyDescent="0.3">
      <c r="F3265" s="11">
        <v>-3.8933330000000002</v>
      </c>
      <c r="G3265" s="11">
        <v>54.797221999999998</v>
      </c>
      <c r="H3265" s="11">
        <v>1</v>
      </c>
    </row>
    <row r="3266" spans="6:8" x14ac:dyDescent="0.3">
      <c r="F3266" s="11">
        <v>-3.9591669999999999</v>
      </c>
      <c r="G3266" s="11">
        <v>54.766944000000002</v>
      </c>
      <c r="H3266" s="11">
        <v>1</v>
      </c>
    </row>
    <row r="3267" spans="6:8" x14ac:dyDescent="0.3">
      <c r="F3267" s="11">
        <v>-4.0513890000000004</v>
      </c>
      <c r="G3267" s="11">
        <v>54.772778000000002</v>
      </c>
      <c r="H3267" s="11">
        <v>1</v>
      </c>
    </row>
    <row r="3268" spans="6:8" x14ac:dyDescent="0.3">
      <c r="F3268" s="11">
        <v>-4.0455560000000004</v>
      </c>
      <c r="G3268" s="11">
        <v>54.830832999999998</v>
      </c>
      <c r="H3268" s="11">
        <v>1</v>
      </c>
    </row>
    <row r="3269" spans="6:8" x14ac:dyDescent="0.3">
      <c r="F3269" s="11">
        <v>-4.0836110000000003</v>
      </c>
      <c r="G3269" s="11">
        <v>54.789721999999998</v>
      </c>
      <c r="H3269" s="11">
        <v>1</v>
      </c>
    </row>
    <row r="3270" spans="6:8" x14ac:dyDescent="0.3">
      <c r="F3270" s="11">
        <v>-4.12</v>
      </c>
      <c r="G3270" s="11">
        <v>54.779167000000001</v>
      </c>
      <c r="H3270" s="11">
        <v>1</v>
      </c>
    </row>
    <row r="3271" spans="6:8" x14ac:dyDescent="0.3">
      <c r="F3271" s="11">
        <v>-4.1694440000000004</v>
      </c>
      <c r="G3271" s="11">
        <v>54.801943999999999</v>
      </c>
      <c r="H3271" s="11">
        <v>1</v>
      </c>
    </row>
    <row r="3272" spans="6:8" x14ac:dyDescent="0.3">
      <c r="F3272" s="11">
        <v>-4.2141669999999998</v>
      </c>
      <c r="G3272" s="11">
        <v>54.840277999999998</v>
      </c>
      <c r="H3272" s="11">
        <v>1</v>
      </c>
    </row>
    <row r="3273" spans="6:8" x14ac:dyDescent="0.3">
      <c r="F3273" s="11">
        <v>-4.2269439999999996</v>
      </c>
      <c r="G3273" s="11">
        <v>54.850278000000003</v>
      </c>
      <c r="H3273" s="11">
        <v>1</v>
      </c>
    </row>
    <row r="3274" spans="6:8" x14ac:dyDescent="0.3">
      <c r="F3274" s="11">
        <v>-4.3005560000000003</v>
      </c>
      <c r="G3274" s="11">
        <v>54.848332999999997</v>
      </c>
      <c r="H3274" s="11">
        <v>1</v>
      </c>
    </row>
    <row r="3275" spans="6:8" x14ac:dyDescent="0.3">
      <c r="F3275" s="11">
        <v>-4.3686109999999996</v>
      </c>
      <c r="G3275" s="11">
        <v>54.876389000000003</v>
      </c>
      <c r="H3275" s="11">
        <v>1</v>
      </c>
    </row>
    <row r="3276" spans="6:8" x14ac:dyDescent="0.3">
      <c r="F3276" s="11">
        <v>-4.3927779999999998</v>
      </c>
      <c r="G3276" s="11">
        <v>54.899166999999998</v>
      </c>
      <c r="H3276" s="11">
        <v>1</v>
      </c>
    </row>
    <row r="3277" spans="6:8" x14ac:dyDescent="0.3">
      <c r="F3277" s="11">
        <v>-4.4211109999999998</v>
      </c>
      <c r="G3277" s="11">
        <v>54.858055999999998</v>
      </c>
      <c r="H3277" s="11">
        <v>1</v>
      </c>
    </row>
    <row r="3278" spans="6:8" x14ac:dyDescent="0.3">
      <c r="F3278" s="11">
        <v>-4.3775000000000004</v>
      </c>
      <c r="G3278" s="11">
        <v>54.817500000000003</v>
      </c>
      <c r="H3278" s="11">
        <v>1</v>
      </c>
    </row>
    <row r="3279" spans="6:8" x14ac:dyDescent="0.3">
      <c r="F3279" s="11">
        <v>-4.3600000000000003</v>
      </c>
      <c r="G3279" s="11">
        <v>54.783889000000002</v>
      </c>
      <c r="H3279" s="11">
        <v>1</v>
      </c>
    </row>
    <row r="3280" spans="6:8" x14ac:dyDescent="0.3">
      <c r="F3280" s="11">
        <v>-4.361389</v>
      </c>
      <c r="G3280" s="11">
        <v>54.731110999999999</v>
      </c>
      <c r="H3280" s="11">
        <v>1</v>
      </c>
    </row>
    <row r="3281" spans="6:8" x14ac:dyDescent="0.3">
      <c r="F3281" s="11">
        <v>-4.3627779999999996</v>
      </c>
      <c r="G3281" s="11">
        <v>54.683332999999998</v>
      </c>
      <c r="H3281" s="11">
        <v>1</v>
      </c>
    </row>
    <row r="3282" spans="6:8" x14ac:dyDescent="0.3">
      <c r="H3282" s="11">
        <v>1</v>
      </c>
    </row>
    <row r="3283" spans="6:8" x14ac:dyDescent="0.3">
      <c r="F3283" s="11">
        <v>-4.45</v>
      </c>
      <c r="G3283" s="11">
        <v>54.694443999999997</v>
      </c>
      <c r="H3283" s="11">
        <v>1</v>
      </c>
    </row>
    <row r="3284" spans="6:8" x14ac:dyDescent="0.3">
      <c r="F3284" s="11">
        <v>-4.5294439999999998</v>
      </c>
      <c r="G3284" s="11">
        <v>54.719444000000003</v>
      </c>
      <c r="H3284" s="11">
        <v>1</v>
      </c>
    </row>
    <row r="3285" spans="6:8" x14ac:dyDescent="0.3">
      <c r="F3285" s="11">
        <v>-4.5755559999999997</v>
      </c>
      <c r="G3285" s="11">
        <v>54.760556000000001</v>
      </c>
      <c r="H3285" s="11">
        <v>1</v>
      </c>
    </row>
    <row r="3286" spans="6:8" x14ac:dyDescent="0.3">
      <c r="F3286" s="11">
        <v>-4.6422220000000003</v>
      </c>
      <c r="G3286" s="11">
        <v>54.788333000000002</v>
      </c>
      <c r="H3286" s="11">
        <v>1</v>
      </c>
    </row>
    <row r="3287" spans="6:8" x14ac:dyDescent="0.3">
      <c r="F3287" s="11">
        <v>-4.7116670000000003</v>
      </c>
      <c r="G3287" s="11">
        <v>54.818333000000003</v>
      </c>
      <c r="H3287" s="11">
        <v>1</v>
      </c>
    </row>
    <row r="3288" spans="6:8" x14ac:dyDescent="0.3">
      <c r="F3288" s="11">
        <v>-4.7925000000000004</v>
      </c>
      <c r="G3288" s="11">
        <v>54.841667000000001</v>
      </c>
      <c r="H3288" s="11">
        <v>1</v>
      </c>
    </row>
    <row r="3289" spans="6:8" x14ac:dyDescent="0.3">
      <c r="F3289" s="11">
        <v>-4.8530559999999996</v>
      </c>
      <c r="G3289" s="11">
        <v>54.852221999999998</v>
      </c>
      <c r="H3289" s="11">
        <v>1</v>
      </c>
    </row>
    <row r="3290" spans="6:8" x14ac:dyDescent="0.3">
      <c r="F3290" s="11">
        <v>-4.9291669999999996</v>
      </c>
      <c r="G3290" s="11">
        <v>54.828888999999997</v>
      </c>
      <c r="H3290" s="11">
        <v>1</v>
      </c>
    </row>
    <row r="3291" spans="6:8" x14ac:dyDescent="0.3">
      <c r="F3291" s="11">
        <v>-4.9519440000000001</v>
      </c>
      <c r="G3291" s="11">
        <v>54.79</v>
      </c>
      <c r="H3291" s="11">
        <v>1</v>
      </c>
    </row>
    <row r="3292" spans="6:8" x14ac:dyDescent="0.3">
      <c r="F3292" s="11">
        <v>-4.9255560000000003</v>
      </c>
      <c r="G3292" s="11">
        <v>54.741943999999997</v>
      </c>
      <c r="H3292" s="11">
        <v>1</v>
      </c>
    </row>
    <row r="3293" spans="6:8" x14ac:dyDescent="0.3">
      <c r="F3293" s="11">
        <v>-4.8913890000000002</v>
      </c>
      <c r="G3293" s="11">
        <v>54.695</v>
      </c>
      <c r="H3293" s="11">
        <v>1</v>
      </c>
    </row>
    <row r="3294" spans="6:8" x14ac:dyDescent="0.3">
      <c r="F3294" s="11">
        <v>-4.880833</v>
      </c>
      <c r="G3294" s="11">
        <v>54.647778000000002</v>
      </c>
      <c r="H3294" s="11">
        <v>1</v>
      </c>
    </row>
    <row r="3295" spans="6:8" x14ac:dyDescent="0.3">
      <c r="F3295" s="11">
        <v>-4.8961110000000003</v>
      </c>
      <c r="G3295" s="11">
        <v>54.634999999999998</v>
      </c>
      <c r="H3295" s="11">
        <v>1</v>
      </c>
    </row>
    <row r="3296" spans="6:8" x14ac:dyDescent="0.3">
      <c r="F3296" s="11">
        <v>-4.9563889999999997</v>
      </c>
      <c r="G3296" s="11">
        <v>54.668332999999997</v>
      </c>
      <c r="H3296" s="11">
        <v>1</v>
      </c>
    </row>
    <row r="3297" spans="6:8" x14ac:dyDescent="0.3">
      <c r="F3297" s="11">
        <v>-4.9586110000000003</v>
      </c>
      <c r="G3297" s="11">
        <v>54.716388999999999</v>
      </c>
      <c r="H3297" s="11">
        <v>1</v>
      </c>
    </row>
    <row r="3298" spans="6:8" x14ac:dyDescent="0.3">
      <c r="F3298" s="11">
        <v>-5.003889</v>
      </c>
      <c r="G3298" s="11">
        <v>54.755277999999997</v>
      </c>
      <c r="H3298" s="11">
        <v>1</v>
      </c>
    </row>
    <row r="3299" spans="6:8" x14ac:dyDescent="0.3">
      <c r="F3299" s="11">
        <v>-5.0511109999999997</v>
      </c>
      <c r="G3299" s="11">
        <v>54.792499999999997</v>
      </c>
      <c r="H3299" s="11">
        <v>1</v>
      </c>
    </row>
    <row r="3300" spans="6:8" x14ac:dyDescent="0.3">
      <c r="F3300" s="11">
        <v>-5.111389</v>
      </c>
      <c r="G3300" s="11">
        <v>54.826667</v>
      </c>
      <c r="H3300" s="11">
        <v>1</v>
      </c>
    </row>
    <row r="3301" spans="6:8" x14ac:dyDescent="0.3">
      <c r="F3301" s="11">
        <v>-5.1477779999999997</v>
      </c>
      <c r="G3301" s="11">
        <v>54.872500000000002</v>
      </c>
      <c r="H3301" s="11">
        <v>1</v>
      </c>
    </row>
    <row r="3302" spans="6:8" x14ac:dyDescent="0.3">
      <c r="F3302" s="11">
        <v>-5.1844440000000001</v>
      </c>
      <c r="G3302" s="11">
        <v>54.917499999999997</v>
      </c>
      <c r="H3302" s="11">
        <v>1</v>
      </c>
    </row>
    <row r="3303" spans="6:8" x14ac:dyDescent="0.3">
      <c r="F3303" s="11">
        <v>-5.18</v>
      </c>
      <c r="G3303" s="11">
        <v>54.976666999999999</v>
      </c>
      <c r="H3303" s="11">
        <v>1</v>
      </c>
    </row>
    <row r="3304" spans="6:8" x14ac:dyDescent="0.3">
      <c r="F3304" s="11">
        <v>-5.1238890000000001</v>
      </c>
      <c r="G3304" s="11">
        <v>55.009721999999996</v>
      </c>
      <c r="H3304" s="11">
        <v>1</v>
      </c>
    </row>
    <row r="3305" spans="6:8" x14ac:dyDescent="0.3">
      <c r="F3305" s="11">
        <v>-5.0655559999999999</v>
      </c>
      <c r="G3305" s="11">
        <v>54.977499999999999</v>
      </c>
      <c r="H3305" s="11">
        <v>1</v>
      </c>
    </row>
    <row r="3306" spans="6:8" x14ac:dyDescent="0.3">
      <c r="F3306" s="11">
        <v>-5.0613890000000001</v>
      </c>
      <c r="G3306" s="11">
        <v>54.923611000000001</v>
      </c>
      <c r="H3306" s="11">
        <v>1</v>
      </c>
    </row>
    <row r="3307" spans="6:8" x14ac:dyDescent="0.3">
      <c r="F3307" s="11">
        <v>-4.9897220000000004</v>
      </c>
      <c r="G3307" s="11">
        <v>54.903888999999999</v>
      </c>
      <c r="H3307" s="11">
        <v>1</v>
      </c>
    </row>
    <row r="3308" spans="6:8" x14ac:dyDescent="0.3">
      <c r="F3308" s="11">
        <v>-5.019444</v>
      </c>
      <c r="G3308" s="11">
        <v>54.947221999999996</v>
      </c>
      <c r="H3308" s="11">
        <v>1</v>
      </c>
    </row>
    <row r="3309" spans="6:8" x14ac:dyDescent="0.3">
      <c r="F3309" s="11">
        <v>-5.0508329999999999</v>
      </c>
      <c r="G3309" s="11">
        <v>54.994722000000003</v>
      </c>
      <c r="H3309" s="11">
        <v>1</v>
      </c>
    </row>
    <row r="3310" spans="6:8" x14ac:dyDescent="0.3">
      <c r="F3310" s="11">
        <v>-5.0558329999999998</v>
      </c>
      <c r="G3310" s="11">
        <v>55.047221999999998</v>
      </c>
      <c r="H3310" s="11">
        <v>1</v>
      </c>
    </row>
    <row r="3311" spans="6:8" x14ac:dyDescent="0.3">
      <c r="F3311" s="11">
        <v>-5.0188889999999997</v>
      </c>
      <c r="G3311" s="11">
        <v>55.097499999999997</v>
      </c>
      <c r="H3311" s="11">
        <v>1</v>
      </c>
    </row>
    <row r="3312" spans="6:8" x14ac:dyDescent="0.3">
      <c r="F3312" s="11">
        <v>-4.9847219999999997</v>
      </c>
      <c r="G3312" s="11">
        <v>55.147500000000001</v>
      </c>
      <c r="H3312" s="11">
        <v>1</v>
      </c>
    </row>
    <row r="3313" spans="6:8" x14ac:dyDescent="0.3">
      <c r="F3313" s="11">
        <v>-4.9263890000000004</v>
      </c>
      <c r="G3313" s="11">
        <v>55.183332999999998</v>
      </c>
      <c r="H3313" s="11">
        <v>1</v>
      </c>
    </row>
    <row r="3314" spans="6:8" x14ac:dyDescent="0.3">
      <c r="F3314" s="11">
        <v>-4.8683329999999998</v>
      </c>
      <c r="G3314" s="11">
        <v>55.219444000000003</v>
      </c>
      <c r="H3314" s="11">
        <v>1</v>
      </c>
    </row>
    <row r="3315" spans="6:8" x14ac:dyDescent="0.3">
      <c r="F3315" s="11">
        <v>-4.8413890000000004</v>
      </c>
      <c r="G3315" s="11">
        <v>55.275556000000002</v>
      </c>
      <c r="H3315" s="11">
        <v>1</v>
      </c>
    </row>
    <row r="3316" spans="6:8" x14ac:dyDescent="0.3">
      <c r="F3316" s="11">
        <v>-4.8208330000000004</v>
      </c>
      <c r="G3316" s="11">
        <v>55.328888999999997</v>
      </c>
      <c r="H3316" s="11">
        <v>1</v>
      </c>
    </row>
    <row r="3317" spans="6:8" x14ac:dyDescent="0.3">
      <c r="F3317" s="11">
        <v>-4.7725</v>
      </c>
      <c r="G3317" s="11">
        <v>55.369444000000001</v>
      </c>
      <c r="H3317" s="11">
        <v>1</v>
      </c>
    </row>
    <row r="3318" spans="6:8" x14ac:dyDescent="0.3">
      <c r="F3318" s="11">
        <v>-4.733333</v>
      </c>
      <c r="G3318" s="11">
        <v>55.418610999999999</v>
      </c>
      <c r="H3318" s="11">
        <v>1</v>
      </c>
    </row>
    <row r="3319" spans="6:8" x14ac:dyDescent="0.3">
      <c r="F3319" s="11">
        <v>-4.6508330000000004</v>
      </c>
      <c r="G3319" s="11">
        <v>55.438333</v>
      </c>
      <c r="H3319" s="11">
        <v>1</v>
      </c>
    </row>
    <row r="3320" spans="6:8" x14ac:dyDescent="0.3">
      <c r="F3320" s="11">
        <v>-4.6138890000000004</v>
      </c>
      <c r="G3320" s="11">
        <v>55.486944000000001</v>
      </c>
      <c r="H3320" s="11">
        <v>1</v>
      </c>
    </row>
    <row r="3321" spans="6:8" x14ac:dyDescent="0.3">
      <c r="F3321" s="11">
        <v>-4.6461110000000003</v>
      </c>
      <c r="G3321" s="11">
        <v>55.534999999999997</v>
      </c>
      <c r="H3321" s="11">
        <v>1</v>
      </c>
    </row>
    <row r="3322" spans="6:8" x14ac:dyDescent="0.3">
      <c r="F3322" s="11">
        <v>-4.6622219999999999</v>
      </c>
      <c r="G3322" s="11">
        <v>55.565277999999999</v>
      </c>
      <c r="H3322" s="11">
        <v>1</v>
      </c>
    </row>
    <row r="3323" spans="6:8" x14ac:dyDescent="0.3">
      <c r="F3323" s="11">
        <v>-4.7030560000000001</v>
      </c>
      <c r="G3323" s="11">
        <v>55.609444000000003</v>
      </c>
      <c r="H3323" s="11">
        <v>1</v>
      </c>
    </row>
    <row r="3324" spans="6:8" x14ac:dyDescent="0.3">
      <c r="F3324" s="11">
        <v>-4.7911109999999999</v>
      </c>
      <c r="G3324" s="11">
        <v>55.629443999999999</v>
      </c>
      <c r="H3324" s="11">
        <v>1</v>
      </c>
    </row>
    <row r="3325" spans="6:8" x14ac:dyDescent="0.3">
      <c r="F3325" s="11">
        <v>-4.8363889999999996</v>
      </c>
      <c r="G3325" s="11">
        <v>55.663055999999997</v>
      </c>
      <c r="H3325" s="11">
        <v>1</v>
      </c>
    </row>
    <row r="3326" spans="6:8" x14ac:dyDescent="0.3">
      <c r="F3326" s="11">
        <v>-4.9083329999999998</v>
      </c>
      <c r="G3326" s="11">
        <v>55.692222000000001</v>
      </c>
      <c r="H3326" s="11">
        <v>1</v>
      </c>
    </row>
    <row r="3327" spans="6:8" x14ac:dyDescent="0.3">
      <c r="F3327" s="11">
        <v>-4.8738890000000001</v>
      </c>
      <c r="G3327" s="11">
        <v>55.731389</v>
      </c>
      <c r="H3327" s="11">
        <v>1</v>
      </c>
    </row>
    <row r="3328" spans="6:8" x14ac:dyDescent="0.3">
      <c r="F3328" s="11">
        <v>-4.8783329999999996</v>
      </c>
      <c r="G3328" s="11">
        <v>55.78</v>
      </c>
      <c r="H3328" s="11">
        <v>1</v>
      </c>
    </row>
    <row r="3329" spans="6:8" x14ac:dyDescent="0.3">
      <c r="F3329" s="11">
        <v>-4.9022220000000001</v>
      </c>
      <c r="G3329" s="11">
        <v>55.832222000000002</v>
      </c>
      <c r="H3329" s="11">
        <v>1</v>
      </c>
    </row>
    <row r="3330" spans="6:8" x14ac:dyDescent="0.3">
      <c r="F3330" s="11">
        <v>-4.9058330000000003</v>
      </c>
      <c r="G3330" s="11">
        <v>55.888888999999999</v>
      </c>
      <c r="H3330" s="11">
        <v>1</v>
      </c>
    </row>
    <row r="3331" spans="6:8" x14ac:dyDescent="0.3">
      <c r="F3331" s="11">
        <v>-4.8819439999999998</v>
      </c>
      <c r="G3331" s="11">
        <v>55.933056000000001</v>
      </c>
      <c r="H3331" s="11">
        <v>1</v>
      </c>
    </row>
    <row r="3332" spans="6:8" x14ac:dyDescent="0.3">
      <c r="F3332" s="11">
        <v>-4.8044440000000002</v>
      </c>
      <c r="G3332" s="11">
        <v>55.954999999999998</v>
      </c>
      <c r="H3332" s="11">
        <v>1</v>
      </c>
    </row>
    <row r="3333" spans="6:8" x14ac:dyDescent="0.3">
      <c r="F3333" s="11">
        <v>-4.7213890000000003</v>
      </c>
      <c r="G3333" s="11">
        <v>55.940832999999998</v>
      </c>
      <c r="H3333" s="11">
        <v>1</v>
      </c>
    </row>
    <row r="3334" spans="6:8" x14ac:dyDescent="0.3">
      <c r="F3334" s="11">
        <v>-4.6263889999999996</v>
      </c>
      <c r="G3334" s="11">
        <v>55.928610999999997</v>
      </c>
      <c r="H3334" s="11">
        <v>1</v>
      </c>
    </row>
    <row r="3335" spans="6:8" x14ac:dyDescent="0.3">
      <c r="F3335" s="11">
        <v>-4.523333</v>
      </c>
      <c r="G3335" s="11">
        <v>55.921944000000003</v>
      </c>
      <c r="H3335" s="11">
        <v>1</v>
      </c>
    </row>
    <row r="3336" spans="6:8" x14ac:dyDescent="0.3">
      <c r="F3336" s="11">
        <v>-4.5599999999999996</v>
      </c>
      <c r="G3336" s="11">
        <v>55.934443999999999</v>
      </c>
      <c r="H3336" s="11">
        <v>1</v>
      </c>
    </row>
    <row r="3337" spans="6:8" x14ac:dyDescent="0.3">
      <c r="F3337" s="11">
        <v>-4.6544439999999998</v>
      </c>
      <c r="G3337" s="11">
        <v>55.953611000000002</v>
      </c>
      <c r="H3337" s="11">
        <v>1</v>
      </c>
    </row>
    <row r="3338" spans="6:8" x14ac:dyDescent="0.3">
      <c r="F3338" s="11">
        <v>-4.7127780000000001</v>
      </c>
      <c r="G3338" s="11">
        <v>55.989443999999999</v>
      </c>
      <c r="H3338" s="11">
        <v>1</v>
      </c>
    </row>
    <row r="3339" spans="6:8" x14ac:dyDescent="0.3">
      <c r="F3339" s="11">
        <v>-4.7833329999999998</v>
      </c>
      <c r="G3339" s="11">
        <v>56.019722000000002</v>
      </c>
      <c r="H3339" s="11">
        <v>1</v>
      </c>
    </row>
    <row r="3340" spans="6:8" x14ac:dyDescent="0.3">
      <c r="F3340" s="11">
        <v>-4.8286110000000004</v>
      </c>
      <c r="G3340" s="11">
        <v>56.061943999999997</v>
      </c>
      <c r="H3340" s="11">
        <v>1</v>
      </c>
    </row>
    <row r="3341" spans="6:8" x14ac:dyDescent="0.3">
      <c r="F3341" s="11">
        <v>-4.8152780000000002</v>
      </c>
      <c r="G3341" s="11">
        <v>56.016666999999998</v>
      </c>
      <c r="H3341" s="11">
        <v>1</v>
      </c>
    </row>
    <row r="3342" spans="6:8" x14ac:dyDescent="0.3">
      <c r="F3342" s="11">
        <v>-4.7711110000000003</v>
      </c>
      <c r="G3342" s="11">
        <v>55.98</v>
      </c>
      <c r="H3342" s="11">
        <v>1</v>
      </c>
    </row>
    <row r="3343" spans="6:8" x14ac:dyDescent="0.3">
      <c r="F3343" s="11">
        <v>-4.8527779999999998</v>
      </c>
      <c r="G3343" s="11">
        <v>55.992221999999998</v>
      </c>
      <c r="H3343" s="11">
        <v>1</v>
      </c>
    </row>
    <row r="3344" spans="6:8" x14ac:dyDescent="0.3">
      <c r="F3344" s="11">
        <v>-4.8819439999999998</v>
      </c>
      <c r="G3344" s="11">
        <v>56.041944000000001</v>
      </c>
      <c r="H3344" s="11">
        <v>1</v>
      </c>
    </row>
    <row r="3345" spans="6:8" x14ac:dyDescent="0.3">
      <c r="F3345" s="11">
        <v>-4.8508329999999997</v>
      </c>
      <c r="G3345" s="11">
        <v>56.093611000000003</v>
      </c>
      <c r="H3345" s="11">
        <v>1</v>
      </c>
    </row>
    <row r="3346" spans="6:8" x14ac:dyDescent="0.3">
      <c r="F3346" s="11">
        <v>-4.8458329999999998</v>
      </c>
      <c r="G3346" s="11">
        <v>56.109166999999999</v>
      </c>
      <c r="H3346" s="11">
        <v>1</v>
      </c>
    </row>
    <row r="3347" spans="6:8" x14ac:dyDescent="0.3">
      <c r="F3347" s="11">
        <v>-4.8911110000000004</v>
      </c>
      <c r="G3347" s="11">
        <v>56.115833000000002</v>
      </c>
      <c r="H3347" s="11">
        <v>1</v>
      </c>
    </row>
    <row r="3348" spans="6:8" x14ac:dyDescent="0.3">
      <c r="F3348" s="11">
        <v>-4.9083329999999998</v>
      </c>
      <c r="G3348" s="11">
        <v>56.130555999999999</v>
      </c>
      <c r="H3348" s="11">
        <v>1</v>
      </c>
    </row>
    <row r="3349" spans="6:8" x14ac:dyDescent="0.3">
      <c r="F3349" s="11">
        <v>-4.8863890000000003</v>
      </c>
      <c r="G3349" s="11">
        <v>56.081111</v>
      </c>
      <c r="H3349" s="11">
        <v>1</v>
      </c>
    </row>
    <row r="3350" spans="6:8" x14ac:dyDescent="0.3">
      <c r="F3350" s="11">
        <v>-4.8972220000000002</v>
      </c>
      <c r="G3350" s="11">
        <v>56.023888999999997</v>
      </c>
      <c r="H3350" s="11">
        <v>1</v>
      </c>
    </row>
    <row r="3351" spans="6:8" x14ac:dyDescent="0.3">
      <c r="F3351" s="11">
        <v>-4.9266670000000001</v>
      </c>
      <c r="G3351" s="11">
        <v>55.986389000000003</v>
      </c>
      <c r="H3351" s="11">
        <v>1</v>
      </c>
    </row>
    <row r="3352" spans="6:8" x14ac:dyDescent="0.3">
      <c r="F3352" s="11">
        <v>-4.9186110000000003</v>
      </c>
      <c r="G3352" s="11">
        <v>55.947778</v>
      </c>
      <c r="H3352" s="11">
        <v>1</v>
      </c>
    </row>
    <row r="3353" spans="6:8" x14ac:dyDescent="0.3">
      <c r="F3353" s="11">
        <v>-4.9538890000000002</v>
      </c>
      <c r="G3353" s="11">
        <v>55.895833000000003</v>
      </c>
      <c r="H3353" s="11">
        <v>1</v>
      </c>
    </row>
    <row r="3354" spans="6:8" x14ac:dyDescent="0.3">
      <c r="F3354" s="11">
        <v>-4.9980560000000001</v>
      </c>
      <c r="G3354" s="11">
        <v>55.853611000000001</v>
      </c>
      <c r="H3354" s="11">
        <v>1</v>
      </c>
    </row>
    <row r="3355" spans="6:8" x14ac:dyDescent="0.3">
      <c r="F3355" s="11">
        <v>-5.0541669999999996</v>
      </c>
      <c r="G3355" s="11">
        <v>55.888055999999999</v>
      </c>
      <c r="H3355" s="11">
        <v>1</v>
      </c>
    </row>
    <row r="3356" spans="6:8" x14ac:dyDescent="0.3">
      <c r="F3356" s="11">
        <v>-5.0655559999999999</v>
      </c>
      <c r="G3356" s="11">
        <v>55.942777999999997</v>
      </c>
      <c r="H3356" s="11">
        <v>1</v>
      </c>
    </row>
    <row r="3357" spans="6:8" x14ac:dyDescent="0.3">
      <c r="F3357" s="11">
        <v>-5.0980559999999997</v>
      </c>
      <c r="G3357" s="11">
        <v>55.949444</v>
      </c>
      <c r="H3357" s="11">
        <v>1</v>
      </c>
    </row>
    <row r="3358" spans="6:8" x14ac:dyDescent="0.3">
      <c r="F3358" s="11">
        <v>-5.0827780000000002</v>
      </c>
      <c r="G3358" s="11">
        <v>55.899166999999998</v>
      </c>
      <c r="H3358" s="11">
        <v>1</v>
      </c>
    </row>
    <row r="3359" spans="6:8" x14ac:dyDescent="0.3">
      <c r="F3359" s="11">
        <v>-5.1616669999999996</v>
      </c>
      <c r="G3359" s="11">
        <v>55.924444000000001</v>
      </c>
      <c r="H3359" s="11">
        <v>1</v>
      </c>
    </row>
    <row r="3360" spans="6:8" x14ac:dyDescent="0.3">
      <c r="F3360" s="11">
        <v>-5.1936109999999998</v>
      </c>
      <c r="G3360" s="11">
        <v>55.963611</v>
      </c>
      <c r="H3360" s="11">
        <v>1</v>
      </c>
    </row>
    <row r="3361" spans="6:8" x14ac:dyDescent="0.3">
      <c r="F3361" s="11">
        <v>-5.2213890000000003</v>
      </c>
      <c r="G3361" s="11">
        <v>55.913888999999998</v>
      </c>
      <c r="H3361" s="11">
        <v>1</v>
      </c>
    </row>
    <row r="3362" spans="6:8" x14ac:dyDescent="0.3">
      <c r="F3362" s="11">
        <v>-5.23</v>
      </c>
      <c r="G3362" s="11">
        <v>55.866388999999998</v>
      </c>
      <c r="H3362" s="11">
        <v>1</v>
      </c>
    </row>
    <row r="3363" spans="6:8" x14ac:dyDescent="0.3">
      <c r="F3363" s="11">
        <v>-5.2188889999999999</v>
      </c>
      <c r="G3363" s="11">
        <v>55.826110999999997</v>
      </c>
      <c r="H3363" s="11">
        <v>1</v>
      </c>
    </row>
    <row r="3364" spans="6:8" x14ac:dyDescent="0.3">
      <c r="F3364" s="11">
        <v>-5.298889</v>
      </c>
      <c r="G3364" s="11">
        <v>55.848889</v>
      </c>
      <c r="H3364" s="11">
        <v>1</v>
      </c>
    </row>
    <row r="3365" spans="6:8" x14ac:dyDescent="0.3">
      <c r="F3365" s="11">
        <v>-5.3508329999999997</v>
      </c>
      <c r="G3365" s="11">
        <v>55.886111</v>
      </c>
      <c r="H3365" s="11">
        <v>1</v>
      </c>
    </row>
    <row r="3366" spans="6:8" x14ac:dyDescent="0.3">
      <c r="F3366" s="11">
        <v>-5.3449999999999998</v>
      </c>
      <c r="G3366" s="11">
        <v>55.944167</v>
      </c>
      <c r="H3366" s="11">
        <v>1</v>
      </c>
    </row>
    <row r="3367" spans="6:8" x14ac:dyDescent="0.3">
      <c r="F3367" s="11">
        <v>-5.3438889999999999</v>
      </c>
      <c r="G3367" s="11">
        <v>55.9925</v>
      </c>
      <c r="H3367" s="11">
        <v>1</v>
      </c>
    </row>
    <row r="3368" spans="6:8" x14ac:dyDescent="0.3">
      <c r="F3368" s="11">
        <v>-5.3069439999999997</v>
      </c>
      <c r="G3368" s="11">
        <v>56.043056</v>
      </c>
      <c r="H3368" s="11">
        <v>1</v>
      </c>
    </row>
    <row r="3369" spans="6:8" x14ac:dyDescent="0.3">
      <c r="F3369" s="11">
        <v>-5.2472219999999998</v>
      </c>
      <c r="G3369" s="11">
        <v>56.078888999999997</v>
      </c>
      <c r="H3369" s="11">
        <v>1</v>
      </c>
    </row>
    <row r="3370" spans="6:8" x14ac:dyDescent="0.3">
      <c r="F3370" s="11">
        <v>-5.1988890000000003</v>
      </c>
      <c r="G3370" s="11">
        <v>56.122222000000001</v>
      </c>
      <c r="H3370" s="11">
        <v>1</v>
      </c>
    </row>
    <row r="3371" spans="6:8" x14ac:dyDescent="0.3">
      <c r="F3371" s="11">
        <v>-5.1188890000000002</v>
      </c>
      <c r="G3371" s="11">
        <v>56.144722000000002</v>
      </c>
      <c r="H3371" s="11">
        <v>1</v>
      </c>
    </row>
    <row r="3372" spans="6:8" x14ac:dyDescent="0.3">
      <c r="F3372" s="11">
        <v>-5.0738890000000003</v>
      </c>
      <c r="G3372" s="11">
        <v>56.185555999999998</v>
      </c>
      <c r="H3372" s="11">
        <v>1</v>
      </c>
    </row>
    <row r="3373" spans="6:8" x14ac:dyDescent="0.3">
      <c r="F3373" s="11">
        <v>-5.0102779999999996</v>
      </c>
      <c r="G3373" s="11">
        <v>56.219444000000003</v>
      </c>
      <c r="H3373" s="11">
        <v>1</v>
      </c>
    </row>
    <row r="3374" spans="6:8" x14ac:dyDescent="0.3">
      <c r="F3374" s="11">
        <v>-4.9397219999999997</v>
      </c>
      <c r="G3374" s="11">
        <v>56.248055999999998</v>
      </c>
      <c r="H3374" s="11">
        <v>1</v>
      </c>
    </row>
    <row r="3375" spans="6:8" x14ac:dyDescent="0.3">
      <c r="F3375" s="11">
        <v>-4.9838889999999996</v>
      </c>
      <c r="G3375" s="11">
        <v>56.246110999999999</v>
      </c>
      <c r="H3375" s="11">
        <v>1</v>
      </c>
    </row>
    <row r="3376" spans="6:8" x14ac:dyDescent="0.3">
      <c r="F3376" s="11">
        <v>-5.0655559999999999</v>
      </c>
      <c r="G3376" s="11">
        <v>56.231110999999999</v>
      </c>
      <c r="H3376" s="11">
        <v>1</v>
      </c>
    </row>
    <row r="3377" spans="6:8" x14ac:dyDescent="0.3">
      <c r="F3377" s="11">
        <v>-5.1005560000000001</v>
      </c>
      <c r="G3377" s="11">
        <v>56.179167</v>
      </c>
      <c r="H3377" s="11">
        <v>1</v>
      </c>
    </row>
    <row r="3378" spans="6:8" x14ac:dyDescent="0.3">
      <c r="F3378" s="11">
        <v>-5.170833</v>
      </c>
      <c r="G3378" s="11">
        <v>56.149721999999997</v>
      </c>
      <c r="H3378" s="11">
        <v>1</v>
      </c>
    </row>
    <row r="3379" spans="6:8" x14ac:dyDescent="0.3">
      <c r="F3379" s="11">
        <v>-5.2388890000000004</v>
      </c>
      <c r="G3379" s="11">
        <v>56.119444000000001</v>
      </c>
      <c r="H3379" s="11">
        <v>1</v>
      </c>
    </row>
    <row r="3380" spans="6:8" x14ac:dyDescent="0.3">
      <c r="F3380" s="11">
        <v>-5.2933329999999996</v>
      </c>
      <c r="G3380" s="11">
        <v>56.08</v>
      </c>
      <c r="H3380" s="11">
        <v>1</v>
      </c>
    </row>
    <row r="3381" spans="6:8" x14ac:dyDescent="0.3">
      <c r="F3381" s="11">
        <v>-5.3436110000000001</v>
      </c>
      <c r="G3381" s="11">
        <v>56.038333000000002</v>
      </c>
      <c r="H3381" s="11">
        <v>1</v>
      </c>
    </row>
    <row r="3382" spans="6:8" x14ac:dyDescent="0.3">
      <c r="F3382" s="11">
        <v>-5.3977779999999997</v>
      </c>
      <c r="G3382" s="11">
        <v>56</v>
      </c>
      <c r="H3382" s="11">
        <v>1</v>
      </c>
    </row>
    <row r="3383" spans="6:8" x14ac:dyDescent="0.3">
      <c r="F3383" s="11">
        <v>-5.450278</v>
      </c>
      <c r="G3383" s="11">
        <v>56.011389000000001</v>
      </c>
      <c r="H3383" s="11">
        <v>1</v>
      </c>
    </row>
    <row r="3384" spans="6:8" x14ac:dyDescent="0.3">
      <c r="F3384" s="11">
        <v>-5.4524999999999997</v>
      </c>
      <c r="G3384" s="11">
        <v>55.954999999999998</v>
      </c>
      <c r="H3384" s="11">
        <v>1</v>
      </c>
    </row>
    <row r="3385" spans="6:8" x14ac:dyDescent="0.3">
      <c r="F3385" s="11">
        <v>-5.4188890000000001</v>
      </c>
      <c r="G3385" s="11">
        <v>55.907221999999997</v>
      </c>
      <c r="H3385" s="11">
        <v>1</v>
      </c>
    </row>
    <row r="3386" spans="6:8" x14ac:dyDescent="0.3">
      <c r="F3386" s="11">
        <v>-5.4030560000000003</v>
      </c>
      <c r="G3386" s="11">
        <v>55.862777999999999</v>
      </c>
      <c r="H3386" s="11">
        <v>1</v>
      </c>
    </row>
    <row r="3387" spans="6:8" x14ac:dyDescent="0.3">
      <c r="F3387" s="11">
        <v>-5.3505560000000001</v>
      </c>
      <c r="G3387" s="11">
        <v>55.825277999999997</v>
      </c>
      <c r="H3387" s="11">
        <v>1</v>
      </c>
    </row>
    <row r="3388" spans="6:8" x14ac:dyDescent="0.3">
      <c r="F3388" s="11">
        <v>-5.3172220000000001</v>
      </c>
      <c r="G3388" s="11">
        <v>55.779167000000001</v>
      </c>
      <c r="H3388" s="11">
        <v>1</v>
      </c>
    </row>
    <row r="3389" spans="6:8" x14ac:dyDescent="0.3">
      <c r="F3389" s="11">
        <v>-5.3836110000000001</v>
      </c>
      <c r="G3389" s="11">
        <v>55.748055999999998</v>
      </c>
      <c r="H3389" s="11">
        <v>1</v>
      </c>
    </row>
    <row r="3390" spans="6:8" x14ac:dyDescent="0.3">
      <c r="F3390" s="11">
        <v>-5.4408329999999996</v>
      </c>
      <c r="G3390" s="11">
        <v>55.711388999999997</v>
      </c>
      <c r="H3390" s="11">
        <v>1</v>
      </c>
    </row>
    <row r="3391" spans="6:8" x14ac:dyDescent="0.3">
      <c r="F3391" s="11">
        <v>-5.4716670000000001</v>
      </c>
      <c r="G3391" s="11">
        <v>55.660832999999997</v>
      </c>
      <c r="H3391" s="11">
        <v>1</v>
      </c>
    </row>
    <row r="3392" spans="6:8" x14ac:dyDescent="0.3">
      <c r="F3392" s="11">
        <v>-5.4908330000000003</v>
      </c>
      <c r="G3392" s="11">
        <v>55.610556000000003</v>
      </c>
      <c r="H3392" s="11">
        <v>1</v>
      </c>
    </row>
    <row r="3393" spans="6:8" x14ac:dyDescent="0.3">
      <c r="F3393" s="11">
        <v>-5.4716670000000001</v>
      </c>
      <c r="G3393" s="11">
        <v>55.572499999999998</v>
      </c>
      <c r="H3393" s="11">
        <v>1</v>
      </c>
    </row>
    <row r="3394" spans="6:8" x14ac:dyDescent="0.3">
      <c r="F3394" s="11">
        <v>-5.496111</v>
      </c>
      <c r="G3394" s="11">
        <v>55.524999999999999</v>
      </c>
      <c r="H3394" s="11">
        <v>1</v>
      </c>
    </row>
    <row r="3395" spans="6:8" x14ac:dyDescent="0.3">
      <c r="F3395" s="11">
        <v>-5.5272220000000001</v>
      </c>
      <c r="G3395" s="11">
        <v>55.476944000000003</v>
      </c>
      <c r="H3395" s="11">
        <v>1</v>
      </c>
    </row>
    <row r="3396" spans="6:8" x14ac:dyDescent="0.3">
      <c r="F3396" s="11">
        <v>-5.5647219999999997</v>
      </c>
      <c r="G3396" s="11">
        <v>55.428055999999998</v>
      </c>
      <c r="H3396" s="11">
        <v>1</v>
      </c>
    </row>
    <row r="3397" spans="6:8" x14ac:dyDescent="0.3">
      <c r="F3397" s="11">
        <v>-5.539167</v>
      </c>
      <c r="G3397" s="11">
        <v>55.401111</v>
      </c>
      <c r="H3397" s="11">
        <v>1</v>
      </c>
    </row>
    <row r="3398" spans="6:8" x14ac:dyDescent="0.3">
      <c r="F3398" s="11">
        <v>-5.5230560000000004</v>
      </c>
      <c r="G3398" s="11">
        <v>55.352778000000001</v>
      </c>
      <c r="H3398" s="11">
        <v>1</v>
      </c>
    </row>
    <row r="3399" spans="6:8" x14ac:dyDescent="0.3">
      <c r="F3399" s="11">
        <v>-5.5774999999999997</v>
      </c>
      <c r="G3399" s="11">
        <v>55.314166999999998</v>
      </c>
      <c r="H3399" s="11">
        <v>1</v>
      </c>
    </row>
    <row r="3400" spans="6:8" x14ac:dyDescent="0.3">
      <c r="F3400" s="11">
        <v>-5.6683329999999996</v>
      </c>
      <c r="G3400" s="11">
        <v>55.300832999999997</v>
      </c>
      <c r="H3400" s="11">
        <v>1</v>
      </c>
    </row>
    <row r="3401" spans="6:8" x14ac:dyDescent="0.3">
      <c r="F3401" s="11">
        <v>-5.7541669999999998</v>
      </c>
      <c r="G3401" s="11">
        <v>55.284166999999997</v>
      </c>
      <c r="H3401" s="11">
        <v>1</v>
      </c>
    </row>
    <row r="3402" spans="6:8" x14ac:dyDescent="0.3">
      <c r="F3402" s="11">
        <v>-5.8213889999999999</v>
      </c>
      <c r="G3402" s="11">
        <v>55.314722000000003</v>
      </c>
      <c r="H3402" s="11">
        <v>1</v>
      </c>
    </row>
    <row r="3403" spans="6:8" x14ac:dyDescent="0.3">
      <c r="F3403" s="11">
        <v>-5.808611</v>
      </c>
      <c r="G3403" s="11">
        <v>55.368611000000001</v>
      </c>
      <c r="H3403" s="11">
        <v>1</v>
      </c>
    </row>
    <row r="3404" spans="6:8" x14ac:dyDescent="0.3">
      <c r="F3404" s="11">
        <v>-5.7686109999999999</v>
      </c>
      <c r="G3404" s="11">
        <v>55.413888999999998</v>
      </c>
      <c r="H3404" s="11">
        <v>1</v>
      </c>
    </row>
    <row r="3405" spans="6:8" x14ac:dyDescent="0.3">
      <c r="F3405" s="11">
        <v>-5.7166670000000002</v>
      </c>
      <c r="G3405" s="11">
        <v>55.453888999999997</v>
      </c>
      <c r="H3405" s="11">
        <v>1</v>
      </c>
    </row>
    <row r="3406" spans="6:8" x14ac:dyDescent="0.3">
      <c r="F3406" s="11">
        <v>-5.7180559999999998</v>
      </c>
      <c r="G3406" s="11">
        <v>55.515555999999997</v>
      </c>
      <c r="H3406" s="11">
        <v>1</v>
      </c>
    </row>
    <row r="3407" spans="6:8" x14ac:dyDescent="0.3">
      <c r="F3407" s="11">
        <v>-5.7230559999999997</v>
      </c>
      <c r="G3407" s="11">
        <v>55.568333000000003</v>
      </c>
      <c r="H3407" s="11">
        <v>1</v>
      </c>
    </row>
    <row r="3408" spans="6:8" x14ac:dyDescent="0.3">
      <c r="F3408" s="11">
        <v>-5.6841670000000004</v>
      </c>
      <c r="G3408" s="11">
        <v>55.617221999999998</v>
      </c>
      <c r="H3408" s="11">
        <v>1</v>
      </c>
    </row>
    <row r="3409" spans="6:8" x14ac:dyDescent="0.3">
      <c r="F3409" s="11">
        <v>-5.6805560000000002</v>
      </c>
      <c r="G3409" s="11">
        <v>55.673611000000001</v>
      </c>
      <c r="H3409" s="11">
        <v>1</v>
      </c>
    </row>
    <row r="3410" spans="6:8" x14ac:dyDescent="0.3">
      <c r="F3410" s="11">
        <v>-5.6205559999999997</v>
      </c>
      <c r="G3410" s="11">
        <v>55.707777999999998</v>
      </c>
      <c r="H3410" s="11">
        <v>1</v>
      </c>
    </row>
    <row r="3411" spans="6:8" x14ac:dyDescent="0.3">
      <c r="F3411" s="11">
        <v>-5.5783329999999998</v>
      </c>
      <c r="G3411" s="11">
        <v>55.754443999999999</v>
      </c>
      <c r="H3411" s="11">
        <v>1</v>
      </c>
    </row>
    <row r="3412" spans="6:8" x14ac:dyDescent="0.3">
      <c r="F3412" s="11">
        <v>-5.5133330000000003</v>
      </c>
      <c r="G3412" s="11">
        <v>55.786943999999998</v>
      </c>
      <c r="H3412" s="11">
        <v>1</v>
      </c>
    </row>
    <row r="3413" spans="6:8" x14ac:dyDescent="0.3">
      <c r="F3413" s="11">
        <v>-5.4619439999999999</v>
      </c>
      <c r="G3413" s="11">
        <v>55.828333000000001</v>
      </c>
      <c r="H3413" s="11">
        <v>1</v>
      </c>
    </row>
    <row r="3414" spans="6:8" x14ac:dyDescent="0.3">
      <c r="F3414" s="11">
        <v>-5.4930560000000002</v>
      </c>
      <c r="G3414" s="11">
        <v>55.817777999999997</v>
      </c>
      <c r="H3414" s="11">
        <v>1</v>
      </c>
    </row>
    <row r="3415" spans="6:8" x14ac:dyDescent="0.3">
      <c r="F3415" s="11">
        <v>-5.5480559999999999</v>
      </c>
      <c r="G3415" s="11">
        <v>55.779443999999998</v>
      </c>
      <c r="H3415" s="11">
        <v>1</v>
      </c>
    </row>
    <row r="3416" spans="6:8" x14ac:dyDescent="0.3">
      <c r="F3416" s="11">
        <v>-5.6108330000000004</v>
      </c>
      <c r="G3416" s="11">
        <v>55.767778</v>
      </c>
      <c r="H3416" s="11">
        <v>1</v>
      </c>
    </row>
    <row r="3417" spans="6:8" x14ac:dyDescent="0.3">
      <c r="F3417" s="11">
        <v>-5.6644439999999996</v>
      </c>
      <c r="G3417" s="11">
        <v>55.799166999999997</v>
      </c>
      <c r="H3417" s="11">
        <v>1</v>
      </c>
    </row>
    <row r="3418" spans="6:8" x14ac:dyDescent="0.3">
      <c r="F3418" s="11">
        <v>-5.66</v>
      </c>
      <c r="G3418" s="11">
        <v>55.850833000000002</v>
      </c>
      <c r="H3418" s="11">
        <v>1</v>
      </c>
    </row>
    <row r="3419" spans="6:8" x14ac:dyDescent="0.3">
      <c r="F3419" s="11">
        <v>-5.619167</v>
      </c>
      <c r="G3419" s="11">
        <v>55.898611000000002</v>
      </c>
      <c r="H3419" s="11">
        <v>1</v>
      </c>
    </row>
    <row r="3420" spans="6:8" x14ac:dyDescent="0.3">
      <c r="F3420" s="11">
        <v>-5.5872219999999997</v>
      </c>
      <c r="G3420" s="11">
        <v>55.929167</v>
      </c>
      <c r="H3420" s="11">
        <v>1</v>
      </c>
    </row>
    <row r="3421" spans="6:8" x14ac:dyDescent="0.3">
      <c r="F3421" s="11">
        <v>-5.6527779999999996</v>
      </c>
      <c r="G3421" s="11">
        <v>55.897778000000002</v>
      </c>
      <c r="H3421" s="11">
        <v>1</v>
      </c>
    </row>
    <row r="3422" spans="6:8" x14ac:dyDescent="0.3">
      <c r="F3422" s="11">
        <v>-5.6924999999999999</v>
      </c>
      <c r="G3422" s="11">
        <v>55.912778000000003</v>
      </c>
      <c r="H3422" s="11">
        <v>1</v>
      </c>
    </row>
    <row r="3423" spans="6:8" x14ac:dyDescent="0.3">
      <c r="F3423" s="11">
        <v>-5.6480560000000004</v>
      </c>
      <c r="G3423" s="11">
        <v>55.956111</v>
      </c>
      <c r="H3423" s="11">
        <v>1</v>
      </c>
    </row>
    <row r="3424" spans="6:8" x14ac:dyDescent="0.3">
      <c r="F3424" s="11">
        <v>-5.6033330000000001</v>
      </c>
      <c r="G3424" s="11">
        <v>56.001666999999998</v>
      </c>
      <c r="H3424" s="11">
        <v>1</v>
      </c>
    </row>
    <row r="3425" spans="6:8" x14ac:dyDescent="0.3">
      <c r="F3425" s="11">
        <v>-5.5805559999999996</v>
      </c>
      <c r="G3425" s="11">
        <v>56.029443999999998</v>
      </c>
      <c r="H3425" s="11">
        <v>1</v>
      </c>
    </row>
    <row r="3426" spans="6:8" x14ac:dyDescent="0.3">
      <c r="F3426" s="11">
        <v>-5.6233329999999997</v>
      </c>
      <c r="G3426" s="11">
        <v>56.017499999999998</v>
      </c>
      <c r="H3426" s="11">
        <v>1</v>
      </c>
    </row>
    <row r="3427" spans="6:8" x14ac:dyDescent="0.3">
      <c r="F3427" s="11">
        <v>-5.6722219999999997</v>
      </c>
      <c r="G3427" s="11">
        <v>55.978889000000002</v>
      </c>
      <c r="H3427" s="11">
        <v>1</v>
      </c>
    </row>
    <row r="3428" spans="6:8" x14ac:dyDescent="0.3">
      <c r="F3428" s="11">
        <v>-5.7066670000000004</v>
      </c>
      <c r="G3428" s="11">
        <v>55.934722000000001</v>
      </c>
      <c r="H3428" s="11">
        <v>1</v>
      </c>
    </row>
    <row r="3429" spans="6:8" x14ac:dyDescent="0.3">
      <c r="F3429" s="11">
        <v>-5.6944439999999998</v>
      </c>
      <c r="G3429" s="11">
        <v>55.984444000000003</v>
      </c>
      <c r="H3429" s="11">
        <v>1</v>
      </c>
    </row>
    <row r="3430" spans="6:8" x14ac:dyDescent="0.3">
      <c r="F3430" s="11">
        <v>-5.6438889999999997</v>
      </c>
      <c r="G3430" s="11">
        <v>56.024721999999997</v>
      </c>
      <c r="H3430" s="11">
        <v>1</v>
      </c>
    </row>
    <row r="3431" spans="6:8" x14ac:dyDescent="0.3">
      <c r="F3431" s="11">
        <v>-5.6077779999999997</v>
      </c>
      <c r="G3431" s="11">
        <v>56.071111000000002</v>
      </c>
      <c r="H3431" s="11">
        <v>1</v>
      </c>
    </row>
    <row r="3432" spans="6:8" x14ac:dyDescent="0.3">
      <c r="F3432" s="11">
        <v>-5.5327780000000004</v>
      </c>
      <c r="G3432" s="11">
        <v>56.077778000000002</v>
      </c>
      <c r="H3432" s="11">
        <v>1</v>
      </c>
    </row>
    <row r="3433" spans="6:8" x14ac:dyDescent="0.3">
      <c r="F3433" s="11">
        <v>-5.5636109999999999</v>
      </c>
      <c r="G3433" s="11">
        <v>56.115833000000002</v>
      </c>
      <c r="H3433" s="11">
        <v>1</v>
      </c>
    </row>
    <row r="3434" spans="6:8" x14ac:dyDescent="0.3">
      <c r="F3434" s="11">
        <v>-5.5202780000000002</v>
      </c>
      <c r="G3434" s="11">
        <v>56.162222</v>
      </c>
      <c r="H3434" s="11">
        <v>1</v>
      </c>
    </row>
    <row r="3435" spans="6:8" x14ac:dyDescent="0.3">
      <c r="F3435" s="11">
        <v>-5.55</v>
      </c>
      <c r="G3435" s="11">
        <v>56.167777999999998</v>
      </c>
      <c r="H3435" s="11">
        <v>1</v>
      </c>
    </row>
    <row r="3436" spans="6:8" x14ac:dyDescent="0.3">
      <c r="F3436" s="11">
        <v>-5.6011110000000004</v>
      </c>
      <c r="G3436" s="11">
        <v>56.126389000000003</v>
      </c>
      <c r="H3436" s="11">
        <v>1</v>
      </c>
    </row>
    <row r="3437" spans="6:8" x14ac:dyDescent="0.3">
      <c r="F3437" s="11">
        <v>-5.6041670000000003</v>
      </c>
      <c r="G3437" s="11">
        <v>56.155833000000001</v>
      </c>
      <c r="H3437" s="11">
        <v>1</v>
      </c>
    </row>
    <row r="3438" spans="6:8" x14ac:dyDescent="0.3">
      <c r="F3438" s="11">
        <v>-5.5672220000000001</v>
      </c>
      <c r="G3438" s="11">
        <v>56.203333000000001</v>
      </c>
      <c r="H3438" s="11">
        <v>1</v>
      </c>
    </row>
    <row r="3439" spans="6:8" x14ac:dyDescent="0.3">
      <c r="F3439" s="11">
        <v>-5.5997219999999999</v>
      </c>
      <c r="G3439" s="11">
        <v>56.236389000000003</v>
      </c>
      <c r="H3439" s="11">
        <v>1</v>
      </c>
    </row>
    <row r="3440" spans="6:8" x14ac:dyDescent="0.3">
      <c r="F3440" s="11">
        <v>-5.5877780000000001</v>
      </c>
      <c r="G3440" s="11">
        <v>56.299166999999997</v>
      </c>
      <c r="H3440" s="11">
        <v>1</v>
      </c>
    </row>
    <row r="3441" spans="6:8" x14ac:dyDescent="0.3">
      <c r="F3441" s="11">
        <v>-5.5441669999999998</v>
      </c>
      <c r="G3441" s="11">
        <v>56.343611000000003</v>
      </c>
      <c r="H3441" s="11">
        <v>1</v>
      </c>
    </row>
    <row r="3442" spans="6:8" x14ac:dyDescent="0.3">
      <c r="F3442" s="11">
        <v>-5.5047220000000001</v>
      </c>
      <c r="G3442" s="11">
        <v>56.389721999999999</v>
      </c>
      <c r="H3442" s="11">
        <v>1</v>
      </c>
    </row>
    <row r="3443" spans="6:8" x14ac:dyDescent="0.3">
      <c r="F3443" s="11">
        <v>-5.4675000000000002</v>
      </c>
      <c r="G3443" s="11">
        <v>56.436110999999997</v>
      </c>
      <c r="H3443" s="11">
        <v>1</v>
      </c>
    </row>
    <row r="3444" spans="6:8" x14ac:dyDescent="0.3">
      <c r="F3444" s="11">
        <v>-5.41</v>
      </c>
      <c r="G3444" s="11">
        <v>56.448889000000001</v>
      </c>
      <c r="H3444" s="11">
        <v>1</v>
      </c>
    </row>
    <row r="3445" spans="6:8" x14ac:dyDescent="0.3">
      <c r="F3445" s="11">
        <v>-5.3169440000000003</v>
      </c>
      <c r="G3445" s="11">
        <v>56.450277999999997</v>
      </c>
      <c r="H3445" s="11">
        <v>1</v>
      </c>
    </row>
    <row r="3446" spans="6:8" x14ac:dyDescent="0.3">
      <c r="F3446" s="11">
        <v>-5.2713890000000001</v>
      </c>
      <c r="G3446" s="11">
        <v>56.452778000000002</v>
      </c>
      <c r="H3446" s="11">
        <v>1</v>
      </c>
    </row>
    <row r="3447" spans="6:8" x14ac:dyDescent="0.3">
      <c r="F3447" s="11">
        <v>-5.3638890000000004</v>
      </c>
      <c r="G3447" s="11">
        <v>56.457777999999998</v>
      </c>
      <c r="H3447" s="11">
        <v>1</v>
      </c>
    </row>
    <row r="3448" spans="6:8" x14ac:dyDescent="0.3">
      <c r="F3448" s="11">
        <v>-5.424722</v>
      </c>
      <c r="G3448" s="11">
        <v>56.484444000000003</v>
      </c>
      <c r="H3448" s="11">
        <v>1</v>
      </c>
    </row>
    <row r="3449" spans="6:8" x14ac:dyDescent="0.3">
      <c r="F3449" s="11">
        <v>-5.460833</v>
      </c>
      <c r="G3449" s="11">
        <v>56.475000000000001</v>
      </c>
      <c r="H3449" s="11">
        <v>1</v>
      </c>
    </row>
    <row r="3450" spans="6:8" x14ac:dyDescent="0.3">
      <c r="F3450" s="11">
        <v>-5.4386109999999999</v>
      </c>
      <c r="G3450" s="11">
        <v>56.514443999999997</v>
      </c>
      <c r="H3450" s="11">
        <v>1</v>
      </c>
    </row>
    <row r="3451" spans="6:8" x14ac:dyDescent="0.3">
      <c r="F3451" s="11">
        <v>-5.3658330000000003</v>
      </c>
      <c r="G3451" s="11">
        <v>56.511111</v>
      </c>
      <c r="H3451" s="11">
        <v>1</v>
      </c>
    </row>
    <row r="3452" spans="6:8" x14ac:dyDescent="0.3">
      <c r="F3452" s="11">
        <v>-5.293056</v>
      </c>
      <c r="G3452" s="11">
        <v>56.539166999999999</v>
      </c>
      <c r="H3452" s="11">
        <v>1</v>
      </c>
    </row>
    <row r="3453" spans="6:8" x14ac:dyDescent="0.3">
      <c r="F3453" s="11">
        <v>-5.291944</v>
      </c>
      <c r="G3453" s="11">
        <v>56.545555999999998</v>
      </c>
      <c r="H3453" s="11">
        <v>1</v>
      </c>
    </row>
    <row r="3454" spans="6:8" x14ac:dyDescent="0.3">
      <c r="F3454" s="11">
        <v>-5.3697220000000003</v>
      </c>
      <c r="G3454" s="11">
        <v>56.520833000000003</v>
      </c>
      <c r="H3454" s="11">
        <v>1</v>
      </c>
    </row>
    <row r="3455" spans="6:8" x14ac:dyDescent="0.3">
      <c r="F3455" s="11">
        <v>-5.4083329999999998</v>
      </c>
      <c r="G3455" s="11">
        <v>56.559722000000001</v>
      </c>
      <c r="H3455" s="11">
        <v>1</v>
      </c>
    </row>
    <row r="3456" spans="6:8" x14ac:dyDescent="0.3">
      <c r="F3456" s="11">
        <v>-5.37</v>
      </c>
      <c r="G3456" s="11">
        <v>56.597222000000002</v>
      </c>
      <c r="H3456" s="11">
        <v>1</v>
      </c>
    </row>
    <row r="3457" spans="6:8" x14ac:dyDescent="0.3">
      <c r="F3457" s="11">
        <v>-5.3083330000000002</v>
      </c>
      <c r="G3457" s="11">
        <v>56.631943999999997</v>
      </c>
      <c r="H3457" s="11">
        <v>1</v>
      </c>
    </row>
    <row r="3458" spans="6:8" x14ac:dyDescent="0.3">
      <c r="F3458" s="11">
        <v>-5.2819440000000002</v>
      </c>
      <c r="G3458" s="11">
        <v>56.663888999999998</v>
      </c>
      <c r="H3458" s="11">
        <v>1</v>
      </c>
    </row>
    <row r="3459" spans="6:8" x14ac:dyDescent="0.3">
      <c r="F3459" s="11">
        <v>-5.1924999999999999</v>
      </c>
      <c r="G3459" s="11">
        <v>56.680833</v>
      </c>
      <c r="H3459" s="11">
        <v>1</v>
      </c>
    </row>
    <row r="3460" spans="6:8" x14ac:dyDescent="0.3">
      <c r="F3460" s="11">
        <v>-5.1033330000000001</v>
      </c>
      <c r="G3460" s="11">
        <v>56.685000000000002</v>
      </c>
      <c r="H3460" s="11">
        <v>1</v>
      </c>
    </row>
    <row r="3461" spans="6:8" x14ac:dyDescent="0.3">
      <c r="F3461" s="11">
        <v>-5.1119440000000003</v>
      </c>
      <c r="G3461" s="11">
        <v>56.689722000000003</v>
      </c>
      <c r="H3461" s="11">
        <v>1</v>
      </c>
    </row>
    <row r="3462" spans="6:8" x14ac:dyDescent="0.3">
      <c r="F3462" s="11">
        <v>-5.2013889999999998</v>
      </c>
      <c r="G3462" s="11">
        <v>56.693888999999999</v>
      </c>
      <c r="H3462" s="11">
        <v>1</v>
      </c>
    </row>
    <row r="3463" spans="6:8" x14ac:dyDescent="0.3">
      <c r="F3463" s="11">
        <v>-5.2191669999999997</v>
      </c>
      <c r="G3463" s="11">
        <v>56.726111000000003</v>
      </c>
      <c r="H3463" s="11">
        <v>1</v>
      </c>
    </row>
    <row r="3464" spans="6:8" x14ac:dyDescent="0.3">
      <c r="F3464" s="11">
        <v>-5.1691669999999998</v>
      </c>
      <c r="G3464" s="11">
        <v>56.768889000000001</v>
      </c>
      <c r="H3464" s="11">
        <v>1</v>
      </c>
    </row>
    <row r="3465" spans="6:8" x14ac:dyDescent="0.3">
      <c r="F3465" s="11">
        <v>-5.1213889999999997</v>
      </c>
      <c r="G3465" s="11">
        <v>56.813056000000003</v>
      </c>
      <c r="H3465" s="11">
        <v>1</v>
      </c>
    </row>
    <row r="3466" spans="6:8" x14ac:dyDescent="0.3">
      <c r="F3466" s="11">
        <v>-5.1763890000000004</v>
      </c>
      <c r="G3466" s="11">
        <v>56.783332999999999</v>
      </c>
      <c r="H3466" s="11">
        <v>1</v>
      </c>
    </row>
    <row r="3467" spans="6:8" x14ac:dyDescent="0.3">
      <c r="F3467" s="11">
        <v>-5.2374999999999998</v>
      </c>
      <c r="G3467" s="11">
        <v>56.755000000000003</v>
      </c>
      <c r="H3467" s="11">
        <v>1</v>
      </c>
    </row>
    <row r="3468" spans="6:8" x14ac:dyDescent="0.3">
      <c r="F3468" s="11">
        <v>-5.2686109999999999</v>
      </c>
      <c r="G3468" s="11">
        <v>56.709167000000001</v>
      </c>
      <c r="H3468" s="11">
        <v>1</v>
      </c>
    </row>
    <row r="3469" spans="6:8" x14ac:dyDescent="0.3">
      <c r="F3469" s="11">
        <v>-5.3341669999999999</v>
      </c>
      <c r="G3469" s="11">
        <v>56.688611000000002</v>
      </c>
      <c r="H3469" s="11">
        <v>1</v>
      </c>
    </row>
    <row r="3470" spans="6:8" x14ac:dyDescent="0.3">
      <c r="F3470" s="11">
        <v>-5.3861109999999996</v>
      </c>
      <c r="G3470" s="11">
        <v>56.652500000000003</v>
      </c>
      <c r="H3470" s="11">
        <v>1</v>
      </c>
    </row>
    <row r="3471" spans="6:8" x14ac:dyDescent="0.3">
      <c r="F3471" s="11">
        <v>-5.4452780000000001</v>
      </c>
      <c r="G3471" s="11">
        <v>56.625556000000003</v>
      </c>
      <c r="H3471" s="11">
        <v>1</v>
      </c>
    </row>
    <row r="3472" spans="6:8" x14ac:dyDescent="0.3">
      <c r="F3472" s="11">
        <v>-5.5036110000000003</v>
      </c>
      <c r="G3472" s="11">
        <v>56.590555999999999</v>
      </c>
      <c r="H3472" s="11">
        <v>1</v>
      </c>
    </row>
    <row r="3473" spans="6:8" x14ac:dyDescent="0.3">
      <c r="F3473" s="11">
        <v>-5.5544440000000002</v>
      </c>
      <c r="G3473" s="11">
        <v>56.549722000000003</v>
      </c>
      <c r="H3473" s="11">
        <v>1</v>
      </c>
    </row>
    <row r="3474" spans="6:8" x14ac:dyDescent="0.3">
      <c r="F3474" s="11">
        <v>-5.6188890000000002</v>
      </c>
      <c r="G3474" s="11">
        <v>56.516111000000002</v>
      </c>
      <c r="H3474" s="11">
        <v>1</v>
      </c>
    </row>
    <row r="3475" spans="6:8" x14ac:dyDescent="0.3">
      <c r="F3475" s="11">
        <v>-5.6941670000000002</v>
      </c>
      <c r="G3475" s="11">
        <v>56.49</v>
      </c>
      <c r="H3475" s="11">
        <v>1</v>
      </c>
    </row>
    <row r="3476" spans="6:8" x14ac:dyDescent="0.3">
      <c r="F3476" s="11">
        <v>-5.7672220000000003</v>
      </c>
      <c r="G3476" s="11">
        <v>56.515000000000001</v>
      </c>
      <c r="H3476" s="11">
        <v>1</v>
      </c>
    </row>
    <row r="3477" spans="6:8" x14ac:dyDescent="0.3">
      <c r="F3477" s="11">
        <v>-5.8116669999999999</v>
      </c>
      <c r="G3477" s="11">
        <v>56.529722</v>
      </c>
      <c r="H3477" s="11">
        <v>1</v>
      </c>
    </row>
    <row r="3478" spans="6:8" x14ac:dyDescent="0.3">
      <c r="F3478" s="11">
        <v>-5.9061110000000001</v>
      </c>
      <c r="G3478" s="11">
        <v>56.546388999999998</v>
      </c>
      <c r="H3478" s="11">
        <v>1</v>
      </c>
    </row>
    <row r="3479" spans="6:8" x14ac:dyDescent="0.3">
      <c r="F3479" s="11">
        <v>-5.9680559999999998</v>
      </c>
      <c r="G3479" s="11">
        <v>56.580832999999998</v>
      </c>
      <c r="H3479" s="11">
        <v>1</v>
      </c>
    </row>
    <row r="3480" spans="6:8" x14ac:dyDescent="0.3">
      <c r="F3480" s="11">
        <v>-6.0116670000000001</v>
      </c>
      <c r="G3480" s="11">
        <v>56.624167</v>
      </c>
      <c r="H3480" s="11">
        <v>1</v>
      </c>
    </row>
    <row r="3481" spans="6:8" x14ac:dyDescent="0.3">
      <c r="F3481" s="11">
        <v>-5.9455559999999998</v>
      </c>
      <c r="G3481" s="11">
        <v>56.651389000000002</v>
      </c>
      <c r="H3481" s="11">
        <v>1</v>
      </c>
    </row>
    <row r="3482" spans="6:8" x14ac:dyDescent="0.3">
      <c r="F3482" s="11">
        <v>-5.8638890000000004</v>
      </c>
      <c r="G3482" s="11">
        <v>56.655000000000001</v>
      </c>
      <c r="H3482" s="11">
        <v>1</v>
      </c>
    </row>
    <row r="3483" spans="6:8" x14ac:dyDescent="0.3">
      <c r="F3483" s="11">
        <v>-5.7880560000000001</v>
      </c>
      <c r="G3483" s="11">
        <v>56.680833</v>
      </c>
      <c r="H3483" s="11">
        <v>1</v>
      </c>
    </row>
    <row r="3484" spans="6:8" x14ac:dyDescent="0.3">
      <c r="F3484" s="11">
        <v>-5.7088890000000001</v>
      </c>
      <c r="G3484" s="11">
        <v>56.679167</v>
      </c>
      <c r="H3484" s="11">
        <v>1</v>
      </c>
    </row>
    <row r="3485" spans="6:8" x14ac:dyDescent="0.3">
      <c r="F3485" s="11">
        <v>-5.6124999999999998</v>
      </c>
      <c r="G3485" s="11">
        <v>56.676943999999999</v>
      </c>
      <c r="H3485" s="11">
        <v>1</v>
      </c>
    </row>
    <row r="3486" spans="6:8" x14ac:dyDescent="0.3">
      <c r="F3486" s="11">
        <v>-5.6008329999999997</v>
      </c>
      <c r="G3486" s="11">
        <v>56.6875</v>
      </c>
      <c r="H3486" s="11">
        <v>1</v>
      </c>
    </row>
    <row r="3487" spans="6:8" x14ac:dyDescent="0.3">
      <c r="F3487" s="11">
        <v>-5.6980560000000002</v>
      </c>
      <c r="G3487" s="11">
        <v>56.692777999999997</v>
      </c>
      <c r="H3487" s="11">
        <v>1</v>
      </c>
    </row>
    <row r="3488" spans="6:8" x14ac:dyDescent="0.3">
      <c r="F3488" s="11">
        <v>-5.7880560000000001</v>
      </c>
      <c r="G3488" s="11">
        <v>56.698889000000001</v>
      </c>
      <c r="H3488" s="11">
        <v>1</v>
      </c>
    </row>
    <row r="3489" spans="6:8" x14ac:dyDescent="0.3">
      <c r="F3489" s="11">
        <v>-5.8636109999999997</v>
      </c>
      <c r="G3489" s="11">
        <v>56.672499999999999</v>
      </c>
      <c r="H3489" s="11">
        <v>1</v>
      </c>
    </row>
    <row r="3490" spans="6:8" x14ac:dyDescent="0.3">
      <c r="F3490" s="11">
        <v>-5.9594440000000004</v>
      </c>
      <c r="G3490" s="11">
        <v>56.679167</v>
      </c>
      <c r="H3490" s="11">
        <v>1</v>
      </c>
    </row>
    <row r="3491" spans="6:8" x14ac:dyDescent="0.3">
      <c r="F3491" s="11">
        <v>-6.0522220000000004</v>
      </c>
      <c r="G3491" s="11">
        <v>56.676667000000002</v>
      </c>
      <c r="H3491" s="11">
        <v>1</v>
      </c>
    </row>
    <row r="3492" spans="6:8" x14ac:dyDescent="0.3">
      <c r="F3492" s="11">
        <v>-6.151389</v>
      </c>
      <c r="G3492" s="11">
        <v>56.678333000000002</v>
      </c>
      <c r="H3492" s="11">
        <v>1</v>
      </c>
    </row>
    <row r="3493" spans="6:8" x14ac:dyDescent="0.3">
      <c r="F3493" s="11">
        <v>-6.2244440000000001</v>
      </c>
      <c r="G3493" s="11">
        <v>56.696944000000002</v>
      </c>
      <c r="H3493" s="11">
        <v>1</v>
      </c>
    </row>
    <row r="3494" spans="6:8" x14ac:dyDescent="0.3">
      <c r="H3494" s="11">
        <v>1</v>
      </c>
    </row>
    <row r="3495" spans="6:8" x14ac:dyDescent="0.3">
      <c r="F3495" s="11">
        <v>-6.177778</v>
      </c>
      <c r="G3495" s="11">
        <v>56.748610999999997</v>
      </c>
      <c r="H3495" s="11">
        <v>1</v>
      </c>
    </row>
    <row r="3496" spans="6:8" x14ac:dyDescent="0.3">
      <c r="F3496" s="11">
        <v>-6.0872219999999997</v>
      </c>
      <c r="G3496" s="11">
        <v>56.756388999999999</v>
      </c>
      <c r="H3496" s="11">
        <v>1</v>
      </c>
    </row>
    <row r="3497" spans="6:8" x14ac:dyDescent="0.3">
      <c r="F3497" s="11">
        <v>-6.0019439999999999</v>
      </c>
      <c r="G3497" s="11">
        <v>56.763610999999997</v>
      </c>
      <c r="H3497" s="11">
        <v>1</v>
      </c>
    </row>
    <row r="3498" spans="6:8" x14ac:dyDescent="0.3">
      <c r="F3498" s="11">
        <v>-5.93</v>
      </c>
      <c r="G3498" s="11">
        <v>56.757221999999999</v>
      </c>
      <c r="H3498" s="11">
        <v>1</v>
      </c>
    </row>
    <row r="3499" spans="6:8" x14ac:dyDescent="0.3">
      <c r="F3499" s="11">
        <v>-5.8816670000000002</v>
      </c>
      <c r="G3499" s="11">
        <v>56.763055999999999</v>
      </c>
      <c r="H3499" s="11">
        <v>1</v>
      </c>
    </row>
    <row r="3500" spans="6:8" x14ac:dyDescent="0.3">
      <c r="F3500" s="11">
        <v>-5.8355560000000004</v>
      </c>
      <c r="G3500" s="11">
        <v>56.769444</v>
      </c>
      <c r="H3500" s="11">
        <v>1</v>
      </c>
    </row>
    <row r="3501" spans="6:8" x14ac:dyDescent="0.3">
      <c r="F3501" s="11">
        <v>-5.7977780000000001</v>
      </c>
      <c r="G3501" s="11">
        <v>56.793332999999997</v>
      </c>
      <c r="H3501" s="11">
        <v>1</v>
      </c>
    </row>
    <row r="3502" spans="6:8" x14ac:dyDescent="0.3">
      <c r="F3502" s="11">
        <v>-5.861389</v>
      </c>
      <c r="G3502" s="11">
        <v>56.825555999999999</v>
      </c>
      <c r="H3502" s="11">
        <v>1</v>
      </c>
    </row>
    <row r="3503" spans="6:8" x14ac:dyDescent="0.3">
      <c r="F3503" s="11">
        <v>-5.7788890000000004</v>
      </c>
      <c r="G3503" s="11">
        <v>56.842500000000001</v>
      </c>
      <c r="H3503" s="11">
        <v>1</v>
      </c>
    </row>
    <row r="3504" spans="6:8" x14ac:dyDescent="0.3">
      <c r="F3504" s="11">
        <v>-5.7008330000000003</v>
      </c>
      <c r="G3504" s="11">
        <v>56.858611000000003</v>
      </c>
      <c r="H3504" s="11">
        <v>1</v>
      </c>
    </row>
    <row r="3505" spans="6:8" x14ac:dyDescent="0.3">
      <c r="F3505" s="11">
        <v>-5.7024999999999997</v>
      </c>
      <c r="G3505" s="11">
        <v>56.867221999999998</v>
      </c>
      <c r="H3505" s="11">
        <v>1</v>
      </c>
    </row>
    <row r="3506" spans="6:8" x14ac:dyDescent="0.3">
      <c r="F3506" s="11">
        <v>-5.7833329999999998</v>
      </c>
      <c r="G3506" s="11">
        <v>56.858333000000002</v>
      </c>
      <c r="H3506" s="11">
        <v>1</v>
      </c>
    </row>
    <row r="3507" spans="6:8" x14ac:dyDescent="0.3">
      <c r="F3507" s="11">
        <v>-5.7366669999999997</v>
      </c>
      <c r="G3507" s="11">
        <v>56.886111</v>
      </c>
      <c r="H3507" s="11">
        <v>1</v>
      </c>
    </row>
    <row r="3508" spans="6:8" x14ac:dyDescent="0.3">
      <c r="F3508" s="11">
        <v>-5.8397220000000001</v>
      </c>
      <c r="G3508" s="11">
        <v>56.881110999999997</v>
      </c>
      <c r="H3508" s="11">
        <v>1</v>
      </c>
    </row>
    <row r="3509" spans="6:8" x14ac:dyDescent="0.3">
      <c r="F3509" s="11">
        <v>-5.9313890000000002</v>
      </c>
      <c r="G3509" s="11">
        <v>56.886667000000003</v>
      </c>
      <c r="H3509" s="11">
        <v>1</v>
      </c>
    </row>
    <row r="3510" spans="6:8" x14ac:dyDescent="0.3">
      <c r="F3510" s="11">
        <v>-5.8519439999999996</v>
      </c>
      <c r="G3510" s="11">
        <v>56.901944</v>
      </c>
      <c r="H3510" s="11">
        <v>1</v>
      </c>
    </row>
    <row r="3511" spans="6:8" x14ac:dyDescent="0.3">
      <c r="F3511" s="11">
        <v>-5.8636109999999997</v>
      </c>
      <c r="G3511" s="11">
        <v>56.942500000000003</v>
      </c>
      <c r="H3511" s="11">
        <v>1</v>
      </c>
    </row>
    <row r="3512" spans="6:8" x14ac:dyDescent="0.3">
      <c r="F3512" s="11">
        <v>-5.8375000000000004</v>
      </c>
      <c r="G3512" s="11">
        <v>56.9925</v>
      </c>
      <c r="H3512" s="11">
        <v>1</v>
      </c>
    </row>
    <row r="3513" spans="6:8" x14ac:dyDescent="0.3">
      <c r="F3513" s="11">
        <v>-5.7513889999999996</v>
      </c>
      <c r="G3513" s="11">
        <v>57.011389000000001</v>
      </c>
      <c r="H3513" s="11">
        <v>1</v>
      </c>
    </row>
    <row r="3514" spans="6:8" x14ac:dyDescent="0.3">
      <c r="F3514" s="11">
        <v>-5.6897219999999997</v>
      </c>
      <c r="G3514" s="11">
        <v>56.982778000000003</v>
      </c>
      <c r="H3514" s="11">
        <v>1</v>
      </c>
    </row>
    <row r="3515" spans="6:8" x14ac:dyDescent="0.3">
      <c r="F3515" s="11">
        <v>-5.6047219999999998</v>
      </c>
      <c r="G3515" s="11">
        <v>56.981667000000002</v>
      </c>
      <c r="H3515" s="11">
        <v>1</v>
      </c>
    </row>
    <row r="3516" spans="6:8" x14ac:dyDescent="0.3">
      <c r="F3516" s="11">
        <v>-5.5230560000000004</v>
      </c>
      <c r="G3516" s="11">
        <v>57</v>
      </c>
      <c r="H3516" s="11">
        <v>1</v>
      </c>
    </row>
    <row r="3517" spans="6:8" x14ac:dyDescent="0.3">
      <c r="F3517" s="11">
        <v>-5.6119440000000003</v>
      </c>
      <c r="G3517" s="11">
        <v>56.986111000000001</v>
      </c>
      <c r="H3517" s="11">
        <v>1</v>
      </c>
    </row>
    <row r="3518" spans="6:8" x14ac:dyDescent="0.3">
      <c r="F3518" s="11">
        <v>-5.6877779999999998</v>
      </c>
      <c r="G3518" s="11">
        <v>57.009721999999996</v>
      </c>
      <c r="H3518" s="11">
        <v>1</v>
      </c>
    </row>
    <row r="3519" spans="6:8" x14ac:dyDescent="0.3">
      <c r="F3519" s="11">
        <v>-5.7219439999999997</v>
      </c>
      <c r="G3519" s="11">
        <v>57.036389</v>
      </c>
      <c r="H3519" s="11">
        <v>1</v>
      </c>
    </row>
    <row r="3520" spans="6:8" x14ac:dyDescent="0.3">
      <c r="F3520" s="11">
        <v>-5.7908330000000001</v>
      </c>
      <c r="G3520" s="11">
        <v>57.056111000000001</v>
      </c>
      <c r="H3520" s="11">
        <v>1</v>
      </c>
    </row>
    <row r="3521" spans="6:8" x14ac:dyDescent="0.3">
      <c r="F3521" s="11">
        <v>-5.7383329999999999</v>
      </c>
      <c r="G3521" s="11">
        <v>57.094444000000003</v>
      </c>
      <c r="H3521" s="11">
        <v>1</v>
      </c>
    </row>
    <row r="3522" spans="6:8" x14ac:dyDescent="0.3">
      <c r="F3522" s="11">
        <v>-5.6652779999999998</v>
      </c>
      <c r="G3522" s="11">
        <v>57.121667000000002</v>
      </c>
      <c r="H3522" s="11">
        <v>1</v>
      </c>
    </row>
    <row r="3523" spans="6:8" x14ac:dyDescent="0.3">
      <c r="F3523" s="11">
        <v>-5.5852779999999997</v>
      </c>
      <c r="G3523" s="11">
        <v>57.101944000000003</v>
      </c>
      <c r="H3523" s="11">
        <v>1</v>
      </c>
    </row>
    <row r="3524" spans="6:8" x14ac:dyDescent="0.3">
      <c r="F3524" s="11">
        <v>-5.4983329999999997</v>
      </c>
      <c r="G3524" s="11">
        <v>57.095278</v>
      </c>
      <c r="H3524" s="11">
        <v>1</v>
      </c>
    </row>
    <row r="3525" spans="6:8" x14ac:dyDescent="0.3">
      <c r="F3525" s="11">
        <v>-5.4711109999999996</v>
      </c>
      <c r="G3525" s="11">
        <v>57.103056000000002</v>
      </c>
      <c r="H3525" s="11">
        <v>1</v>
      </c>
    </row>
    <row r="3526" spans="6:8" x14ac:dyDescent="0.3">
      <c r="F3526" s="11">
        <v>-5.5480559999999999</v>
      </c>
      <c r="G3526" s="11">
        <v>57.113889</v>
      </c>
      <c r="H3526" s="11">
        <v>1</v>
      </c>
    </row>
    <row r="3527" spans="6:8" x14ac:dyDescent="0.3">
      <c r="F3527" s="11">
        <v>-5.6255559999999996</v>
      </c>
      <c r="G3527" s="11">
        <v>57.140278000000002</v>
      </c>
      <c r="H3527" s="11">
        <v>1</v>
      </c>
    </row>
    <row r="3528" spans="6:8" x14ac:dyDescent="0.3">
      <c r="F3528" s="11">
        <v>-5.68</v>
      </c>
      <c r="G3528" s="11">
        <v>57.168610999999999</v>
      </c>
      <c r="H3528" s="11">
        <v>1</v>
      </c>
    </row>
    <row r="3529" spans="6:8" x14ac:dyDescent="0.3">
      <c r="F3529" s="11">
        <v>-5.6325000000000003</v>
      </c>
      <c r="G3529" s="11">
        <v>57.209167000000001</v>
      </c>
      <c r="H3529" s="11">
        <v>1</v>
      </c>
    </row>
    <row r="3530" spans="6:8" x14ac:dyDescent="0.3">
      <c r="F3530" s="11">
        <v>-5.6313890000000004</v>
      </c>
      <c r="G3530" s="11">
        <v>57.248055999999998</v>
      </c>
      <c r="H3530" s="11">
        <v>1</v>
      </c>
    </row>
    <row r="3531" spans="6:8" x14ac:dyDescent="0.3">
      <c r="F3531" s="11">
        <v>-5.54</v>
      </c>
      <c r="G3531" s="11">
        <v>57.264167</v>
      </c>
      <c r="H3531" s="11">
        <v>1</v>
      </c>
    </row>
    <row r="3532" spans="6:8" x14ac:dyDescent="0.3">
      <c r="F3532" s="11">
        <v>-5.4772220000000003</v>
      </c>
      <c r="G3532" s="11">
        <v>57.229444000000001</v>
      </c>
      <c r="H3532" s="11">
        <v>1</v>
      </c>
    </row>
    <row r="3533" spans="6:8" x14ac:dyDescent="0.3">
      <c r="F3533" s="11">
        <v>-5.3908329999999998</v>
      </c>
      <c r="G3533" s="11">
        <v>57.223332999999997</v>
      </c>
      <c r="H3533" s="11">
        <v>1</v>
      </c>
    </row>
    <row r="3534" spans="6:8" x14ac:dyDescent="0.3">
      <c r="F3534" s="11">
        <v>-5.47</v>
      </c>
      <c r="G3534" s="11">
        <v>57.239443999999999</v>
      </c>
      <c r="H3534" s="11">
        <v>1</v>
      </c>
    </row>
    <row r="3535" spans="6:8" x14ac:dyDescent="0.3">
      <c r="F3535" s="11">
        <v>-5.5333329999999998</v>
      </c>
      <c r="G3535" s="11">
        <v>57.274444000000003</v>
      </c>
      <c r="H3535" s="11">
        <v>1</v>
      </c>
    </row>
    <row r="3536" spans="6:8" x14ac:dyDescent="0.3">
      <c r="F3536" s="11">
        <v>-5.6280559999999999</v>
      </c>
      <c r="G3536" s="11">
        <v>57.276389000000002</v>
      </c>
      <c r="H3536" s="11">
        <v>1</v>
      </c>
    </row>
    <row r="3537" spans="6:8" x14ac:dyDescent="0.3">
      <c r="F3537" s="11">
        <v>-5.7283330000000001</v>
      </c>
      <c r="G3537" s="11">
        <v>57.281944000000003</v>
      </c>
      <c r="H3537" s="11">
        <v>1</v>
      </c>
    </row>
    <row r="3538" spans="6:8" x14ac:dyDescent="0.3">
      <c r="F3538" s="11">
        <v>-5.6858329999999997</v>
      </c>
      <c r="G3538" s="11">
        <v>57.325277999999997</v>
      </c>
      <c r="H3538" s="11">
        <v>1</v>
      </c>
    </row>
    <row r="3539" spans="6:8" x14ac:dyDescent="0.3">
      <c r="F3539" s="11">
        <v>-5.5958329999999998</v>
      </c>
      <c r="G3539" s="11">
        <v>57.341943999999998</v>
      </c>
      <c r="H3539" s="11">
        <v>1</v>
      </c>
    </row>
    <row r="3540" spans="6:8" x14ac:dyDescent="0.3">
      <c r="F3540" s="11">
        <v>-5.5130559999999997</v>
      </c>
      <c r="G3540" s="11">
        <v>57.364167000000002</v>
      </c>
      <c r="H3540" s="11">
        <v>1</v>
      </c>
    </row>
    <row r="3541" spans="6:8" x14ac:dyDescent="0.3">
      <c r="F3541" s="11">
        <v>-5.4483329999999999</v>
      </c>
      <c r="G3541" s="11">
        <v>57.398611000000002</v>
      </c>
      <c r="H3541" s="11">
        <v>1</v>
      </c>
    </row>
    <row r="3542" spans="6:8" x14ac:dyDescent="0.3">
      <c r="F3542" s="11">
        <v>-5.4869440000000003</v>
      </c>
      <c r="G3542" s="11">
        <v>57.395277999999998</v>
      </c>
      <c r="H3542" s="11">
        <v>1</v>
      </c>
    </row>
    <row r="3543" spans="6:8" x14ac:dyDescent="0.3">
      <c r="F3543" s="11">
        <v>-5.5513890000000004</v>
      </c>
      <c r="G3543" s="11">
        <v>57.361389000000003</v>
      </c>
      <c r="H3543" s="11">
        <v>1</v>
      </c>
    </row>
    <row r="3544" spans="6:8" x14ac:dyDescent="0.3">
      <c r="F3544" s="11">
        <v>-5.6349999999999998</v>
      </c>
      <c r="G3544" s="11">
        <v>57.366943999999997</v>
      </c>
      <c r="H3544" s="11">
        <v>1</v>
      </c>
    </row>
    <row r="3545" spans="6:8" x14ac:dyDescent="0.3">
      <c r="F3545" s="11">
        <v>-5.625</v>
      </c>
      <c r="G3545" s="11">
        <v>57.395000000000003</v>
      </c>
      <c r="H3545" s="11">
        <v>1</v>
      </c>
    </row>
    <row r="3546" spans="6:8" x14ac:dyDescent="0.3">
      <c r="F3546" s="11">
        <v>-5.6980560000000002</v>
      </c>
      <c r="G3546" s="11">
        <v>57.366388999999998</v>
      </c>
      <c r="H3546" s="11">
        <v>1</v>
      </c>
    </row>
    <row r="3547" spans="6:8" x14ac:dyDescent="0.3">
      <c r="F3547" s="11">
        <v>-5.7774999999999999</v>
      </c>
      <c r="G3547" s="11">
        <v>57.343055999999997</v>
      </c>
      <c r="H3547" s="11">
        <v>1</v>
      </c>
    </row>
    <row r="3548" spans="6:8" x14ac:dyDescent="0.3">
      <c r="F3548" s="11">
        <v>-5.818333</v>
      </c>
      <c r="G3548" s="11">
        <v>57.380555999999999</v>
      </c>
      <c r="H3548" s="11">
        <v>1</v>
      </c>
    </row>
    <row r="3549" spans="6:8" x14ac:dyDescent="0.3">
      <c r="F3549" s="11">
        <v>-5.8174999999999999</v>
      </c>
      <c r="G3549" s="11">
        <v>57.419443999999999</v>
      </c>
      <c r="H3549" s="11">
        <v>1</v>
      </c>
    </row>
    <row r="3550" spans="6:8" x14ac:dyDescent="0.3">
      <c r="F3550" s="11">
        <v>-5.8611110000000002</v>
      </c>
      <c r="G3550" s="11">
        <v>57.442222000000001</v>
      </c>
      <c r="H3550" s="11">
        <v>1</v>
      </c>
    </row>
    <row r="3551" spans="6:8" x14ac:dyDescent="0.3">
      <c r="F3551" s="11">
        <v>-5.8702779999999999</v>
      </c>
      <c r="G3551" s="11">
        <v>57.499443999999997</v>
      </c>
      <c r="H3551" s="11">
        <v>1</v>
      </c>
    </row>
    <row r="3552" spans="6:8" x14ac:dyDescent="0.3">
      <c r="F3552" s="11">
        <v>-5.8497219999999999</v>
      </c>
      <c r="G3552" s="11">
        <v>57.555833</v>
      </c>
      <c r="H3552" s="11">
        <v>1</v>
      </c>
    </row>
    <row r="3553" spans="6:8" x14ac:dyDescent="0.3">
      <c r="F3553" s="11">
        <v>-5.8019439999999998</v>
      </c>
      <c r="G3553" s="11">
        <v>57.575000000000003</v>
      </c>
      <c r="H3553" s="11">
        <v>1</v>
      </c>
    </row>
    <row r="3554" spans="6:8" x14ac:dyDescent="0.3">
      <c r="F3554" s="11">
        <v>-5.7424999999999997</v>
      </c>
      <c r="G3554" s="11">
        <v>57.541111000000001</v>
      </c>
      <c r="H3554" s="11">
        <v>1</v>
      </c>
    </row>
    <row r="3555" spans="6:8" x14ac:dyDescent="0.3">
      <c r="F3555" s="11">
        <v>-5.6997220000000004</v>
      </c>
      <c r="G3555" s="11">
        <v>57.530278000000003</v>
      </c>
      <c r="H3555" s="11">
        <v>1</v>
      </c>
    </row>
    <row r="3556" spans="6:8" x14ac:dyDescent="0.3">
      <c r="F3556" s="11">
        <v>-5.6469440000000004</v>
      </c>
      <c r="G3556" s="11">
        <v>57.516944000000002</v>
      </c>
      <c r="H3556" s="11">
        <v>1</v>
      </c>
    </row>
    <row r="3557" spans="6:8" x14ac:dyDescent="0.3">
      <c r="F3557" s="11">
        <v>-5.5997219999999999</v>
      </c>
      <c r="G3557" s="11">
        <v>57.530278000000003</v>
      </c>
      <c r="H3557" s="11">
        <v>1</v>
      </c>
    </row>
    <row r="3558" spans="6:8" x14ac:dyDescent="0.3">
      <c r="F3558" s="11">
        <v>-5.5280560000000003</v>
      </c>
      <c r="G3558" s="11">
        <v>57.541944000000001</v>
      </c>
      <c r="H3558" s="11">
        <v>1</v>
      </c>
    </row>
    <row r="3559" spans="6:8" x14ac:dyDescent="0.3">
      <c r="F3559" s="11">
        <v>-5.6327780000000001</v>
      </c>
      <c r="G3559" s="11">
        <v>57.55</v>
      </c>
      <c r="H3559" s="11">
        <v>1</v>
      </c>
    </row>
    <row r="3560" spans="6:8" x14ac:dyDescent="0.3">
      <c r="F3560" s="11">
        <v>-5.7</v>
      </c>
      <c r="G3560" s="11">
        <v>57.564999999999998</v>
      </c>
      <c r="H3560" s="11">
        <v>1</v>
      </c>
    </row>
    <row r="3561" spans="6:8" x14ac:dyDescent="0.3">
      <c r="F3561" s="11">
        <v>-5.7347219999999997</v>
      </c>
      <c r="G3561" s="11">
        <v>57.591667000000001</v>
      </c>
      <c r="H3561" s="11">
        <v>1</v>
      </c>
    </row>
    <row r="3562" spans="6:8" x14ac:dyDescent="0.3">
      <c r="F3562" s="11">
        <v>-5.7911109999999999</v>
      </c>
      <c r="G3562" s="11">
        <v>57.629722000000001</v>
      </c>
      <c r="H3562" s="11">
        <v>1</v>
      </c>
    </row>
    <row r="3563" spans="6:8" x14ac:dyDescent="0.3">
      <c r="F3563" s="11">
        <v>-5.7877780000000003</v>
      </c>
      <c r="G3563" s="11">
        <v>57.670278000000003</v>
      </c>
      <c r="H3563" s="11">
        <v>1</v>
      </c>
    </row>
    <row r="3564" spans="6:8" x14ac:dyDescent="0.3">
      <c r="F3564" s="11">
        <v>-5.7272220000000003</v>
      </c>
      <c r="G3564" s="11">
        <v>57.698056000000001</v>
      </c>
      <c r="H3564" s="11">
        <v>1</v>
      </c>
    </row>
    <row r="3565" spans="6:8" x14ac:dyDescent="0.3">
      <c r="F3565" s="11">
        <v>-5.691389</v>
      </c>
      <c r="G3565" s="11">
        <v>57.71</v>
      </c>
      <c r="H3565" s="11">
        <v>1</v>
      </c>
    </row>
    <row r="3566" spans="6:8" x14ac:dyDescent="0.3">
      <c r="F3566" s="11">
        <v>-5.7711110000000003</v>
      </c>
      <c r="G3566" s="11">
        <v>57.734721999999998</v>
      </c>
      <c r="H3566" s="11">
        <v>1</v>
      </c>
    </row>
    <row r="3567" spans="6:8" x14ac:dyDescent="0.3">
      <c r="F3567" s="11">
        <v>-5.8030559999999998</v>
      </c>
      <c r="G3567" s="11">
        <v>57.772221999999999</v>
      </c>
      <c r="H3567" s="11">
        <v>1</v>
      </c>
    </row>
    <row r="3568" spans="6:8" x14ac:dyDescent="0.3">
      <c r="F3568" s="11">
        <v>-5.8194439999999998</v>
      </c>
      <c r="G3568" s="11">
        <v>57.826943999999997</v>
      </c>
      <c r="H3568" s="11">
        <v>1</v>
      </c>
    </row>
    <row r="3569" spans="6:8" x14ac:dyDescent="0.3">
      <c r="F3569" s="11">
        <v>-5.780278</v>
      </c>
      <c r="G3569" s="11">
        <v>57.854166999999997</v>
      </c>
      <c r="H3569" s="11">
        <v>1</v>
      </c>
    </row>
    <row r="3570" spans="6:8" x14ac:dyDescent="0.3">
      <c r="F3570" s="11">
        <v>-5.6869440000000004</v>
      </c>
      <c r="G3570" s="11">
        <v>57.862777999999999</v>
      </c>
      <c r="H3570" s="11">
        <v>1</v>
      </c>
    </row>
    <row r="3571" spans="6:8" x14ac:dyDescent="0.3">
      <c r="F3571" s="11">
        <v>-5.6647220000000003</v>
      </c>
      <c r="G3571" s="11">
        <v>57.818333000000003</v>
      </c>
      <c r="H3571" s="11">
        <v>1</v>
      </c>
    </row>
    <row r="3572" spans="6:8" x14ac:dyDescent="0.3">
      <c r="F3572" s="11">
        <v>-5.6302779999999997</v>
      </c>
      <c r="G3572" s="11">
        <v>57.770277999999998</v>
      </c>
      <c r="H3572" s="11">
        <v>1</v>
      </c>
    </row>
    <row r="3573" spans="6:8" x14ac:dyDescent="0.3">
      <c r="F3573" s="11">
        <v>-5.6063890000000001</v>
      </c>
      <c r="G3573" s="11">
        <v>57.788055999999997</v>
      </c>
      <c r="H3573" s="11">
        <v>1</v>
      </c>
    </row>
    <row r="3574" spans="6:8" x14ac:dyDescent="0.3">
      <c r="F3574" s="11">
        <v>-5.5822219999999998</v>
      </c>
      <c r="G3574" s="11">
        <v>57.817777999999997</v>
      </c>
      <c r="H3574" s="11">
        <v>1</v>
      </c>
    </row>
    <row r="3575" spans="6:8" x14ac:dyDescent="0.3">
      <c r="F3575" s="11">
        <v>-5.6341669999999997</v>
      </c>
      <c r="G3575" s="11">
        <v>57.856943999999999</v>
      </c>
      <c r="H3575" s="11">
        <v>1</v>
      </c>
    </row>
    <row r="3576" spans="6:8" x14ac:dyDescent="0.3">
      <c r="F3576" s="11">
        <v>-5.641667</v>
      </c>
      <c r="G3576" s="11">
        <v>57.903055999999999</v>
      </c>
      <c r="H3576" s="11">
        <v>1</v>
      </c>
    </row>
    <row r="3577" spans="6:8" x14ac:dyDescent="0.3">
      <c r="F3577" s="11">
        <v>-5.585</v>
      </c>
      <c r="G3577" s="11">
        <v>57.905833000000001</v>
      </c>
      <c r="H3577" s="11">
        <v>1</v>
      </c>
    </row>
    <row r="3578" spans="6:8" x14ac:dyDescent="0.3">
      <c r="F3578" s="11">
        <v>-5.5513890000000004</v>
      </c>
      <c r="G3578" s="11">
        <v>57.876111000000002</v>
      </c>
      <c r="H3578" s="11">
        <v>1</v>
      </c>
    </row>
    <row r="3579" spans="6:8" x14ac:dyDescent="0.3">
      <c r="F3579" s="11">
        <v>-5.4727779999999999</v>
      </c>
      <c r="G3579" s="11">
        <v>57.848889</v>
      </c>
      <c r="H3579" s="11">
        <v>1</v>
      </c>
    </row>
    <row r="3580" spans="6:8" x14ac:dyDescent="0.3">
      <c r="F3580" s="11">
        <v>-5.4363890000000001</v>
      </c>
      <c r="G3580" s="11">
        <v>57.895000000000003</v>
      </c>
      <c r="H3580" s="11">
        <v>1</v>
      </c>
    </row>
    <row r="3581" spans="6:8" x14ac:dyDescent="0.3">
      <c r="F3581" s="11">
        <v>-5.3536109999999999</v>
      </c>
      <c r="G3581" s="11">
        <v>57.886111</v>
      </c>
      <c r="H3581" s="11">
        <v>1</v>
      </c>
    </row>
    <row r="3582" spans="6:8" x14ac:dyDescent="0.3">
      <c r="F3582" s="11">
        <v>-5.2805559999999998</v>
      </c>
      <c r="G3582" s="11">
        <v>57.854999999999997</v>
      </c>
      <c r="H3582" s="11">
        <v>1</v>
      </c>
    </row>
    <row r="3583" spans="6:8" x14ac:dyDescent="0.3">
      <c r="F3583" s="11">
        <v>-5.2388890000000004</v>
      </c>
      <c r="G3583" s="11">
        <v>57.860833</v>
      </c>
      <c r="H3583" s="11">
        <v>1</v>
      </c>
    </row>
    <row r="3584" spans="6:8" x14ac:dyDescent="0.3">
      <c r="F3584" s="11">
        <v>-5.3155559999999999</v>
      </c>
      <c r="G3584" s="11">
        <v>57.89</v>
      </c>
      <c r="H3584" s="11">
        <v>1</v>
      </c>
    </row>
    <row r="3585" spans="6:8" x14ac:dyDescent="0.3">
      <c r="F3585" s="11">
        <v>-5.3927779999999998</v>
      </c>
      <c r="G3585" s="11">
        <v>57.916111000000001</v>
      </c>
      <c r="H3585" s="11">
        <v>1</v>
      </c>
    </row>
    <row r="3586" spans="6:8" x14ac:dyDescent="0.3">
      <c r="F3586" s="11">
        <v>-5.3397220000000001</v>
      </c>
      <c r="G3586" s="11">
        <v>57.931666999999997</v>
      </c>
      <c r="H3586" s="11">
        <v>1</v>
      </c>
    </row>
    <row r="3587" spans="6:8" x14ac:dyDescent="0.3">
      <c r="F3587" s="11">
        <v>-5.2688889999999997</v>
      </c>
      <c r="G3587" s="11">
        <v>57.908611000000001</v>
      </c>
      <c r="H3587" s="11">
        <v>1</v>
      </c>
    </row>
    <row r="3588" spans="6:8" x14ac:dyDescent="0.3">
      <c r="F3588" s="11">
        <v>-5.1966669999999997</v>
      </c>
      <c r="G3588" s="11">
        <v>57.889443999999997</v>
      </c>
      <c r="H3588" s="11">
        <v>1</v>
      </c>
    </row>
    <row r="3589" spans="6:8" x14ac:dyDescent="0.3">
      <c r="F3589" s="11">
        <v>-5.1158330000000003</v>
      </c>
      <c r="G3589" s="11">
        <v>57.862499999999997</v>
      </c>
      <c r="H3589" s="11">
        <v>1</v>
      </c>
    </row>
    <row r="3590" spans="6:8" x14ac:dyDescent="0.3">
      <c r="F3590" s="11">
        <v>-5.0769440000000001</v>
      </c>
      <c r="G3590" s="11">
        <v>57.835833000000001</v>
      </c>
      <c r="H3590" s="11">
        <v>1</v>
      </c>
    </row>
    <row r="3591" spans="6:8" x14ac:dyDescent="0.3">
      <c r="F3591" s="11">
        <v>-5.1236110000000004</v>
      </c>
      <c r="G3591" s="11">
        <v>57.878332999999998</v>
      </c>
      <c r="H3591" s="11">
        <v>1</v>
      </c>
    </row>
    <row r="3592" spans="6:8" x14ac:dyDescent="0.3">
      <c r="F3592" s="11">
        <v>-5.1936109999999998</v>
      </c>
      <c r="G3592" s="11">
        <v>57.910277999999998</v>
      </c>
      <c r="H3592" s="11">
        <v>1</v>
      </c>
    </row>
    <row r="3593" spans="6:8" x14ac:dyDescent="0.3">
      <c r="F3593" s="11">
        <v>-5.1863890000000001</v>
      </c>
      <c r="G3593" s="11">
        <v>57.945833</v>
      </c>
      <c r="H3593" s="11">
        <v>1</v>
      </c>
    </row>
    <row r="3594" spans="6:8" x14ac:dyDescent="0.3">
      <c r="F3594" s="11">
        <v>-5.2675000000000001</v>
      </c>
      <c r="G3594" s="11">
        <v>57.973056</v>
      </c>
      <c r="H3594" s="11">
        <v>1</v>
      </c>
    </row>
    <row r="3595" spans="6:8" x14ac:dyDescent="0.3">
      <c r="F3595" s="11">
        <v>-5.3452780000000004</v>
      </c>
      <c r="G3595" s="11">
        <v>58.002222000000003</v>
      </c>
      <c r="H3595" s="11">
        <v>1</v>
      </c>
    </row>
    <row r="3596" spans="6:8" x14ac:dyDescent="0.3">
      <c r="F3596" s="11">
        <v>-5.4197220000000002</v>
      </c>
      <c r="G3596" s="11">
        <v>58.031944000000003</v>
      </c>
      <c r="H3596" s="11">
        <v>1</v>
      </c>
    </row>
    <row r="3597" spans="6:8" x14ac:dyDescent="0.3">
      <c r="F3597" s="11">
        <v>-5.4644440000000003</v>
      </c>
      <c r="G3597" s="11">
        <v>58.067777999999997</v>
      </c>
      <c r="H3597" s="11">
        <v>1</v>
      </c>
    </row>
    <row r="3598" spans="6:8" x14ac:dyDescent="0.3">
      <c r="F3598" s="11">
        <v>-5.415</v>
      </c>
      <c r="G3598" s="11">
        <v>58.095832999999999</v>
      </c>
      <c r="H3598" s="11">
        <v>1</v>
      </c>
    </row>
    <row r="3599" spans="6:8" x14ac:dyDescent="0.3">
      <c r="F3599" s="11">
        <v>-5.3586109999999998</v>
      </c>
      <c r="G3599" s="11">
        <v>58.067777999999997</v>
      </c>
      <c r="H3599" s="11">
        <v>1</v>
      </c>
    </row>
    <row r="3600" spans="6:8" x14ac:dyDescent="0.3">
      <c r="F3600" s="11">
        <v>-5.2752780000000001</v>
      </c>
      <c r="G3600" s="11">
        <v>58.064722000000003</v>
      </c>
      <c r="H3600" s="11">
        <v>1</v>
      </c>
    </row>
    <row r="3601" spans="6:8" x14ac:dyDescent="0.3">
      <c r="F3601" s="11">
        <v>-5.2661110000000004</v>
      </c>
      <c r="G3601" s="11">
        <v>58.106110999999999</v>
      </c>
      <c r="H3601" s="11">
        <v>1</v>
      </c>
    </row>
    <row r="3602" spans="6:8" x14ac:dyDescent="0.3">
      <c r="F3602" s="11">
        <v>-5.2719440000000004</v>
      </c>
      <c r="G3602" s="11">
        <v>58.130555999999999</v>
      </c>
      <c r="H3602" s="11">
        <v>1</v>
      </c>
    </row>
    <row r="3603" spans="6:8" x14ac:dyDescent="0.3">
      <c r="F3603" s="11">
        <v>-5.2788890000000004</v>
      </c>
      <c r="G3603" s="11">
        <v>58.146943999999998</v>
      </c>
      <c r="H3603" s="11">
        <v>1</v>
      </c>
    </row>
    <row r="3604" spans="6:8" x14ac:dyDescent="0.3">
      <c r="F3604" s="11">
        <v>-5.3297220000000003</v>
      </c>
      <c r="G3604" s="11">
        <v>58.179443999999997</v>
      </c>
      <c r="H3604" s="11">
        <v>1</v>
      </c>
    </row>
    <row r="3605" spans="6:8" x14ac:dyDescent="0.3">
      <c r="F3605" s="11">
        <v>-5.3624999999999998</v>
      </c>
      <c r="G3605" s="11">
        <v>58.218888999999997</v>
      </c>
      <c r="H3605" s="11">
        <v>1</v>
      </c>
    </row>
    <row r="3606" spans="6:8" x14ac:dyDescent="0.3">
      <c r="F3606" s="11">
        <v>-5.371111</v>
      </c>
      <c r="G3606" s="11">
        <v>58.253889000000001</v>
      </c>
      <c r="H3606" s="11">
        <v>1</v>
      </c>
    </row>
    <row r="3607" spans="6:8" x14ac:dyDescent="0.3">
      <c r="F3607" s="11">
        <v>-5.298889</v>
      </c>
      <c r="G3607" s="11">
        <v>58.226111000000003</v>
      </c>
      <c r="H3607" s="11">
        <v>1</v>
      </c>
    </row>
    <row r="3608" spans="6:8" x14ac:dyDescent="0.3">
      <c r="F3608" s="11">
        <v>-5.2066670000000004</v>
      </c>
      <c r="G3608" s="11">
        <v>58.242778000000001</v>
      </c>
      <c r="H3608" s="11">
        <v>1</v>
      </c>
    </row>
    <row r="3609" spans="6:8" x14ac:dyDescent="0.3">
      <c r="F3609" s="11">
        <v>-5.1336110000000001</v>
      </c>
      <c r="G3609" s="11">
        <v>58.253332999999998</v>
      </c>
      <c r="H3609" s="11">
        <v>1</v>
      </c>
    </row>
    <row r="3610" spans="6:8" x14ac:dyDescent="0.3">
      <c r="F3610" s="11">
        <v>-5.068333</v>
      </c>
      <c r="G3610" s="11">
        <v>58.251944000000002</v>
      </c>
      <c r="H3610" s="11">
        <v>1</v>
      </c>
    </row>
    <row r="3611" spans="6:8" x14ac:dyDescent="0.3">
      <c r="F3611" s="11">
        <v>-4.9933329999999998</v>
      </c>
      <c r="G3611" s="11">
        <v>58.236111000000001</v>
      </c>
      <c r="H3611" s="11">
        <v>1</v>
      </c>
    </row>
    <row r="3612" spans="6:8" x14ac:dyDescent="0.3">
      <c r="F3612" s="11">
        <v>-4.9708329999999998</v>
      </c>
      <c r="G3612" s="11">
        <v>58.246943999999999</v>
      </c>
      <c r="H3612" s="11">
        <v>1</v>
      </c>
    </row>
    <row r="3613" spans="6:8" x14ac:dyDescent="0.3">
      <c r="F3613" s="11">
        <v>-5.0005559999999996</v>
      </c>
      <c r="G3613" s="11">
        <v>58.2575</v>
      </c>
      <c r="H3613" s="11">
        <v>1</v>
      </c>
    </row>
    <row r="3614" spans="6:8" x14ac:dyDescent="0.3">
      <c r="F3614" s="11">
        <v>-5.0919439999999998</v>
      </c>
      <c r="G3614" s="11">
        <v>58.273888999999997</v>
      </c>
      <c r="H3614" s="11">
        <v>1</v>
      </c>
    </row>
    <row r="3615" spans="6:8" x14ac:dyDescent="0.3">
      <c r="F3615" s="11">
        <v>-5.1277780000000002</v>
      </c>
      <c r="G3615" s="11">
        <v>58.312221999999998</v>
      </c>
      <c r="H3615" s="11">
        <v>1</v>
      </c>
    </row>
    <row r="3616" spans="6:8" x14ac:dyDescent="0.3">
      <c r="F3616" s="11">
        <v>-5.1547219999999996</v>
      </c>
      <c r="G3616" s="11">
        <v>58.333888999999999</v>
      </c>
      <c r="H3616" s="11">
        <v>1</v>
      </c>
    </row>
    <row r="3617" spans="6:8" x14ac:dyDescent="0.3">
      <c r="F3617" s="11">
        <v>-5.14</v>
      </c>
      <c r="G3617" s="11">
        <v>58.375833</v>
      </c>
      <c r="H3617" s="11">
        <v>1</v>
      </c>
    </row>
    <row r="3618" spans="6:8" x14ac:dyDescent="0.3">
      <c r="F3618" s="11">
        <v>-5.0961109999999996</v>
      </c>
      <c r="G3618" s="11">
        <v>58.393611</v>
      </c>
      <c r="H3618" s="11">
        <v>1</v>
      </c>
    </row>
    <row r="3619" spans="6:8" x14ac:dyDescent="0.3">
      <c r="F3619" s="11">
        <v>-5.0324999999999998</v>
      </c>
      <c r="G3619" s="11">
        <v>58.393056000000001</v>
      </c>
      <c r="H3619" s="11">
        <v>1</v>
      </c>
    </row>
    <row r="3620" spans="6:8" x14ac:dyDescent="0.3">
      <c r="F3620" s="11">
        <v>-5.075278</v>
      </c>
      <c r="G3620" s="11">
        <v>58.415556000000002</v>
      </c>
      <c r="H3620" s="11">
        <v>1</v>
      </c>
    </row>
    <row r="3621" spans="6:8" x14ac:dyDescent="0.3">
      <c r="F3621" s="11">
        <v>-5.0475000000000003</v>
      </c>
      <c r="G3621" s="11">
        <v>58.441110999999999</v>
      </c>
      <c r="H3621" s="11">
        <v>1</v>
      </c>
    </row>
    <row r="3622" spans="6:8" x14ac:dyDescent="0.3">
      <c r="F3622" s="11">
        <v>-5.0094440000000002</v>
      </c>
      <c r="G3622" s="11">
        <v>58.443610999999997</v>
      </c>
      <c r="H3622" s="11">
        <v>1</v>
      </c>
    </row>
    <row r="3623" spans="6:8" x14ac:dyDescent="0.3">
      <c r="F3623" s="11">
        <v>-5.0658329999999996</v>
      </c>
      <c r="G3623" s="11">
        <v>58.467500000000001</v>
      </c>
      <c r="H3623" s="11">
        <v>1</v>
      </c>
    </row>
    <row r="3624" spans="6:8" x14ac:dyDescent="0.3">
      <c r="F3624" s="11">
        <v>-5.1069440000000004</v>
      </c>
      <c r="G3624" s="11">
        <v>58.506943999999997</v>
      </c>
      <c r="H3624" s="11">
        <v>1</v>
      </c>
    </row>
    <row r="3625" spans="6:8" x14ac:dyDescent="0.3">
      <c r="F3625" s="11">
        <v>-5.0408330000000001</v>
      </c>
      <c r="G3625" s="11">
        <v>58.536943999999998</v>
      </c>
      <c r="H3625" s="11">
        <v>1</v>
      </c>
    </row>
    <row r="3626" spans="6:8" x14ac:dyDescent="0.3">
      <c r="F3626" s="11">
        <v>-5.0116670000000001</v>
      </c>
      <c r="G3626" s="11">
        <v>58.590277999999998</v>
      </c>
      <c r="H3626" s="11">
        <v>1</v>
      </c>
    </row>
    <row r="3627" spans="6:8" x14ac:dyDescent="0.3">
      <c r="H3627" s="11">
        <v>1</v>
      </c>
    </row>
    <row r="3628" spans="6:8" x14ac:dyDescent="0.3">
      <c r="F3628" s="11">
        <v>-1.6219440000000001</v>
      </c>
      <c r="G3628" s="11">
        <v>59.517778</v>
      </c>
      <c r="H3628" s="11">
        <v>1</v>
      </c>
    </row>
    <row r="3629" spans="6:8" x14ac:dyDescent="0.3">
      <c r="F3629" s="11">
        <v>-1.636944</v>
      </c>
      <c r="G3629" s="11">
        <v>59.543610999999999</v>
      </c>
      <c r="H3629" s="11">
        <v>1</v>
      </c>
    </row>
    <row r="3630" spans="6:8" x14ac:dyDescent="0.3">
      <c r="H3630" s="11">
        <v>1</v>
      </c>
    </row>
    <row r="3631" spans="6:8" x14ac:dyDescent="0.3">
      <c r="F3631" s="11">
        <v>-2.4063889999999999</v>
      </c>
      <c r="G3631" s="11">
        <v>59.350278000000003</v>
      </c>
      <c r="H3631" s="11">
        <v>1</v>
      </c>
    </row>
    <row r="3632" spans="6:8" x14ac:dyDescent="0.3">
      <c r="F3632" s="11">
        <v>-2.4172220000000002</v>
      </c>
      <c r="G3632" s="11">
        <v>59.384444000000002</v>
      </c>
      <c r="H3632" s="11">
        <v>1</v>
      </c>
    </row>
    <row r="3633" spans="6:8" x14ac:dyDescent="0.3">
      <c r="H3633" s="11">
        <v>1</v>
      </c>
    </row>
    <row r="3634" spans="6:8" x14ac:dyDescent="0.3">
      <c r="F3634" s="11">
        <v>-2.473611</v>
      </c>
      <c r="G3634" s="11">
        <v>59.262222000000001</v>
      </c>
      <c r="H3634" s="11">
        <v>1</v>
      </c>
    </row>
    <row r="3635" spans="6:8" x14ac:dyDescent="0.3">
      <c r="F3635" s="11">
        <v>-2.5172219999999998</v>
      </c>
      <c r="G3635" s="11">
        <v>59.24</v>
      </c>
      <c r="H3635" s="11">
        <v>1</v>
      </c>
    </row>
    <row r="3636" spans="6:8" x14ac:dyDescent="0.3">
      <c r="F3636" s="11">
        <v>-2.558611</v>
      </c>
      <c r="G3636" s="11">
        <v>59.233333000000002</v>
      </c>
      <c r="H3636" s="11">
        <v>1</v>
      </c>
    </row>
    <row r="3637" spans="6:8" x14ac:dyDescent="0.3">
      <c r="F3637" s="11">
        <v>-2.5961110000000001</v>
      </c>
      <c r="G3637" s="11">
        <v>59.233888999999998</v>
      </c>
      <c r="H3637" s="11">
        <v>1</v>
      </c>
    </row>
    <row r="3638" spans="6:8" x14ac:dyDescent="0.3">
      <c r="F3638" s="11">
        <v>-2.657222</v>
      </c>
      <c r="G3638" s="11">
        <v>59.202500000000001</v>
      </c>
      <c r="H3638" s="11">
        <v>1</v>
      </c>
    </row>
    <row r="3639" spans="6:8" x14ac:dyDescent="0.3">
      <c r="F3639" s="11">
        <v>-2.6924999999999999</v>
      </c>
      <c r="G3639" s="11">
        <v>59.201943999999997</v>
      </c>
      <c r="H3639" s="11">
        <v>1</v>
      </c>
    </row>
    <row r="3640" spans="6:8" x14ac:dyDescent="0.3">
      <c r="F3640" s="11">
        <v>-2.641111</v>
      </c>
      <c r="G3640" s="11">
        <v>59.244722000000003</v>
      </c>
      <c r="H3640" s="11">
        <v>1</v>
      </c>
    </row>
    <row r="3641" spans="6:8" x14ac:dyDescent="0.3">
      <c r="F3641" s="11">
        <v>-2.599167</v>
      </c>
      <c r="G3641" s="11">
        <v>59.278055999999999</v>
      </c>
      <c r="H3641" s="11">
        <v>1</v>
      </c>
    </row>
    <row r="3642" spans="6:8" x14ac:dyDescent="0.3">
      <c r="F3642" s="11">
        <v>-2.5416669999999999</v>
      </c>
      <c r="G3642" s="11">
        <v>59.304443999999997</v>
      </c>
      <c r="H3642" s="11">
        <v>1</v>
      </c>
    </row>
    <row r="3643" spans="6:8" x14ac:dyDescent="0.3">
      <c r="F3643" s="11">
        <v>-2.5669439999999999</v>
      </c>
      <c r="G3643" s="11">
        <v>59.274721999999997</v>
      </c>
      <c r="H3643" s="11">
        <v>1</v>
      </c>
    </row>
    <row r="3644" spans="6:8" x14ac:dyDescent="0.3">
      <c r="F3644" s="11">
        <v>-2.5036109999999998</v>
      </c>
      <c r="G3644" s="11">
        <v>59.278610999999998</v>
      </c>
      <c r="H3644" s="11">
        <v>1</v>
      </c>
    </row>
    <row r="3645" spans="6:8" x14ac:dyDescent="0.3">
      <c r="F3645" s="11">
        <v>-2.4294440000000002</v>
      </c>
      <c r="G3645" s="11">
        <v>59.307499999999997</v>
      </c>
      <c r="H3645" s="11">
        <v>1</v>
      </c>
    </row>
    <row r="3646" spans="6:8" x14ac:dyDescent="0.3">
      <c r="F3646" s="11">
        <v>-2.39</v>
      </c>
      <c r="G3646" s="11">
        <v>59.279722</v>
      </c>
      <c r="H3646" s="11">
        <v>1</v>
      </c>
    </row>
    <row r="3647" spans="6:8" x14ac:dyDescent="0.3">
      <c r="H3647" s="11">
        <v>1</v>
      </c>
    </row>
    <row r="3648" spans="6:8" x14ac:dyDescent="0.3">
      <c r="F3648" s="11">
        <v>-2.525833</v>
      </c>
      <c r="G3648" s="11">
        <v>59.082777999999998</v>
      </c>
      <c r="H3648" s="11">
        <v>1</v>
      </c>
    </row>
    <row r="3649" spans="6:8" x14ac:dyDescent="0.3">
      <c r="F3649" s="11">
        <v>-2.5958329999999998</v>
      </c>
      <c r="G3649" s="11">
        <v>59.082777999999998</v>
      </c>
      <c r="H3649" s="11">
        <v>1</v>
      </c>
    </row>
    <row r="3650" spans="6:8" x14ac:dyDescent="0.3">
      <c r="F3650" s="11">
        <v>-2.6447219999999998</v>
      </c>
      <c r="G3650" s="11">
        <v>59.090833000000003</v>
      </c>
      <c r="H3650" s="11">
        <v>1</v>
      </c>
    </row>
    <row r="3651" spans="6:8" x14ac:dyDescent="0.3">
      <c r="F3651" s="11">
        <v>-2.6724999999999999</v>
      </c>
      <c r="G3651" s="11">
        <v>59.095278</v>
      </c>
      <c r="H3651" s="11">
        <v>1</v>
      </c>
    </row>
    <row r="3652" spans="6:8" x14ac:dyDescent="0.3">
      <c r="F3652" s="11">
        <v>-2.6219440000000001</v>
      </c>
      <c r="G3652" s="11">
        <v>59.127777999999999</v>
      </c>
      <c r="H3652" s="11">
        <v>1</v>
      </c>
    </row>
    <row r="3653" spans="6:8" x14ac:dyDescent="0.3">
      <c r="F3653" s="11">
        <v>-2.6375000000000002</v>
      </c>
      <c r="G3653" s="11">
        <v>59.156944000000003</v>
      </c>
      <c r="H3653" s="11">
        <v>1</v>
      </c>
    </row>
    <row r="3654" spans="6:8" x14ac:dyDescent="0.3">
      <c r="F3654" s="11">
        <v>-2.5716670000000001</v>
      </c>
      <c r="G3654" s="11">
        <v>59.140278000000002</v>
      </c>
      <c r="H3654" s="11">
        <v>1</v>
      </c>
    </row>
    <row r="3655" spans="6:8" x14ac:dyDescent="0.3">
      <c r="F3655" s="11">
        <v>-2.5555560000000002</v>
      </c>
      <c r="G3655" s="11">
        <v>59.120556000000001</v>
      </c>
      <c r="H3655" s="11">
        <v>1</v>
      </c>
    </row>
    <row r="3656" spans="6:8" x14ac:dyDescent="0.3">
      <c r="H3656" s="11">
        <v>1</v>
      </c>
    </row>
    <row r="3657" spans="6:8" x14ac:dyDescent="0.3">
      <c r="F3657" s="11">
        <v>-2.8088890000000002</v>
      </c>
      <c r="G3657" s="11">
        <v>59.033611000000001</v>
      </c>
      <c r="H3657" s="11">
        <v>1</v>
      </c>
    </row>
    <row r="3658" spans="6:8" x14ac:dyDescent="0.3">
      <c r="F3658" s="11">
        <v>-2.8880560000000002</v>
      </c>
      <c r="G3658" s="11">
        <v>59.031111000000003</v>
      </c>
      <c r="H3658" s="11">
        <v>1</v>
      </c>
    </row>
    <row r="3659" spans="6:8" x14ac:dyDescent="0.3">
      <c r="F3659" s="11">
        <v>-2.9122219999999999</v>
      </c>
      <c r="G3659" s="11">
        <v>59.062221999999998</v>
      </c>
      <c r="H3659" s="11">
        <v>1</v>
      </c>
    </row>
    <row r="3660" spans="6:8" x14ac:dyDescent="0.3">
      <c r="F3660" s="11">
        <v>-2.8397220000000001</v>
      </c>
      <c r="G3660" s="11">
        <v>59.063056000000003</v>
      </c>
      <c r="H3660" s="11">
        <v>1</v>
      </c>
    </row>
    <row r="3661" spans="6:8" x14ac:dyDescent="0.3">
      <c r="H3661" s="11">
        <v>1</v>
      </c>
    </row>
    <row r="3662" spans="6:8" x14ac:dyDescent="0.3">
      <c r="F3662" s="11">
        <v>-2.7166670000000002</v>
      </c>
      <c r="G3662" s="11">
        <v>58.919167000000002</v>
      </c>
      <c r="H3662" s="11">
        <v>1</v>
      </c>
    </row>
    <row r="3663" spans="6:8" x14ac:dyDescent="0.3">
      <c r="F3663" s="11">
        <v>-2.796389</v>
      </c>
      <c r="G3663" s="11">
        <v>58.896388999999999</v>
      </c>
      <c r="H3663" s="11">
        <v>1</v>
      </c>
    </row>
    <row r="3664" spans="6:8" x14ac:dyDescent="0.3">
      <c r="F3664" s="11">
        <v>-2.8569439999999999</v>
      </c>
      <c r="G3664" s="11">
        <v>58.892221999999997</v>
      </c>
      <c r="H3664" s="11">
        <v>1</v>
      </c>
    </row>
    <row r="3665" spans="6:8" x14ac:dyDescent="0.3">
      <c r="F3665" s="11">
        <v>-2.9308329999999998</v>
      </c>
      <c r="G3665" s="11">
        <v>58.907221999999997</v>
      </c>
      <c r="H3665" s="11">
        <v>1</v>
      </c>
    </row>
    <row r="3666" spans="6:8" x14ac:dyDescent="0.3">
      <c r="F3666" s="11">
        <v>-2.9544440000000001</v>
      </c>
      <c r="G3666" s="11">
        <v>58.957777999999998</v>
      </c>
      <c r="H3666" s="11">
        <v>1</v>
      </c>
    </row>
    <row r="3667" spans="6:8" x14ac:dyDescent="0.3">
      <c r="F3667" s="11">
        <v>-3.0352779999999999</v>
      </c>
      <c r="G3667" s="11">
        <v>58.937778000000002</v>
      </c>
      <c r="H3667" s="11">
        <v>1</v>
      </c>
    </row>
    <row r="3668" spans="6:8" x14ac:dyDescent="0.3">
      <c r="F3668" s="11">
        <v>-3.1038890000000001</v>
      </c>
      <c r="G3668" s="11">
        <v>58.929443999999997</v>
      </c>
      <c r="H3668" s="11">
        <v>1</v>
      </c>
    </row>
    <row r="3669" spans="6:8" x14ac:dyDescent="0.3">
      <c r="F3669" s="11">
        <v>-3.1766670000000001</v>
      </c>
      <c r="G3669" s="11">
        <v>58.913333000000002</v>
      </c>
      <c r="H3669" s="11">
        <v>1</v>
      </c>
    </row>
    <row r="3670" spans="6:8" x14ac:dyDescent="0.3">
      <c r="F3670" s="11">
        <v>-3.2322220000000002</v>
      </c>
      <c r="G3670" s="11">
        <v>58.945833</v>
      </c>
      <c r="H3670" s="11">
        <v>1</v>
      </c>
    </row>
    <row r="3671" spans="6:8" x14ac:dyDescent="0.3">
      <c r="F3671" s="11">
        <v>-3.2188889999999999</v>
      </c>
      <c r="G3671" s="11">
        <v>58.995277999999999</v>
      </c>
      <c r="H3671" s="11">
        <v>1</v>
      </c>
    </row>
    <row r="3672" spans="6:8" x14ac:dyDescent="0.3">
      <c r="F3672" s="11">
        <v>-3.2408329999999999</v>
      </c>
      <c r="G3672" s="11">
        <v>59.029167000000001</v>
      </c>
      <c r="H3672" s="11">
        <v>1</v>
      </c>
    </row>
    <row r="3673" spans="6:8" x14ac:dyDescent="0.3">
      <c r="F3673" s="11">
        <v>-3.264167</v>
      </c>
      <c r="G3673" s="11">
        <v>59.003889000000001</v>
      </c>
      <c r="H3673" s="11">
        <v>1</v>
      </c>
    </row>
    <row r="3674" spans="6:8" x14ac:dyDescent="0.3">
      <c r="F3674" s="11">
        <v>-3.2675000000000001</v>
      </c>
      <c r="G3674" s="11">
        <v>58.963611</v>
      </c>
      <c r="H3674" s="11">
        <v>1</v>
      </c>
    </row>
    <row r="3675" spans="6:8" x14ac:dyDescent="0.3">
      <c r="F3675" s="11">
        <v>-3.328611</v>
      </c>
      <c r="G3675" s="11">
        <v>58.960555999999997</v>
      </c>
      <c r="H3675" s="11">
        <v>1</v>
      </c>
    </row>
    <row r="3676" spans="6:8" x14ac:dyDescent="0.3">
      <c r="F3676" s="11">
        <v>-3.3650000000000002</v>
      </c>
      <c r="G3676" s="11">
        <v>59.0075</v>
      </c>
      <c r="H3676" s="11">
        <v>1</v>
      </c>
    </row>
    <row r="3677" spans="6:8" x14ac:dyDescent="0.3">
      <c r="F3677" s="11">
        <v>-3.3438889999999999</v>
      </c>
      <c r="G3677" s="11">
        <v>59.056111000000001</v>
      </c>
      <c r="H3677" s="11">
        <v>1</v>
      </c>
    </row>
    <row r="3678" spans="6:8" x14ac:dyDescent="0.3">
      <c r="F3678" s="11">
        <v>-3.344722</v>
      </c>
      <c r="G3678" s="11">
        <v>59.111944000000001</v>
      </c>
      <c r="H3678" s="11">
        <v>1</v>
      </c>
    </row>
    <row r="3679" spans="6:8" x14ac:dyDescent="0.3">
      <c r="F3679" s="11">
        <v>-3.271944</v>
      </c>
      <c r="G3679" s="11">
        <v>59.141944000000002</v>
      </c>
      <c r="H3679" s="11">
        <v>1</v>
      </c>
    </row>
    <row r="3680" spans="6:8" x14ac:dyDescent="0.3">
      <c r="F3680" s="11">
        <v>-3.1730559999999999</v>
      </c>
      <c r="G3680" s="11">
        <v>59.140278000000002</v>
      </c>
      <c r="H3680" s="11">
        <v>1</v>
      </c>
    </row>
    <row r="3681" spans="6:8" x14ac:dyDescent="0.3">
      <c r="F3681" s="11">
        <v>-3.0897220000000001</v>
      </c>
      <c r="G3681" s="11">
        <v>59.12</v>
      </c>
      <c r="H3681" s="11">
        <v>1</v>
      </c>
    </row>
    <row r="3682" spans="6:8" x14ac:dyDescent="0.3">
      <c r="F3682" s="11">
        <v>-3.0580560000000001</v>
      </c>
      <c r="G3682" s="11">
        <v>59.09</v>
      </c>
      <c r="H3682" s="11">
        <v>1</v>
      </c>
    </row>
    <row r="3683" spans="6:8" x14ac:dyDescent="0.3">
      <c r="F3683" s="11">
        <v>-3.0055559999999999</v>
      </c>
      <c r="G3683" s="11">
        <v>59.064722000000003</v>
      </c>
      <c r="H3683" s="11">
        <v>1</v>
      </c>
    </row>
    <row r="3684" spans="6:8" x14ac:dyDescent="0.3">
      <c r="F3684" s="11">
        <v>-3.0511110000000001</v>
      </c>
      <c r="G3684" s="11">
        <v>59.048333</v>
      </c>
      <c r="H3684" s="11">
        <v>1</v>
      </c>
    </row>
    <row r="3685" spans="6:8" x14ac:dyDescent="0.3">
      <c r="F3685" s="11">
        <v>-3.1077780000000002</v>
      </c>
      <c r="G3685" s="11">
        <v>59.010278</v>
      </c>
      <c r="H3685" s="11">
        <v>1</v>
      </c>
    </row>
    <row r="3686" spans="6:8" x14ac:dyDescent="0.3">
      <c r="F3686" s="11">
        <v>-3.0730559999999998</v>
      </c>
      <c r="G3686" s="11">
        <v>58.985833</v>
      </c>
      <c r="H3686" s="11">
        <v>1</v>
      </c>
    </row>
    <row r="3687" spans="6:8" x14ac:dyDescent="0.3">
      <c r="F3687" s="11">
        <v>-2.9983330000000001</v>
      </c>
      <c r="G3687" s="11">
        <v>59.009166999999998</v>
      </c>
      <c r="H3687" s="11">
        <v>1</v>
      </c>
    </row>
    <row r="3688" spans="6:8" x14ac:dyDescent="0.3">
      <c r="F3688" s="11">
        <v>-2.9344440000000001</v>
      </c>
      <c r="G3688" s="11">
        <v>59.006110999999997</v>
      </c>
      <c r="H3688" s="11">
        <v>1</v>
      </c>
    </row>
    <row r="3689" spans="6:8" x14ac:dyDescent="0.3">
      <c r="F3689" s="11">
        <v>-2.8769439999999999</v>
      </c>
      <c r="G3689" s="11">
        <v>58.989443999999999</v>
      </c>
      <c r="H3689" s="11">
        <v>1</v>
      </c>
    </row>
    <row r="3690" spans="6:8" x14ac:dyDescent="0.3">
      <c r="F3690" s="11">
        <v>-2.8397220000000001</v>
      </c>
      <c r="G3690" s="11">
        <v>58.980277999999998</v>
      </c>
      <c r="H3690" s="11">
        <v>1</v>
      </c>
    </row>
    <row r="3691" spans="6:8" x14ac:dyDescent="0.3">
      <c r="F3691" s="11">
        <v>-2.7808329999999999</v>
      </c>
      <c r="G3691" s="11">
        <v>58.97</v>
      </c>
      <c r="H3691" s="11">
        <v>1</v>
      </c>
    </row>
    <row r="3692" spans="6:8" x14ac:dyDescent="0.3">
      <c r="F3692" s="11">
        <v>-2.8238889999999999</v>
      </c>
      <c r="G3692" s="11">
        <v>58.943888999999999</v>
      </c>
      <c r="H3692" s="11">
        <v>1</v>
      </c>
    </row>
    <row r="3693" spans="6:8" x14ac:dyDescent="0.3">
      <c r="F3693" s="11">
        <v>-2.746667</v>
      </c>
      <c r="G3693" s="11">
        <v>58.963332999999999</v>
      </c>
      <c r="H3693" s="11">
        <v>1</v>
      </c>
    </row>
    <row r="3694" spans="6:8" x14ac:dyDescent="0.3">
      <c r="H3694" s="11">
        <v>1</v>
      </c>
    </row>
    <row r="3695" spans="6:8" x14ac:dyDescent="0.3">
      <c r="F3695" s="11">
        <v>-2.9533330000000002</v>
      </c>
      <c r="G3695" s="11">
        <v>58.850278000000003</v>
      </c>
      <c r="H3695" s="11">
        <v>1</v>
      </c>
    </row>
    <row r="3696" spans="6:8" x14ac:dyDescent="0.3">
      <c r="F3696" s="11">
        <v>-2.884722</v>
      </c>
      <c r="G3696" s="11">
        <v>58.863610999999999</v>
      </c>
      <c r="H3696" s="11">
        <v>1</v>
      </c>
    </row>
    <row r="3697" spans="6:8" x14ac:dyDescent="0.3">
      <c r="H3697" s="11">
        <v>1</v>
      </c>
    </row>
    <row r="3698" spans="6:8" x14ac:dyDescent="0.3">
      <c r="F3698" s="11">
        <v>-2.9191669999999998</v>
      </c>
      <c r="G3698" s="11">
        <v>58.776944</v>
      </c>
      <c r="H3698" s="11">
        <v>1</v>
      </c>
    </row>
    <row r="3699" spans="6:8" x14ac:dyDescent="0.3">
      <c r="F3699" s="11">
        <v>-2.9258329999999999</v>
      </c>
      <c r="G3699" s="11">
        <v>58.731389</v>
      </c>
      <c r="H3699" s="11">
        <v>1</v>
      </c>
    </row>
    <row r="3700" spans="6:8" x14ac:dyDescent="0.3">
      <c r="F3700" s="11">
        <v>-2.9816669999999998</v>
      </c>
      <c r="G3700" s="11">
        <v>58.762777999999997</v>
      </c>
      <c r="H3700" s="11">
        <v>1</v>
      </c>
    </row>
    <row r="3701" spans="6:8" x14ac:dyDescent="0.3">
      <c r="F3701" s="11">
        <v>-3.0172219999999998</v>
      </c>
      <c r="G3701" s="11">
        <v>58.803055999999998</v>
      </c>
      <c r="H3701" s="11">
        <v>1</v>
      </c>
    </row>
    <row r="3702" spans="6:8" x14ac:dyDescent="0.3">
      <c r="F3702" s="11">
        <v>-2.9988890000000001</v>
      </c>
      <c r="G3702" s="11">
        <v>58.821111000000002</v>
      </c>
      <c r="H3702" s="11">
        <v>1</v>
      </c>
    </row>
    <row r="3703" spans="6:8" x14ac:dyDescent="0.3">
      <c r="F3703" s="11">
        <v>-2.9913889999999999</v>
      </c>
      <c r="G3703" s="11">
        <v>58.830832999999998</v>
      </c>
      <c r="H3703" s="11">
        <v>1</v>
      </c>
    </row>
    <row r="3704" spans="6:8" x14ac:dyDescent="0.3">
      <c r="F3704" s="11">
        <v>-2.8941669999999999</v>
      </c>
      <c r="G3704" s="11">
        <v>58.836944000000003</v>
      </c>
      <c r="H3704" s="11">
        <v>1</v>
      </c>
    </row>
    <row r="3705" spans="6:8" x14ac:dyDescent="0.3">
      <c r="H3705" s="11">
        <v>1</v>
      </c>
    </row>
    <row r="3706" spans="6:8" x14ac:dyDescent="0.3">
      <c r="F3706" s="11">
        <v>-3.0436109999999998</v>
      </c>
      <c r="G3706" s="11">
        <v>58.742221999999998</v>
      </c>
      <c r="H3706" s="11">
        <v>1</v>
      </c>
    </row>
    <row r="3707" spans="6:8" x14ac:dyDescent="0.3">
      <c r="H3707" s="11">
        <v>1</v>
      </c>
    </row>
    <row r="3708" spans="6:8" x14ac:dyDescent="0.3">
      <c r="F3708" s="11">
        <v>-3.1291669999999998</v>
      </c>
      <c r="G3708" s="11">
        <v>58.683332999999998</v>
      </c>
      <c r="H3708" s="11">
        <v>1</v>
      </c>
    </row>
    <row r="3709" spans="6:8" x14ac:dyDescent="0.3">
      <c r="H3709" s="11">
        <v>1</v>
      </c>
    </row>
    <row r="3710" spans="6:8" x14ac:dyDescent="0.3">
      <c r="F3710" s="11">
        <v>-3.1549999999999998</v>
      </c>
      <c r="G3710" s="11">
        <v>58.850278000000003</v>
      </c>
      <c r="H3710" s="11">
        <v>1</v>
      </c>
    </row>
    <row r="3711" spans="6:8" x14ac:dyDescent="0.3">
      <c r="H3711" s="11">
        <v>1</v>
      </c>
    </row>
    <row r="3712" spans="6:8" x14ac:dyDescent="0.3">
      <c r="F3712" s="11">
        <v>-3.1438890000000002</v>
      </c>
      <c r="G3712" s="11">
        <v>58.819721999999999</v>
      </c>
      <c r="H3712" s="11">
        <v>1</v>
      </c>
    </row>
    <row r="3713" spans="6:8" x14ac:dyDescent="0.3">
      <c r="F3713" s="11">
        <v>-3.0777779999999999</v>
      </c>
      <c r="G3713" s="11">
        <v>58.849443999999998</v>
      </c>
      <c r="H3713" s="11">
        <v>1</v>
      </c>
    </row>
    <row r="3714" spans="6:8" x14ac:dyDescent="0.3">
      <c r="F3714" s="11">
        <v>-3.0777779999999999</v>
      </c>
      <c r="G3714" s="11">
        <v>58.825555999999999</v>
      </c>
      <c r="H3714" s="11">
        <v>1</v>
      </c>
    </row>
    <row r="3715" spans="6:8" x14ac:dyDescent="0.3">
      <c r="H3715" s="11">
        <v>1</v>
      </c>
    </row>
    <row r="3716" spans="6:8" x14ac:dyDescent="0.3">
      <c r="F3716" s="11">
        <v>-3.1697220000000002</v>
      </c>
      <c r="G3716" s="11">
        <v>58.819721999999999</v>
      </c>
      <c r="H3716" s="11">
        <v>1</v>
      </c>
    </row>
    <row r="3717" spans="6:8" x14ac:dyDescent="0.3">
      <c r="F3717" s="11">
        <v>-3.2480560000000001</v>
      </c>
      <c r="G3717" s="11">
        <v>58.792499999999997</v>
      </c>
      <c r="H3717" s="11">
        <v>1</v>
      </c>
    </row>
    <row r="3718" spans="6:8" x14ac:dyDescent="0.3">
      <c r="F3718" s="11">
        <v>-3.1633330000000002</v>
      </c>
      <c r="G3718" s="11">
        <v>58.803610999999997</v>
      </c>
      <c r="H3718" s="11">
        <v>1</v>
      </c>
    </row>
    <row r="3719" spans="6:8" x14ac:dyDescent="0.3">
      <c r="F3719" s="11">
        <v>-3.175278</v>
      </c>
      <c r="G3719" s="11">
        <v>58.780555999999997</v>
      </c>
      <c r="H3719" s="11">
        <v>1</v>
      </c>
    </row>
    <row r="3720" spans="6:8" x14ac:dyDescent="0.3">
      <c r="F3720" s="11">
        <v>-3.2752780000000001</v>
      </c>
      <c r="G3720" s="11">
        <v>58.777222000000002</v>
      </c>
      <c r="H3720" s="11">
        <v>1</v>
      </c>
    </row>
    <row r="3721" spans="6:8" x14ac:dyDescent="0.3">
      <c r="F3721" s="11">
        <v>-3.33</v>
      </c>
      <c r="G3721" s="11">
        <v>58.811388999999998</v>
      </c>
      <c r="H3721" s="11">
        <v>1</v>
      </c>
    </row>
    <row r="3722" spans="6:8" x14ac:dyDescent="0.3">
      <c r="F3722" s="11">
        <v>-3.3780559999999999</v>
      </c>
      <c r="G3722" s="11">
        <v>58.852778000000001</v>
      </c>
      <c r="H3722" s="11">
        <v>1</v>
      </c>
    </row>
    <row r="3723" spans="6:8" x14ac:dyDescent="0.3">
      <c r="F3723" s="11">
        <v>-3.4305560000000002</v>
      </c>
      <c r="G3723" s="11">
        <v>58.882221999999999</v>
      </c>
      <c r="H3723" s="11">
        <v>1</v>
      </c>
    </row>
    <row r="3724" spans="6:8" x14ac:dyDescent="0.3">
      <c r="F3724" s="11">
        <v>-3.3725000000000001</v>
      </c>
      <c r="G3724" s="11">
        <v>58.921388999999998</v>
      </c>
      <c r="H3724" s="11">
        <v>1</v>
      </c>
    </row>
    <row r="3725" spans="6:8" x14ac:dyDescent="0.3">
      <c r="F3725" s="11">
        <v>-3.2966669999999998</v>
      </c>
      <c r="G3725" s="11">
        <v>58.906388999999997</v>
      </c>
      <c r="H3725" s="11">
        <v>1</v>
      </c>
    </row>
    <row r="3726" spans="6:8" x14ac:dyDescent="0.3">
      <c r="F3726" s="11">
        <v>-3.2186110000000001</v>
      </c>
      <c r="G3726" s="11">
        <v>58.876666999999998</v>
      </c>
      <c r="H3726" s="11">
        <v>1</v>
      </c>
    </row>
    <row r="3727" spans="6:8" x14ac:dyDescent="0.3">
      <c r="H3727" s="11">
        <v>1</v>
      </c>
    </row>
    <row r="3728" spans="6:8" x14ac:dyDescent="0.3">
      <c r="F3728" s="11">
        <v>-3.2741669999999998</v>
      </c>
      <c r="G3728" s="11">
        <v>58.931944000000001</v>
      </c>
      <c r="H3728" s="11">
        <v>1</v>
      </c>
    </row>
    <row r="3729" spans="6:8" x14ac:dyDescent="0.3">
      <c r="H3729" s="11">
        <v>1</v>
      </c>
    </row>
    <row r="3730" spans="6:8" x14ac:dyDescent="0.3">
      <c r="F3730" s="11">
        <v>-2.9647220000000001</v>
      </c>
      <c r="G3730" s="11">
        <v>59.083333000000003</v>
      </c>
      <c r="H3730" s="11">
        <v>1</v>
      </c>
    </row>
    <row r="3731" spans="6:8" x14ac:dyDescent="0.3">
      <c r="H3731" s="11">
        <v>1</v>
      </c>
    </row>
    <row r="3732" spans="6:8" x14ac:dyDescent="0.3">
      <c r="F3732" s="11">
        <v>-2.9786109999999999</v>
      </c>
      <c r="G3732" s="11">
        <v>59.13</v>
      </c>
      <c r="H3732" s="11">
        <v>1</v>
      </c>
    </row>
    <row r="3733" spans="6:8" x14ac:dyDescent="0.3">
      <c r="F3733" s="11">
        <v>-3.0755560000000002</v>
      </c>
      <c r="G3733" s="11">
        <v>59.1325</v>
      </c>
      <c r="H3733" s="11">
        <v>1</v>
      </c>
    </row>
    <row r="3734" spans="6:8" x14ac:dyDescent="0.3">
      <c r="F3734" s="11">
        <v>-3.119167</v>
      </c>
      <c r="G3734" s="11">
        <v>59.174166999999997</v>
      </c>
      <c r="H3734" s="11">
        <v>1</v>
      </c>
    </row>
    <row r="3735" spans="6:8" x14ac:dyDescent="0.3">
      <c r="F3735" s="11">
        <v>-3.052778</v>
      </c>
      <c r="G3735" s="11">
        <v>59.194443999999997</v>
      </c>
      <c r="H3735" s="11">
        <v>1</v>
      </c>
    </row>
    <row r="3736" spans="6:8" x14ac:dyDescent="0.3">
      <c r="F3736" s="11">
        <v>-2.9797220000000002</v>
      </c>
      <c r="G3736" s="11">
        <v>59.188889000000003</v>
      </c>
      <c r="H3736" s="11">
        <v>1</v>
      </c>
    </row>
    <row r="3737" spans="6:8" x14ac:dyDescent="0.3">
      <c r="H3737" s="11">
        <v>1</v>
      </c>
    </row>
    <row r="3738" spans="6:8" x14ac:dyDescent="0.3">
      <c r="F3738" s="11">
        <v>-2.9436110000000002</v>
      </c>
      <c r="G3738" s="11">
        <v>59.141666999999998</v>
      </c>
      <c r="H3738" s="11">
        <v>1</v>
      </c>
    </row>
    <row r="3739" spans="6:8" x14ac:dyDescent="0.3">
      <c r="H3739" s="11">
        <v>1</v>
      </c>
    </row>
    <row r="3740" spans="6:8" x14ac:dyDescent="0.3">
      <c r="F3740" s="11">
        <v>-3.016667</v>
      </c>
      <c r="G3740" s="11">
        <v>59.115278000000004</v>
      </c>
      <c r="H3740" s="11">
        <v>1</v>
      </c>
    </row>
    <row r="3741" spans="6:8" x14ac:dyDescent="0.3">
      <c r="H3741" s="11">
        <v>1</v>
      </c>
    </row>
    <row r="3742" spans="6:8" x14ac:dyDescent="0.3">
      <c r="F3742" s="11">
        <v>-2.9819439999999999</v>
      </c>
      <c r="G3742" s="11">
        <v>59.314722000000003</v>
      </c>
      <c r="H3742" s="11">
        <v>1</v>
      </c>
    </row>
    <row r="3743" spans="6:8" x14ac:dyDescent="0.3">
      <c r="F3743" s="11">
        <v>-2.9036110000000002</v>
      </c>
      <c r="G3743" s="11">
        <v>59.299722000000003</v>
      </c>
      <c r="H3743" s="11">
        <v>1</v>
      </c>
    </row>
    <row r="3744" spans="6:8" x14ac:dyDescent="0.3">
      <c r="F3744" s="11">
        <v>-2.8438889999999999</v>
      </c>
      <c r="G3744" s="11">
        <v>59.266111000000002</v>
      </c>
      <c r="H3744" s="11">
        <v>1</v>
      </c>
    </row>
    <row r="3745" spans="6:8" x14ac:dyDescent="0.3">
      <c r="F3745" s="11">
        <v>-2.8774999999999999</v>
      </c>
      <c r="G3745" s="11">
        <v>59.228611000000001</v>
      </c>
      <c r="H3745" s="11">
        <v>1</v>
      </c>
    </row>
    <row r="3746" spans="6:8" x14ac:dyDescent="0.3">
      <c r="F3746" s="11">
        <v>-2.9044439999999998</v>
      </c>
      <c r="G3746" s="11">
        <v>59.268056000000001</v>
      </c>
      <c r="H3746" s="11">
        <v>1</v>
      </c>
    </row>
    <row r="3747" spans="6:8" x14ac:dyDescent="0.3">
      <c r="F3747" s="11">
        <v>-2.967222</v>
      </c>
      <c r="G3747" s="11">
        <v>59.28</v>
      </c>
      <c r="H3747" s="11">
        <v>1</v>
      </c>
    </row>
    <row r="3748" spans="6:8" x14ac:dyDescent="0.3">
      <c r="F3748" s="11">
        <v>-3.0180560000000001</v>
      </c>
      <c r="G3748" s="11">
        <v>59.274166999999998</v>
      </c>
      <c r="H3748" s="11">
        <v>1</v>
      </c>
    </row>
    <row r="3749" spans="6:8" x14ac:dyDescent="0.3">
      <c r="F3749" s="11">
        <v>-3.0613890000000001</v>
      </c>
      <c r="G3749" s="11">
        <v>59.316667000000002</v>
      </c>
      <c r="H3749" s="11">
        <v>1</v>
      </c>
    </row>
    <row r="3750" spans="6:8" x14ac:dyDescent="0.3">
      <c r="F3750" s="11">
        <v>-3.0211109999999999</v>
      </c>
      <c r="G3750" s="11">
        <v>59.328055999999997</v>
      </c>
      <c r="H3750" s="11">
        <v>1</v>
      </c>
    </row>
    <row r="3751" spans="6:8" x14ac:dyDescent="0.3">
      <c r="F3751" s="11">
        <v>-2.9544440000000001</v>
      </c>
      <c r="G3751" s="11">
        <v>59.353611000000001</v>
      </c>
      <c r="H3751" s="11">
        <v>1</v>
      </c>
    </row>
    <row r="3752" spans="6:8" x14ac:dyDescent="0.3">
      <c r="H3752" s="11">
        <v>1</v>
      </c>
    </row>
    <row r="3753" spans="6:8" x14ac:dyDescent="0.3">
      <c r="F3753" s="11">
        <v>-2.8830559999999998</v>
      </c>
      <c r="G3753" s="11">
        <v>59.323332999999998</v>
      </c>
      <c r="H3753" s="11">
        <v>1</v>
      </c>
    </row>
    <row r="3754" spans="6:8" x14ac:dyDescent="0.3">
      <c r="F3754" s="11">
        <v>-2.9122219999999999</v>
      </c>
      <c r="G3754" s="11">
        <v>59.348889</v>
      </c>
      <c r="H3754" s="11">
        <v>1</v>
      </c>
    </row>
    <row r="3755" spans="6:8" x14ac:dyDescent="0.3">
      <c r="F3755" s="11">
        <v>-2.868611</v>
      </c>
      <c r="G3755" s="11">
        <v>59.373888999999998</v>
      </c>
      <c r="H3755" s="11">
        <v>1</v>
      </c>
    </row>
    <row r="3756" spans="6:8" x14ac:dyDescent="0.3">
      <c r="H3756" s="11">
        <v>1</v>
      </c>
    </row>
    <row r="3757" spans="6:8" x14ac:dyDescent="0.3">
      <c r="F3757" s="11">
        <v>-2.8202780000000001</v>
      </c>
      <c r="G3757" s="11">
        <v>59.223610999999998</v>
      </c>
      <c r="H3757" s="11">
        <v>1</v>
      </c>
    </row>
    <row r="3758" spans="6:8" x14ac:dyDescent="0.3">
      <c r="H3758" s="11">
        <v>1</v>
      </c>
    </row>
    <row r="3759" spans="6:8" x14ac:dyDescent="0.3">
      <c r="F3759" s="11">
        <v>-2.7574999999999998</v>
      </c>
      <c r="G3759" s="11">
        <v>59.172499999999999</v>
      </c>
      <c r="H3759" s="11">
        <v>1</v>
      </c>
    </row>
    <row r="3760" spans="6:8" x14ac:dyDescent="0.3">
      <c r="F3760" s="11">
        <v>-2.7741669999999998</v>
      </c>
      <c r="G3760" s="11">
        <v>59.139443999999997</v>
      </c>
      <c r="H3760" s="11">
        <v>1</v>
      </c>
    </row>
    <row r="3761" spans="6:8" x14ac:dyDescent="0.3">
      <c r="F3761" s="11">
        <v>-2.8280560000000001</v>
      </c>
      <c r="G3761" s="11">
        <v>59.173333</v>
      </c>
      <c r="H3761" s="11">
        <v>1</v>
      </c>
    </row>
    <row r="3762" spans="6:8" x14ac:dyDescent="0.3">
      <c r="F3762" s="11">
        <v>-2.782778</v>
      </c>
      <c r="G3762" s="11">
        <v>59.195833</v>
      </c>
      <c r="H3762" s="11">
        <v>1</v>
      </c>
    </row>
    <row r="3763" spans="6:8" x14ac:dyDescent="0.3">
      <c r="F3763" s="11">
        <v>-2.7816670000000001</v>
      </c>
      <c r="G3763" s="11">
        <v>59.246389000000001</v>
      </c>
      <c r="H3763" s="11">
        <v>1</v>
      </c>
    </row>
    <row r="3764" spans="6:8" x14ac:dyDescent="0.3">
      <c r="F3764" s="11">
        <v>-2.7322220000000002</v>
      </c>
      <c r="G3764" s="11">
        <v>59.224722</v>
      </c>
      <c r="H3764" s="11">
        <v>1</v>
      </c>
    </row>
    <row r="3765" spans="6:8" x14ac:dyDescent="0.3">
      <c r="H3765" s="11">
        <v>1</v>
      </c>
    </row>
    <row r="3766" spans="6:8" x14ac:dyDescent="0.3">
      <c r="F3766" s="11">
        <v>-2.7230560000000001</v>
      </c>
      <c r="G3766" s="11">
        <v>59.244444000000001</v>
      </c>
      <c r="H3766" s="11">
        <v>1</v>
      </c>
    </row>
    <row r="3767" spans="6:8" x14ac:dyDescent="0.3">
      <c r="H3767" s="11">
        <v>1</v>
      </c>
    </row>
    <row r="3768" spans="6:8" x14ac:dyDescent="0.3">
      <c r="F3768" s="11">
        <v>-1.848333</v>
      </c>
      <c r="G3768" s="11">
        <v>55.677222</v>
      </c>
      <c r="H3768" s="11">
        <v>1</v>
      </c>
    </row>
    <row r="3769" spans="6:8" x14ac:dyDescent="0.3">
      <c r="H3769" s="11">
        <v>1</v>
      </c>
    </row>
    <row r="3770" spans="6:8" x14ac:dyDescent="0.3">
      <c r="F3770" s="11">
        <v>0.682222</v>
      </c>
      <c r="G3770" s="11">
        <v>52.968611000000003</v>
      </c>
      <c r="H3770" s="11">
        <v>1</v>
      </c>
    </row>
    <row r="3771" spans="6:8" x14ac:dyDescent="0.3">
      <c r="H3771" s="11">
        <v>1</v>
      </c>
    </row>
    <row r="3772" spans="6:8" x14ac:dyDescent="0.3">
      <c r="F3772" s="11">
        <v>0.92444400000000004</v>
      </c>
      <c r="G3772" s="11">
        <v>51.766388999999997</v>
      </c>
      <c r="H3772" s="11">
        <v>1</v>
      </c>
    </row>
    <row r="3773" spans="6:8" x14ac:dyDescent="0.3">
      <c r="F3773" s="11">
        <v>0.95583300000000004</v>
      </c>
      <c r="G3773" s="11">
        <v>51.793056</v>
      </c>
      <c r="H3773" s="11">
        <v>1</v>
      </c>
    </row>
    <row r="3774" spans="6:8" x14ac:dyDescent="0.3">
      <c r="F3774" s="11">
        <v>1.000278</v>
      </c>
      <c r="G3774" s="11">
        <v>51.78</v>
      </c>
      <c r="H3774" s="11">
        <v>1</v>
      </c>
    </row>
    <row r="3775" spans="6:8" x14ac:dyDescent="0.3">
      <c r="H3775" s="11">
        <v>1</v>
      </c>
    </row>
    <row r="3776" spans="6:8" x14ac:dyDescent="0.3">
      <c r="F3776" s="11">
        <v>-1.139167</v>
      </c>
      <c r="G3776" s="11">
        <v>50.658611000000001</v>
      </c>
      <c r="H3776" s="11">
        <v>1</v>
      </c>
    </row>
    <row r="3777" spans="6:8" x14ac:dyDescent="0.3">
      <c r="F3777" s="11">
        <v>-1.164444</v>
      </c>
      <c r="G3777" s="11">
        <v>50.609444000000003</v>
      </c>
      <c r="H3777" s="11">
        <v>1</v>
      </c>
    </row>
    <row r="3778" spans="6:8" x14ac:dyDescent="0.3">
      <c r="F3778" s="11">
        <v>-1.2311110000000001</v>
      </c>
      <c r="G3778" s="11">
        <v>50.584443999999998</v>
      </c>
      <c r="H3778" s="11">
        <v>1</v>
      </c>
    </row>
    <row r="3779" spans="6:8" x14ac:dyDescent="0.3">
      <c r="F3779" s="11">
        <v>-1.3152779999999999</v>
      </c>
      <c r="G3779" s="11">
        <v>50.585833000000001</v>
      </c>
      <c r="H3779" s="11">
        <v>1</v>
      </c>
    </row>
    <row r="3780" spans="6:8" x14ac:dyDescent="0.3">
      <c r="F3780" s="11">
        <v>-1.3730560000000001</v>
      </c>
      <c r="G3780" s="11">
        <v>50.62</v>
      </c>
      <c r="H3780" s="11">
        <v>1</v>
      </c>
    </row>
    <row r="3781" spans="6:8" x14ac:dyDescent="0.3">
      <c r="F3781" s="11">
        <v>-1.4466669999999999</v>
      </c>
      <c r="G3781" s="11">
        <v>50.645277999999998</v>
      </c>
      <c r="H3781" s="11">
        <v>1</v>
      </c>
    </row>
    <row r="3782" spans="6:8" x14ac:dyDescent="0.3">
      <c r="F3782" s="11">
        <v>-1.5180560000000001</v>
      </c>
      <c r="G3782" s="11">
        <v>50.668332999999997</v>
      </c>
      <c r="H3782" s="11">
        <v>1</v>
      </c>
    </row>
    <row r="3783" spans="6:8" x14ac:dyDescent="0.3">
      <c r="F3783" s="11">
        <v>-1.5544439999999999</v>
      </c>
      <c r="G3783" s="11">
        <v>50.668889</v>
      </c>
      <c r="H3783" s="11">
        <v>1</v>
      </c>
    </row>
    <row r="3784" spans="6:8" x14ac:dyDescent="0.3">
      <c r="F3784" s="11">
        <v>-1.5016670000000001</v>
      </c>
      <c r="G3784" s="11">
        <v>50.703888999999997</v>
      </c>
      <c r="H3784" s="11">
        <v>1</v>
      </c>
    </row>
    <row r="3785" spans="6:8" x14ac:dyDescent="0.3">
      <c r="F3785" s="11">
        <v>-1.4322220000000001</v>
      </c>
      <c r="G3785" s="11">
        <v>50.726388999999998</v>
      </c>
      <c r="H3785" s="11">
        <v>1</v>
      </c>
    </row>
    <row r="3786" spans="6:8" x14ac:dyDescent="0.3">
      <c r="F3786" s="11">
        <v>-1.388056</v>
      </c>
      <c r="G3786" s="11">
        <v>50.725833000000002</v>
      </c>
      <c r="H3786" s="11">
        <v>1</v>
      </c>
    </row>
    <row r="3787" spans="6:8" x14ac:dyDescent="0.3">
      <c r="F3787" s="11">
        <v>-1.338333</v>
      </c>
      <c r="G3787" s="11">
        <v>50.758333</v>
      </c>
      <c r="H3787" s="11">
        <v>1</v>
      </c>
    </row>
    <row r="3788" spans="6:8" x14ac:dyDescent="0.3">
      <c r="F3788" s="11">
        <v>-1.27</v>
      </c>
      <c r="G3788" s="11">
        <v>50.767778</v>
      </c>
      <c r="H3788" s="11">
        <v>1</v>
      </c>
    </row>
    <row r="3789" spans="6:8" x14ac:dyDescent="0.3">
      <c r="F3789" s="11">
        <v>-1.199722</v>
      </c>
      <c r="G3789" s="11">
        <v>50.740555999999998</v>
      </c>
      <c r="H3789" s="11">
        <v>1</v>
      </c>
    </row>
    <row r="3790" spans="6:8" x14ac:dyDescent="0.3">
      <c r="F3790" s="11">
        <v>-1.1138889999999999</v>
      </c>
      <c r="G3790" s="11">
        <v>50.735278000000001</v>
      </c>
      <c r="H3790" s="11">
        <v>1</v>
      </c>
    </row>
    <row r="3791" spans="6:8" x14ac:dyDescent="0.3">
      <c r="F3791" s="11">
        <v>-1.072222</v>
      </c>
      <c r="G3791" s="11">
        <v>50.696944000000002</v>
      </c>
      <c r="H3791" s="11">
        <v>1</v>
      </c>
    </row>
    <row r="3792" spans="6:8" x14ac:dyDescent="0.3">
      <c r="H3792" s="11">
        <v>1</v>
      </c>
    </row>
    <row r="3793" spans="6:8" x14ac:dyDescent="0.3">
      <c r="F3793" s="11">
        <v>-6.2936110000000003</v>
      </c>
      <c r="G3793" s="11">
        <v>49.965277999999998</v>
      </c>
      <c r="H3793" s="11">
        <v>1</v>
      </c>
    </row>
    <row r="3794" spans="6:8" x14ac:dyDescent="0.3">
      <c r="H3794" s="11">
        <v>1</v>
      </c>
    </row>
    <row r="3795" spans="6:8" x14ac:dyDescent="0.3">
      <c r="F3795" s="11">
        <v>-6.3172220000000001</v>
      </c>
      <c r="G3795" s="11">
        <v>49.911943999999998</v>
      </c>
      <c r="H3795" s="11">
        <v>1</v>
      </c>
    </row>
    <row r="3796" spans="6:8" x14ac:dyDescent="0.3">
      <c r="H3796" s="11">
        <v>1</v>
      </c>
    </row>
    <row r="3797" spans="6:8" x14ac:dyDescent="0.3">
      <c r="F3797" s="11">
        <v>-6.3369439999999999</v>
      </c>
      <c r="G3797" s="11">
        <v>49.953888999999997</v>
      </c>
      <c r="H3797" s="11">
        <v>1</v>
      </c>
    </row>
    <row r="3798" spans="6:8" x14ac:dyDescent="0.3">
      <c r="H3798" s="11">
        <v>1</v>
      </c>
    </row>
    <row r="3799" spans="6:8" x14ac:dyDescent="0.3">
      <c r="F3799" s="11">
        <v>-4.6636110000000004</v>
      </c>
      <c r="G3799" s="11">
        <v>51.158332999999999</v>
      </c>
      <c r="H3799" s="11">
        <v>1</v>
      </c>
    </row>
    <row r="3800" spans="6:8" x14ac:dyDescent="0.3">
      <c r="H3800" s="11">
        <v>1</v>
      </c>
    </row>
    <row r="3801" spans="6:8" x14ac:dyDescent="0.3">
      <c r="F3801" s="11">
        <v>-5.2938890000000001</v>
      </c>
      <c r="G3801" s="11">
        <v>51.738332999999997</v>
      </c>
      <c r="H3801" s="11">
        <v>1</v>
      </c>
    </row>
    <row r="3802" spans="6:8" x14ac:dyDescent="0.3">
      <c r="H3802" s="11">
        <v>1</v>
      </c>
    </row>
    <row r="3803" spans="6:8" x14ac:dyDescent="0.3">
      <c r="F3803" s="11">
        <v>-5.3208330000000004</v>
      </c>
      <c r="G3803" s="11">
        <v>51.873610999999997</v>
      </c>
      <c r="H3803" s="11">
        <v>1</v>
      </c>
    </row>
    <row r="3804" spans="6:8" x14ac:dyDescent="0.3">
      <c r="H3804" s="11">
        <v>1</v>
      </c>
    </row>
    <row r="3805" spans="6:8" x14ac:dyDescent="0.3">
      <c r="F3805" s="11">
        <v>-4.621111</v>
      </c>
      <c r="G3805" s="11">
        <v>53.308889000000001</v>
      </c>
      <c r="H3805" s="11">
        <v>1</v>
      </c>
    </row>
    <row r="3806" spans="6:8" x14ac:dyDescent="0.3">
      <c r="F3806" s="11">
        <v>-4.5786110000000004</v>
      </c>
      <c r="G3806" s="11">
        <v>53.270277999999998</v>
      </c>
      <c r="H3806" s="11">
        <v>1</v>
      </c>
    </row>
    <row r="3807" spans="6:8" x14ac:dyDescent="0.3">
      <c r="F3807" s="11">
        <v>-4.5930559999999998</v>
      </c>
      <c r="G3807" s="11">
        <v>53.242221999999998</v>
      </c>
      <c r="H3807" s="11">
        <v>1</v>
      </c>
    </row>
    <row r="3808" spans="6:8" x14ac:dyDescent="0.3">
      <c r="F3808" s="11">
        <v>-4.641667</v>
      </c>
      <c r="G3808" s="11">
        <v>53.281111000000003</v>
      </c>
      <c r="H3808" s="11">
        <v>1</v>
      </c>
    </row>
    <row r="3809" spans="6:8" x14ac:dyDescent="0.3">
      <c r="F3809" s="11">
        <v>-4.6886109999999999</v>
      </c>
      <c r="G3809" s="11">
        <v>53.306666999999997</v>
      </c>
      <c r="H3809" s="11">
        <v>1</v>
      </c>
    </row>
    <row r="3810" spans="6:8" x14ac:dyDescent="0.3">
      <c r="H3810" s="11">
        <v>1</v>
      </c>
    </row>
    <row r="3811" spans="6:8" x14ac:dyDescent="0.3">
      <c r="F3811" s="11">
        <v>-4.333056</v>
      </c>
      <c r="G3811" s="11">
        <v>53.413888999999998</v>
      </c>
      <c r="H3811" s="11">
        <v>1</v>
      </c>
    </row>
    <row r="3812" spans="6:8" x14ac:dyDescent="0.3">
      <c r="F3812" s="11">
        <v>-4.2680559999999996</v>
      </c>
      <c r="G3812" s="11">
        <v>53.385832999999998</v>
      </c>
      <c r="H3812" s="11">
        <v>1</v>
      </c>
    </row>
    <row r="3813" spans="6:8" x14ac:dyDescent="0.3">
      <c r="F3813" s="11">
        <v>-4.2347219999999997</v>
      </c>
      <c r="G3813" s="11">
        <v>53.345278</v>
      </c>
      <c r="H3813" s="11">
        <v>1</v>
      </c>
    </row>
    <row r="3814" spans="6:8" x14ac:dyDescent="0.3">
      <c r="F3814" s="11">
        <v>-4.2083329999999997</v>
      </c>
      <c r="G3814" s="11">
        <v>53.298611000000001</v>
      </c>
      <c r="H3814" s="11">
        <v>1</v>
      </c>
    </row>
    <row r="3815" spans="6:8" x14ac:dyDescent="0.3">
      <c r="F3815" s="11">
        <v>-4.134722</v>
      </c>
      <c r="G3815" s="11">
        <v>53.306389000000003</v>
      </c>
      <c r="H3815" s="11">
        <v>1</v>
      </c>
    </row>
    <row r="3816" spans="6:8" x14ac:dyDescent="0.3">
      <c r="F3816" s="11">
        <v>-4.0422219999999998</v>
      </c>
      <c r="G3816" s="11">
        <v>53.306389000000003</v>
      </c>
      <c r="H3816" s="11">
        <v>1</v>
      </c>
    </row>
    <row r="3817" spans="6:8" x14ac:dyDescent="0.3">
      <c r="F3817" s="11">
        <v>-4.0813889999999997</v>
      </c>
      <c r="G3817" s="11">
        <v>53.265555999999997</v>
      </c>
      <c r="H3817" s="11">
        <v>1</v>
      </c>
    </row>
    <row r="3818" spans="6:8" x14ac:dyDescent="0.3">
      <c r="F3818" s="11">
        <v>-4.1461110000000003</v>
      </c>
      <c r="G3818" s="11">
        <v>53.236111000000001</v>
      </c>
      <c r="H3818" s="11">
        <v>1</v>
      </c>
    </row>
    <row r="3819" spans="6:8" x14ac:dyDescent="0.3">
      <c r="F3819" s="11">
        <v>-4.2113889999999996</v>
      </c>
      <c r="G3819" s="11">
        <v>53.207222000000002</v>
      </c>
      <c r="H3819" s="11">
        <v>1</v>
      </c>
    </row>
    <row r="3820" spans="6:8" x14ac:dyDescent="0.3">
      <c r="F3820" s="11">
        <v>-4.2580559999999998</v>
      </c>
      <c r="G3820" s="11">
        <v>53.166944000000001</v>
      </c>
      <c r="H3820" s="11">
        <v>1</v>
      </c>
    </row>
    <row r="3821" spans="6:8" x14ac:dyDescent="0.3">
      <c r="F3821" s="11">
        <v>-4.3224999999999998</v>
      </c>
      <c r="G3821" s="11">
        <v>53.137500000000003</v>
      </c>
      <c r="H3821" s="11">
        <v>1</v>
      </c>
    </row>
    <row r="3822" spans="6:8" x14ac:dyDescent="0.3">
      <c r="F3822" s="11">
        <v>-4.3802779999999997</v>
      </c>
      <c r="G3822" s="11">
        <v>53.133889000000003</v>
      </c>
      <c r="H3822" s="11">
        <v>1</v>
      </c>
    </row>
    <row r="3823" spans="6:8" x14ac:dyDescent="0.3">
      <c r="F3823" s="11">
        <v>-4.4272220000000004</v>
      </c>
      <c r="G3823" s="11">
        <v>53.147500000000001</v>
      </c>
      <c r="H3823" s="11">
        <v>1</v>
      </c>
    </row>
    <row r="3824" spans="6:8" x14ac:dyDescent="0.3">
      <c r="F3824" s="11">
        <v>-4.4888890000000004</v>
      </c>
      <c r="G3824" s="11">
        <v>53.174722000000003</v>
      </c>
      <c r="H3824" s="11">
        <v>1</v>
      </c>
    </row>
    <row r="3825" spans="6:8" x14ac:dyDescent="0.3">
      <c r="F3825" s="11">
        <v>-4.5149999999999997</v>
      </c>
      <c r="G3825" s="11">
        <v>53.22</v>
      </c>
      <c r="H3825" s="11">
        <v>1</v>
      </c>
    </row>
    <row r="3826" spans="6:8" x14ac:dyDescent="0.3">
      <c r="F3826" s="11">
        <v>-4.5558329999999998</v>
      </c>
      <c r="G3826" s="11">
        <v>53.262777999999997</v>
      </c>
      <c r="H3826" s="11">
        <v>1</v>
      </c>
    </row>
    <row r="3827" spans="6:8" x14ac:dyDescent="0.3">
      <c r="F3827" s="11">
        <v>-4.5680560000000003</v>
      </c>
      <c r="G3827" s="11">
        <v>53.313889000000003</v>
      </c>
      <c r="H3827" s="11">
        <v>1</v>
      </c>
    </row>
    <row r="3828" spans="6:8" x14ac:dyDescent="0.3">
      <c r="F3828" s="11">
        <v>-4.5605560000000001</v>
      </c>
      <c r="G3828" s="11">
        <v>53.368056000000003</v>
      </c>
      <c r="H3828" s="11">
        <v>1</v>
      </c>
    </row>
    <row r="3829" spans="6:8" x14ac:dyDescent="0.3">
      <c r="F3829" s="11">
        <v>-4.5244439999999999</v>
      </c>
      <c r="G3829" s="11">
        <v>53.401944</v>
      </c>
      <c r="H3829" s="11">
        <v>1</v>
      </c>
    </row>
    <row r="3830" spans="6:8" x14ac:dyDescent="0.3">
      <c r="F3830" s="11">
        <v>-4.4636110000000002</v>
      </c>
      <c r="G3830" s="11">
        <v>53.416944000000001</v>
      </c>
      <c r="H3830" s="11">
        <v>1</v>
      </c>
    </row>
    <row r="3831" spans="6:8" x14ac:dyDescent="0.3">
      <c r="H3831" s="11">
        <v>1</v>
      </c>
    </row>
    <row r="3832" spans="6:8" x14ac:dyDescent="0.3">
      <c r="F3832" s="11">
        <v>-3.2408329999999999</v>
      </c>
      <c r="G3832" s="11">
        <v>54.096389000000002</v>
      </c>
      <c r="H3832" s="11">
        <v>1</v>
      </c>
    </row>
    <row r="3833" spans="6:8" x14ac:dyDescent="0.3">
      <c r="F3833" s="11">
        <v>-3.200278</v>
      </c>
      <c r="G3833" s="11">
        <v>54.057222000000003</v>
      </c>
      <c r="H3833" s="11">
        <v>1</v>
      </c>
    </row>
    <row r="3834" spans="6:8" x14ac:dyDescent="0.3">
      <c r="F3834" s="11">
        <v>-3.226111</v>
      </c>
      <c r="G3834" s="11">
        <v>54.060833000000002</v>
      </c>
      <c r="H3834" s="11">
        <v>1</v>
      </c>
    </row>
    <row r="3835" spans="6:8" x14ac:dyDescent="0.3">
      <c r="F3835" s="11">
        <v>-3.2616670000000001</v>
      </c>
      <c r="G3835" s="11">
        <v>54.106389</v>
      </c>
      <c r="H3835" s="11">
        <v>1</v>
      </c>
    </row>
    <row r="3836" spans="6:8" x14ac:dyDescent="0.3">
      <c r="H3836" s="11">
        <v>1</v>
      </c>
    </row>
    <row r="3837" spans="6:8" x14ac:dyDescent="0.3">
      <c r="F3837" s="11">
        <v>-4.3758330000000001</v>
      </c>
      <c r="G3837" s="11">
        <v>54.356389</v>
      </c>
      <c r="H3837" s="11">
        <v>1</v>
      </c>
    </row>
    <row r="3838" spans="6:8" x14ac:dyDescent="0.3">
      <c r="F3838" s="11">
        <v>-4.3413890000000004</v>
      </c>
      <c r="G3838" s="11">
        <v>54.309722000000001</v>
      </c>
      <c r="H3838" s="11">
        <v>1</v>
      </c>
    </row>
    <row r="3839" spans="6:8" x14ac:dyDescent="0.3">
      <c r="F3839" s="11">
        <v>-4.3297220000000003</v>
      </c>
      <c r="G3839" s="11">
        <v>54.271388999999999</v>
      </c>
      <c r="H3839" s="11">
        <v>1</v>
      </c>
    </row>
    <row r="3840" spans="6:8" x14ac:dyDescent="0.3">
      <c r="F3840" s="11">
        <v>-4.371111</v>
      </c>
      <c r="G3840" s="11">
        <v>54.224443999999998</v>
      </c>
      <c r="H3840" s="11">
        <v>1</v>
      </c>
    </row>
    <row r="3841" spans="6:8" x14ac:dyDescent="0.3">
      <c r="F3841" s="11">
        <v>-4.394444</v>
      </c>
      <c r="G3841" s="11">
        <v>54.186388999999998</v>
      </c>
      <c r="H3841" s="11">
        <v>1</v>
      </c>
    </row>
    <row r="3842" spans="6:8" x14ac:dyDescent="0.3">
      <c r="F3842" s="11">
        <v>-4.4630559999999999</v>
      </c>
      <c r="G3842" s="11">
        <v>54.158889000000002</v>
      </c>
      <c r="H3842" s="11">
        <v>1</v>
      </c>
    </row>
    <row r="3843" spans="6:8" x14ac:dyDescent="0.3">
      <c r="F3843" s="11">
        <v>-4.5102779999999996</v>
      </c>
      <c r="G3843" s="11">
        <v>54.125</v>
      </c>
      <c r="H3843" s="11">
        <v>1</v>
      </c>
    </row>
    <row r="3844" spans="6:8" x14ac:dyDescent="0.3">
      <c r="F3844" s="11">
        <v>-4.5758330000000003</v>
      </c>
      <c r="G3844" s="11">
        <v>54.095556000000002</v>
      </c>
      <c r="H3844" s="11">
        <v>1</v>
      </c>
    </row>
    <row r="3845" spans="6:8" x14ac:dyDescent="0.3">
      <c r="F3845" s="11">
        <v>-4.6183329999999998</v>
      </c>
      <c r="G3845" s="11">
        <v>54.058610999999999</v>
      </c>
      <c r="H3845" s="11">
        <v>1</v>
      </c>
    </row>
    <row r="3846" spans="6:8" x14ac:dyDescent="0.3">
      <c r="F3846" s="11">
        <v>-4.6775000000000002</v>
      </c>
      <c r="G3846" s="11">
        <v>54.071944000000002</v>
      </c>
      <c r="H3846" s="11">
        <v>1</v>
      </c>
    </row>
    <row r="3847" spans="6:8" x14ac:dyDescent="0.3">
      <c r="F3847" s="11">
        <v>-4.7497220000000002</v>
      </c>
      <c r="G3847" s="11">
        <v>54.061110999999997</v>
      </c>
      <c r="H3847" s="11">
        <v>1</v>
      </c>
    </row>
    <row r="3848" spans="6:8" x14ac:dyDescent="0.3">
      <c r="F3848" s="11">
        <v>-4.7691670000000004</v>
      </c>
      <c r="G3848" s="11">
        <v>54.081944</v>
      </c>
      <c r="H3848" s="11">
        <v>1</v>
      </c>
    </row>
    <row r="3849" spans="6:8" x14ac:dyDescent="0.3">
      <c r="F3849" s="11">
        <v>-4.737222</v>
      </c>
      <c r="G3849" s="11">
        <v>54.126944000000002</v>
      </c>
      <c r="H3849" s="11">
        <v>1</v>
      </c>
    </row>
    <row r="3850" spans="6:8" x14ac:dyDescent="0.3">
      <c r="F3850" s="11">
        <v>-4.7249999999999996</v>
      </c>
      <c r="G3850" s="11">
        <v>54.176943999999999</v>
      </c>
      <c r="H3850" s="11">
        <v>1</v>
      </c>
    </row>
    <row r="3851" spans="6:8" x14ac:dyDescent="0.3">
      <c r="F3851" s="11">
        <v>-4.6888889999999996</v>
      </c>
      <c r="G3851" s="11">
        <v>54.222499999999997</v>
      </c>
      <c r="H3851" s="11">
        <v>1</v>
      </c>
    </row>
    <row r="3852" spans="6:8" x14ac:dyDescent="0.3">
      <c r="F3852" s="11">
        <v>-4.6216670000000004</v>
      </c>
      <c r="G3852" s="11">
        <v>54.251389000000003</v>
      </c>
      <c r="H3852" s="11">
        <v>1</v>
      </c>
    </row>
    <row r="3853" spans="6:8" x14ac:dyDescent="0.3">
      <c r="F3853" s="11">
        <v>-4.5780560000000001</v>
      </c>
      <c r="G3853" s="11">
        <v>54.296944000000003</v>
      </c>
      <c r="H3853" s="11">
        <v>1</v>
      </c>
    </row>
    <row r="3854" spans="6:8" x14ac:dyDescent="0.3">
      <c r="F3854" s="11">
        <v>-4.5472219999999997</v>
      </c>
      <c r="G3854" s="11">
        <v>54.35</v>
      </c>
      <c r="H3854" s="11">
        <v>1</v>
      </c>
    </row>
    <row r="3855" spans="6:8" x14ac:dyDescent="0.3">
      <c r="F3855" s="11">
        <v>-4.4894439999999998</v>
      </c>
      <c r="G3855" s="11">
        <v>54.384999999999998</v>
      </c>
      <c r="H3855" s="11">
        <v>1</v>
      </c>
    </row>
    <row r="3856" spans="6:8" x14ac:dyDescent="0.3">
      <c r="F3856" s="11">
        <v>-4.4061110000000001</v>
      </c>
      <c r="G3856" s="11">
        <v>54.402500000000003</v>
      </c>
      <c r="H3856" s="11">
        <v>1</v>
      </c>
    </row>
    <row r="3857" spans="6:8" x14ac:dyDescent="0.3">
      <c r="H3857" s="11">
        <v>1</v>
      </c>
    </row>
    <row r="3858" spans="6:8" x14ac:dyDescent="0.3">
      <c r="F3858" s="11">
        <v>-4.8150000000000004</v>
      </c>
      <c r="G3858" s="11">
        <v>54.054721999999998</v>
      </c>
      <c r="H3858" s="11">
        <v>1</v>
      </c>
    </row>
    <row r="3859" spans="6:8" x14ac:dyDescent="0.3">
      <c r="H3859" s="11">
        <v>1</v>
      </c>
    </row>
    <row r="3860" spans="6:8" x14ac:dyDescent="0.3">
      <c r="F3860" s="11">
        <v>-4.9611109999999998</v>
      </c>
      <c r="G3860" s="11">
        <v>55.730832999999997</v>
      </c>
      <c r="H3860" s="11">
        <v>1</v>
      </c>
    </row>
    <row r="3861" spans="6:8" x14ac:dyDescent="0.3">
      <c r="H3861" s="11">
        <v>1</v>
      </c>
    </row>
    <row r="3862" spans="6:8" x14ac:dyDescent="0.3">
      <c r="F3862" s="11">
        <v>-5.1058329999999996</v>
      </c>
      <c r="G3862" s="11">
        <v>55.885832999999998</v>
      </c>
      <c r="H3862" s="11">
        <v>1</v>
      </c>
    </row>
    <row r="3863" spans="6:8" x14ac:dyDescent="0.3">
      <c r="F3863" s="11">
        <v>-5.0650000000000004</v>
      </c>
      <c r="G3863" s="11">
        <v>55.843611000000003</v>
      </c>
      <c r="H3863" s="11">
        <v>1</v>
      </c>
    </row>
    <row r="3864" spans="6:8" x14ac:dyDescent="0.3">
      <c r="F3864" s="11">
        <v>-5.0211110000000003</v>
      </c>
      <c r="G3864" s="11">
        <v>55.802500000000002</v>
      </c>
      <c r="H3864" s="11">
        <v>1</v>
      </c>
    </row>
    <row r="3865" spans="6:8" x14ac:dyDescent="0.3">
      <c r="F3865" s="11">
        <v>-5.0244439999999999</v>
      </c>
      <c r="G3865" s="11">
        <v>55.755277999999997</v>
      </c>
      <c r="H3865" s="11">
        <v>1</v>
      </c>
    </row>
    <row r="3866" spans="6:8" x14ac:dyDescent="0.3">
      <c r="F3866" s="11">
        <v>-5.0347220000000004</v>
      </c>
      <c r="G3866" s="11">
        <v>55.724167000000001</v>
      </c>
      <c r="H3866" s="11">
        <v>1</v>
      </c>
    </row>
    <row r="3867" spans="6:8" x14ac:dyDescent="0.3">
      <c r="F3867" s="11">
        <v>-5.0797220000000003</v>
      </c>
      <c r="G3867" s="11">
        <v>55.766388999999997</v>
      </c>
      <c r="H3867" s="11">
        <v>1</v>
      </c>
    </row>
    <row r="3868" spans="6:8" x14ac:dyDescent="0.3">
      <c r="F3868" s="11">
        <v>-5.1338889999999999</v>
      </c>
      <c r="G3868" s="11">
        <v>55.804167</v>
      </c>
      <c r="H3868" s="11">
        <v>1</v>
      </c>
    </row>
    <row r="3869" spans="6:8" x14ac:dyDescent="0.3">
      <c r="F3869" s="11">
        <v>-5.1658330000000001</v>
      </c>
      <c r="G3869" s="11">
        <v>55.847499999999997</v>
      </c>
      <c r="H3869" s="11">
        <v>1</v>
      </c>
    </row>
    <row r="3870" spans="6:8" x14ac:dyDescent="0.3">
      <c r="F3870" s="11">
        <v>-5.2058330000000002</v>
      </c>
      <c r="G3870" s="11">
        <v>55.891944000000002</v>
      </c>
      <c r="H3870" s="11">
        <v>1</v>
      </c>
    </row>
    <row r="3871" spans="6:8" x14ac:dyDescent="0.3">
      <c r="H3871" s="11">
        <v>1</v>
      </c>
    </row>
    <row r="3872" spans="6:8" x14ac:dyDescent="0.3">
      <c r="F3872" s="11">
        <v>-5.1702779999999997</v>
      </c>
      <c r="G3872" s="11">
        <v>55.790832999999999</v>
      </c>
      <c r="H3872" s="11">
        <v>1</v>
      </c>
    </row>
    <row r="3873" spans="6:8" x14ac:dyDescent="0.3">
      <c r="H3873" s="11">
        <v>1</v>
      </c>
    </row>
    <row r="3874" spans="6:8" x14ac:dyDescent="0.3">
      <c r="F3874" s="11">
        <v>-5.0747220000000004</v>
      </c>
      <c r="G3874" s="11">
        <v>55.522500000000001</v>
      </c>
      <c r="H3874" s="11">
        <v>1</v>
      </c>
    </row>
    <row r="3875" spans="6:8" x14ac:dyDescent="0.3">
      <c r="H3875" s="11">
        <v>1</v>
      </c>
    </row>
    <row r="3876" spans="6:8" x14ac:dyDescent="0.3">
      <c r="F3876" s="11">
        <v>-5.19</v>
      </c>
      <c r="G3876" s="11">
        <v>55.694721999999999</v>
      </c>
      <c r="H3876" s="11">
        <v>1</v>
      </c>
    </row>
    <row r="3877" spans="6:8" x14ac:dyDescent="0.3">
      <c r="F3877" s="11">
        <v>-5.148333</v>
      </c>
      <c r="G3877" s="11">
        <v>55.651111</v>
      </c>
      <c r="H3877" s="11">
        <v>1</v>
      </c>
    </row>
    <row r="3878" spans="6:8" x14ac:dyDescent="0.3">
      <c r="F3878" s="11">
        <v>-5.1358329999999999</v>
      </c>
      <c r="G3878" s="11">
        <v>55.598889</v>
      </c>
      <c r="H3878" s="11">
        <v>1</v>
      </c>
    </row>
    <row r="3879" spans="6:8" x14ac:dyDescent="0.3">
      <c r="F3879" s="11">
        <v>-5.0925000000000002</v>
      </c>
      <c r="G3879" s="11">
        <v>55.561667</v>
      </c>
      <c r="H3879" s="11">
        <v>1</v>
      </c>
    </row>
    <row r="3880" spans="6:8" x14ac:dyDescent="0.3">
      <c r="F3880" s="11">
        <v>-5.12</v>
      </c>
      <c r="G3880" s="11">
        <v>55.523055999999997</v>
      </c>
      <c r="H3880" s="11">
        <v>1</v>
      </c>
    </row>
    <row r="3881" spans="6:8" x14ac:dyDescent="0.3">
      <c r="F3881" s="11">
        <v>-5.0938889999999999</v>
      </c>
      <c r="G3881" s="11">
        <v>55.490555999999998</v>
      </c>
      <c r="H3881" s="11">
        <v>1</v>
      </c>
    </row>
    <row r="3882" spans="6:8" x14ac:dyDescent="0.3">
      <c r="F3882" s="11">
        <v>-5.0897220000000001</v>
      </c>
      <c r="G3882" s="11">
        <v>55.444443999999997</v>
      </c>
      <c r="H3882" s="11">
        <v>1</v>
      </c>
    </row>
    <row r="3883" spans="6:8" x14ac:dyDescent="0.3">
      <c r="F3883" s="11">
        <v>-5.1791669999999996</v>
      </c>
      <c r="G3883" s="11">
        <v>55.429443999999997</v>
      </c>
      <c r="H3883" s="11">
        <v>1</v>
      </c>
    </row>
    <row r="3884" spans="6:8" x14ac:dyDescent="0.3">
      <c r="F3884" s="11">
        <v>-5.2727779999999997</v>
      </c>
      <c r="G3884" s="11">
        <v>55.443888999999999</v>
      </c>
      <c r="H3884" s="11">
        <v>1</v>
      </c>
    </row>
    <row r="3885" spans="6:8" x14ac:dyDescent="0.3">
      <c r="F3885" s="11">
        <v>-5.3402779999999996</v>
      </c>
      <c r="G3885" s="11">
        <v>55.475000000000001</v>
      </c>
      <c r="H3885" s="11">
        <v>1</v>
      </c>
    </row>
    <row r="3886" spans="6:8" x14ac:dyDescent="0.3">
      <c r="F3886" s="11">
        <v>-5.3541670000000003</v>
      </c>
      <c r="G3886" s="11">
        <v>55.52</v>
      </c>
      <c r="H3886" s="11">
        <v>1</v>
      </c>
    </row>
    <row r="3887" spans="6:8" x14ac:dyDescent="0.3">
      <c r="F3887" s="11">
        <v>-5.3674999999999997</v>
      </c>
      <c r="G3887" s="11">
        <v>55.569721999999999</v>
      </c>
      <c r="H3887" s="11">
        <v>1</v>
      </c>
    </row>
    <row r="3888" spans="6:8" x14ac:dyDescent="0.3">
      <c r="F3888" s="11">
        <v>-5.4002780000000001</v>
      </c>
      <c r="G3888" s="11">
        <v>55.617778000000001</v>
      </c>
      <c r="H3888" s="11">
        <v>1</v>
      </c>
    </row>
    <row r="3889" spans="6:8" x14ac:dyDescent="0.3">
      <c r="F3889" s="11">
        <v>-5.3744440000000004</v>
      </c>
      <c r="G3889" s="11">
        <v>55.674444000000001</v>
      </c>
      <c r="H3889" s="11">
        <v>1</v>
      </c>
    </row>
    <row r="3890" spans="6:8" x14ac:dyDescent="0.3">
      <c r="F3890" s="11">
        <v>-5.3094440000000001</v>
      </c>
      <c r="G3890" s="11">
        <v>55.703055999999997</v>
      </c>
      <c r="H3890" s="11">
        <v>1</v>
      </c>
    </row>
    <row r="3891" spans="6:8" x14ac:dyDescent="0.3">
      <c r="H3891" s="11">
        <v>1</v>
      </c>
    </row>
    <row r="3892" spans="6:8" x14ac:dyDescent="0.3">
      <c r="F3892" s="11">
        <v>-5.5855560000000004</v>
      </c>
      <c r="G3892" s="11">
        <v>55.281111000000003</v>
      </c>
      <c r="H3892" s="11">
        <v>1</v>
      </c>
    </row>
    <row r="3893" spans="6:8" x14ac:dyDescent="0.3">
      <c r="H3893" s="11">
        <v>1</v>
      </c>
    </row>
    <row r="3894" spans="6:8" x14ac:dyDescent="0.3">
      <c r="F3894" s="11">
        <v>-5.730556</v>
      </c>
      <c r="G3894" s="11">
        <v>55.69</v>
      </c>
      <c r="H3894" s="11">
        <v>1</v>
      </c>
    </row>
    <row r="3895" spans="6:8" x14ac:dyDescent="0.3">
      <c r="F3895" s="11">
        <v>-5.7572219999999996</v>
      </c>
      <c r="G3895" s="11">
        <v>55.647778000000002</v>
      </c>
      <c r="H3895" s="11">
        <v>1</v>
      </c>
    </row>
    <row r="3896" spans="6:8" x14ac:dyDescent="0.3">
      <c r="F3896" s="11">
        <v>-5.7730560000000004</v>
      </c>
      <c r="G3896" s="11">
        <v>55.681111000000001</v>
      </c>
      <c r="H3896" s="11">
        <v>1</v>
      </c>
    </row>
    <row r="3897" spans="6:8" x14ac:dyDescent="0.3">
      <c r="F3897" s="11">
        <v>-5.7469440000000001</v>
      </c>
      <c r="G3897" s="11">
        <v>55.725555999999997</v>
      </c>
      <c r="H3897" s="11">
        <v>1</v>
      </c>
    </row>
    <row r="3898" spans="6:8" x14ac:dyDescent="0.3">
      <c r="H3898" s="11">
        <v>1</v>
      </c>
    </row>
    <row r="3899" spans="6:8" x14ac:dyDescent="0.3">
      <c r="F3899" s="11">
        <v>-6.1305560000000003</v>
      </c>
      <c r="G3899" s="11">
        <v>55.871389000000001</v>
      </c>
      <c r="H3899" s="11">
        <v>1</v>
      </c>
    </row>
    <row r="3900" spans="6:8" x14ac:dyDescent="0.3">
      <c r="F3900" s="11">
        <v>-6.1130560000000003</v>
      </c>
      <c r="G3900" s="11">
        <v>55.815556000000001</v>
      </c>
      <c r="H3900" s="11">
        <v>1</v>
      </c>
    </row>
    <row r="3901" spans="6:8" x14ac:dyDescent="0.3">
      <c r="F3901" s="11">
        <v>-6.0719440000000002</v>
      </c>
      <c r="G3901" s="11">
        <v>55.771388999999999</v>
      </c>
      <c r="H3901" s="11">
        <v>1</v>
      </c>
    </row>
    <row r="3902" spans="6:8" x14ac:dyDescent="0.3">
      <c r="F3902" s="11">
        <v>-6.0444440000000004</v>
      </c>
      <c r="G3902" s="11">
        <v>55.723889</v>
      </c>
      <c r="H3902" s="11">
        <v>1</v>
      </c>
    </row>
    <row r="3903" spans="6:8" x14ac:dyDescent="0.3">
      <c r="F3903" s="11">
        <v>-6.030278</v>
      </c>
      <c r="G3903" s="11">
        <v>55.676110999999999</v>
      </c>
      <c r="H3903" s="11">
        <v>1</v>
      </c>
    </row>
    <row r="3904" spans="6:8" x14ac:dyDescent="0.3">
      <c r="F3904" s="11">
        <v>-6.0766669999999996</v>
      </c>
      <c r="G3904" s="11">
        <v>55.643056000000001</v>
      </c>
      <c r="H3904" s="11">
        <v>1</v>
      </c>
    </row>
    <row r="3905" spans="6:8" x14ac:dyDescent="0.3">
      <c r="F3905" s="11">
        <v>-6.1594439999999997</v>
      </c>
      <c r="G3905" s="11">
        <v>55.623888999999998</v>
      </c>
      <c r="H3905" s="11">
        <v>1</v>
      </c>
    </row>
    <row r="3906" spans="6:8" x14ac:dyDescent="0.3">
      <c r="F3906" s="11">
        <v>-6.2247219999999999</v>
      </c>
      <c r="G3906" s="11">
        <v>55.615833000000002</v>
      </c>
      <c r="H3906" s="11">
        <v>1</v>
      </c>
    </row>
    <row r="3907" spans="6:8" x14ac:dyDescent="0.3">
      <c r="F3907" s="11">
        <v>-6.2780560000000003</v>
      </c>
      <c r="G3907" s="11">
        <v>55.576667</v>
      </c>
      <c r="H3907" s="11">
        <v>1</v>
      </c>
    </row>
    <row r="3908" spans="6:8" x14ac:dyDescent="0.3">
      <c r="F3908" s="11">
        <v>-6.342778</v>
      </c>
      <c r="G3908" s="11">
        <v>55.598610999999998</v>
      </c>
      <c r="H3908" s="11">
        <v>1</v>
      </c>
    </row>
    <row r="3909" spans="6:8" x14ac:dyDescent="0.3">
      <c r="F3909" s="11">
        <v>-6.3102780000000003</v>
      </c>
      <c r="G3909" s="11">
        <v>55.646667000000001</v>
      </c>
      <c r="H3909" s="11">
        <v>1</v>
      </c>
    </row>
    <row r="3910" spans="6:8" x14ac:dyDescent="0.3">
      <c r="F3910" s="11">
        <v>-6.2877780000000003</v>
      </c>
      <c r="G3910" s="11">
        <v>55.684167000000002</v>
      </c>
      <c r="H3910" s="11">
        <v>1</v>
      </c>
    </row>
    <row r="3911" spans="6:8" x14ac:dyDescent="0.3">
      <c r="F3911" s="11">
        <v>-6.3488889999999998</v>
      </c>
      <c r="G3911" s="11">
        <v>55.718611000000003</v>
      </c>
      <c r="H3911" s="11">
        <v>1</v>
      </c>
    </row>
    <row r="3912" spans="6:8" x14ac:dyDescent="0.3">
      <c r="F3912" s="11">
        <v>-6.2927780000000002</v>
      </c>
      <c r="G3912" s="11">
        <v>55.753332999999998</v>
      </c>
      <c r="H3912" s="11">
        <v>1</v>
      </c>
    </row>
    <row r="3913" spans="6:8" x14ac:dyDescent="0.3">
      <c r="F3913" s="11">
        <v>-6.3174999999999999</v>
      </c>
      <c r="G3913" s="11">
        <v>55.771943999999998</v>
      </c>
      <c r="H3913" s="11">
        <v>1</v>
      </c>
    </row>
    <row r="3914" spans="6:8" x14ac:dyDescent="0.3">
      <c r="F3914" s="11">
        <v>-6.3822219999999996</v>
      </c>
      <c r="G3914" s="11">
        <v>55.74</v>
      </c>
      <c r="H3914" s="11">
        <v>1</v>
      </c>
    </row>
    <row r="3915" spans="6:8" x14ac:dyDescent="0.3">
      <c r="F3915" s="11">
        <v>-6.4263890000000004</v>
      </c>
      <c r="G3915" s="11">
        <v>55.695</v>
      </c>
      <c r="H3915" s="11">
        <v>1</v>
      </c>
    </row>
    <row r="3916" spans="6:8" x14ac:dyDescent="0.3">
      <c r="F3916" s="11">
        <v>-6.4972219999999998</v>
      </c>
      <c r="G3916" s="11">
        <v>55.666666999999997</v>
      </c>
      <c r="H3916" s="11">
        <v>1</v>
      </c>
    </row>
    <row r="3917" spans="6:8" x14ac:dyDescent="0.3">
      <c r="F3917" s="11">
        <v>-6.5280560000000003</v>
      </c>
      <c r="G3917" s="11">
        <v>55.697221999999996</v>
      </c>
      <c r="H3917" s="11">
        <v>1</v>
      </c>
    </row>
    <row r="3918" spans="6:8" x14ac:dyDescent="0.3">
      <c r="F3918" s="11">
        <v>-6.487222</v>
      </c>
      <c r="G3918" s="11">
        <v>55.739722</v>
      </c>
      <c r="H3918" s="11">
        <v>1</v>
      </c>
    </row>
    <row r="3919" spans="6:8" x14ac:dyDescent="0.3">
      <c r="F3919" s="11">
        <v>-6.4730559999999997</v>
      </c>
      <c r="G3919" s="11">
        <v>55.777777999999998</v>
      </c>
      <c r="H3919" s="11">
        <v>1</v>
      </c>
    </row>
    <row r="3920" spans="6:8" x14ac:dyDescent="0.3">
      <c r="F3920" s="11">
        <v>-6.4680559999999998</v>
      </c>
      <c r="G3920" s="11">
        <v>55.816667000000002</v>
      </c>
      <c r="H3920" s="11">
        <v>1</v>
      </c>
    </row>
    <row r="3921" spans="6:8" x14ac:dyDescent="0.3">
      <c r="F3921" s="11">
        <v>-6.4244440000000003</v>
      </c>
      <c r="G3921" s="11">
        <v>55.855277999999998</v>
      </c>
      <c r="H3921" s="11">
        <v>1</v>
      </c>
    </row>
    <row r="3922" spans="6:8" x14ac:dyDescent="0.3">
      <c r="F3922" s="11">
        <v>-6.3530559999999996</v>
      </c>
      <c r="G3922" s="11">
        <v>55.878332999999998</v>
      </c>
      <c r="H3922" s="11">
        <v>1</v>
      </c>
    </row>
    <row r="3923" spans="6:8" x14ac:dyDescent="0.3">
      <c r="F3923" s="11">
        <v>-6.3527779999999998</v>
      </c>
      <c r="G3923" s="11">
        <v>55.831111</v>
      </c>
      <c r="H3923" s="11">
        <v>1</v>
      </c>
    </row>
    <row r="3924" spans="6:8" x14ac:dyDescent="0.3">
      <c r="F3924" s="11">
        <v>-6.3258330000000003</v>
      </c>
      <c r="G3924" s="11">
        <v>55.852221999999998</v>
      </c>
      <c r="H3924" s="11">
        <v>1</v>
      </c>
    </row>
    <row r="3925" spans="6:8" x14ac:dyDescent="0.3">
      <c r="F3925" s="11">
        <v>-6.2738889999999996</v>
      </c>
      <c r="G3925" s="11">
        <v>55.889721999999999</v>
      </c>
      <c r="H3925" s="11">
        <v>1</v>
      </c>
    </row>
    <row r="3926" spans="6:8" x14ac:dyDescent="0.3">
      <c r="F3926" s="11">
        <v>-6.2058330000000002</v>
      </c>
      <c r="G3926" s="11">
        <v>55.919722</v>
      </c>
      <c r="H3926" s="11">
        <v>1</v>
      </c>
    </row>
    <row r="3927" spans="6:8" x14ac:dyDescent="0.3">
      <c r="F3927" s="11">
        <v>-6.1280559999999999</v>
      </c>
      <c r="G3927" s="11">
        <v>55.926667000000002</v>
      </c>
      <c r="H3927" s="11">
        <v>1</v>
      </c>
    </row>
    <row r="3928" spans="6:8" x14ac:dyDescent="0.3">
      <c r="H3928" s="11">
        <v>1</v>
      </c>
    </row>
    <row r="3929" spans="6:8" x14ac:dyDescent="0.3">
      <c r="F3929" s="11">
        <v>-5.8713889999999997</v>
      </c>
      <c r="G3929" s="11">
        <v>55.910832999999997</v>
      </c>
      <c r="H3929" s="11">
        <v>1</v>
      </c>
    </row>
    <row r="3930" spans="6:8" x14ac:dyDescent="0.3">
      <c r="F3930" s="11">
        <v>-5.9066669999999997</v>
      </c>
      <c r="G3930" s="11">
        <v>55.876666999999998</v>
      </c>
      <c r="H3930" s="11">
        <v>1</v>
      </c>
    </row>
    <row r="3931" spans="6:8" x14ac:dyDescent="0.3">
      <c r="F3931" s="11">
        <v>-5.9519440000000001</v>
      </c>
      <c r="G3931" s="11">
        <v>55.842778000000003</v>
      </c>
      <c r="H3931" s="11">
        <v>1</v>
      </c>
    </row>
    <row r="3932" spans="6:8" x14ac:dyDescent="0.3">
      <c r="F3932" s="11">
        <v>-5.9694440000000002</v>
      </c>
      <c r="G3932" s="11">
        <v>55.789721999999998</v>
      </c>
      <c r="H3932" s="11">
        <v>1</v>
      </c>
    </row>
    <row r="3933" spans="6:8" x14ac:dyDescent="0.3">
      <c r="F3933" s="11">
        <v>-6.0558329999999998</v>
      </c>
      <c r="G3933" s="11">
        <v>55.803333000000002</v>
      </c>
      <c r="H3933" s="11">
        <v>1</v>
      </c>
    </row>
    <row r="3934" spans="6:8" x14ac:dyDescent="0.3">
      <c r="F3934" s="11">
        <v>-6.104444</v>
      </c>
      <c r="G3934" s="11">
        <v>55.844166999999999</v>
      </c>
      <c r="H3934" s="11">
        <v>1</v>
      </c>
    </row>
    <row r="3935" spans="6:8" x14ac:dyDescent="0.3">
      <c r="F3935" s="11">
        <v>-6.0994440000000001</v>
      </c>
      <c r="G3935" s="11">
        <v>55.898888999999997</v>
      </c>
      <c r="H3935" s="11">
        <v>1</v>
      </c>
    </row>
    <row r="3936" spans="6:8" x14ac:dyDescent="0.3">
      <c r="F3936" s="11">
        <v>-6.05</v>
      </c>
      <c r="G3936" s="11">
        <v>55.941110999999999</v>
      </c>
      <c r="H3936" s="11">
        <v>1</v>
      </c>
    </row>
    <row r="3937" spans="6:8" x14ac:dyDescent="0.3">
      <c r="F3937" s="11">
        <v>-5.9466669999999997</v>
      </c>
      <c r="G3937" s="11">
        <v>55.946666999999998</v>
      </c>
      <c r="H3937" s="11">
        <v>1</v>
      </c>
    </row>
    <row r="3938" spans="6:8" x14ac:dyDescent="0.3">
      <c r="F3938" s="11">
        <v>-5.8586109999999998</v>
      </c>
      <c r="G3938" s="11">
        <v>55.963611</v>
      </c>
      <c r="H3938" s="11">
        <v>1</v>
      </c>
    </row>
    <row r="3939" spans="6:8" x14ac:dyDescent="0.3">
      <c r="H3939" s="11">
        <v>1</v>
      </c>
    </row>
    <row r="3940" spans="6:8" x14ac:dyDescent="0.3">
      <c r="F3940" s="11">
        <v>-5.7136110000000002</v>
      </c>
      <c r="G3940" s="11">
        <v>56.096666999999997</v>
      </c>
      <c r="H3940" s="11">
        <v>1</v>
      </c>
    </row>
    <row r="3941" spans="6:8" x14ac:dyDescent="0.3">
      <c r="F3941" s="11">
        <v>-5.7569439999999998</v>
      </c>
      <c r="G3941" s="11">
        <v>56.050277999999999</v>
      </c>
      <c r="H3941" s="11">
        <v>1</v>
      </c>
    </row>
    <row r="3942" spans="6:8" x14ac:dyDescent="0.3">
      <c r="F3942" s="11">
        <v>-5.7986110000000002</v>
      </c>
      <c r="G3942" s="11">
        <v>56.002777999999999</v>
      </c>
      <c r="H3942" s="11">
        <v>1</v>
      </c>
    </row>
    <row r="3943" spans="6:8" x14ac:dyDescent="0.3">
      <c r="F3943" s="11">
        <v>-5.842778</v>
      </c>
      <c r="G3943" s="11">
        <v>55.965277999999998</v>
      </c>
      <c r="H3943" s="11">
        <v>1</v>
      </c>
    </row>
    <row r="3944" spans="6:8" x14ac:dyDescent="0.3">
      <c r="F3944" s="11">
        <v>-5.9227780000000001</v>
      </c>
      <c r="G3944" s="11">
        <v>55.962221999999997</v>
      </c>
      <c r="H3944" s="11">
        <v>1</v>
      </c>
    </row>
    <row r="3945" spans="6:8" x14ac:dyDescent="0.3">
      <c r="F3945" s="11">
        <v>-6.0061109999999998</v>
      </c>
      <c r="G3945" s="11">
        <v>55.971111000000001</v>
      </c>
      <c r="H3945" s="11">
        <v>1</v>
      </c>
    </row>
    <row r="3946" spans="6:8" x14ac:dyDescent="0.3">
      <c r="F3946" s="11">
        <v>-5.9727779999999999</v>
      </c>
      <c r="G3946" s="11">
        <v>56.019722000000002</v>
      </c>
      <c r="H3946" s="11">
        <v>1</v>
      </c>
    </row>
    <row r="3947" spans="6:8" x14ac:dyDescent="0.3">
      <c r="F3947" s="11">
        <v>-5.9124999999999996</v>
      </c>
      <c r="G3947" s="11">
        <v>56.053333000000002</v>
      </c>
      <c r="H3947" s="11">
        <v>1</v>
      </c>
    </row>
    <row r="3948" spans="6:8" x14ac:dyDescent="0.3">
      <c r="F3948" s="11">
        <v>-5.8438889999999999</v>
      </c>
      <c r="G3948" s="11">
        <v>56.083333000000003</v>
      </c>
      <c r="H3948" s="11">
        <v>1</v>
      </c>
    </row>
    <row r="3949" spans="6:8" x14ac:dyDescent="0.3">
      <c r="F3949" s="11">
        <v>-5.7797219999999996</v>
      </c>
      <c r="G3949" s="11">
        <v>56.112222000000003</v>
      </c>
      <c r="H3949" s="11">
        <v>1</v>
      </c>
    </row>
    <row r="3950" spans="6:8" x14ac:dyDescent="0.3">
      <c r="F3950" s="11">
        <v>-5.7238889999999998</v>
      </c>
      <c r="G3950" s="11">
        <v>56.143332999999998</v>
      </c>
      <c r="H3950" s="11">
        <v>1</v>
      </c>
    </row>
    <row r="3951" spans="6:8" x14ac:dyDescent="0.3">
      <c r="H3951" s="11">
        <v>1</v>
      </c>
    </row>
    <row r="3952" spans="6:8" x14ac:dyDescent="0.3">
      <c r="F3952" s="11">
        <v>-5.6180560000000002</v>
      </c>
      <c r="G3952" s="11">
        <v>56.206389000000001</v>
      </c>
      <c r="H3952" s="11">
        <v>1</v>
      </c>
    </row>
    <row r="3953" spans="6:8" x14ac:dyDescent="0.3">
      <c r="H3953" s="11">
        <v>1</v>
      </c>
    </row>
    <row r="3954" spans="6:8" x14ac:dyDescent="0.3">
      <c r="F3954" s="11">
        <v>-5.6405560000000001</v>
      </c>
      <c r="G3954" s="11">
        <v>56.216110999999998</v>
      </c>
      <c r="H3954" s="11">
        <v>1</v>
      </c>
    </row>
    <row r="3955" spans="6:8" x14ac:dyDescent="0.3">
      <c r="F3955" s="11">
        <v>-5.668056</v>
      </c>
      <c r="G3955" s="11">
        <v>56.203055999999997</v>
      </c>
      <c r="H3955" s="11">
        <v>1</v>
      </c>
    </row>
    <row r="3956" spans="6:8" x14ac:dyDescent="0.3">
      <c r="F3956" s="11">
        <v>-5.6661109999999999</v>
      </c>
      <c r="G3956" s="11">
        <v>56.259444000000002</v>
      </c>
      <c r="H3956" s="11">
        <v>1</v>
      </c>
    </row>
    <row r="3957" spans="6:8" x14ac:dyDescent="0.3">
      <c r="H3957" s="11">
        <v>1</v>
      </c>
    </row>
    <row r="3958" spans="6:8" x14ac:dyDescent="0.3">
      <c r="F3958" s="11">
        <v>-5.6341669999999997</v>
      </c>
      <c r="G3958" s="11">
        <v>56.268889000000001</v>
      </c>
      <c r="H3958" s="11">
        <v>1</v>
      </c>
    </row>
    <row r="3959" spans="6:8" x14ac:dyDescent="0.3">
      <c r="F3959" s="11">
        <v>-5.6480560000000004</v>
      </c>
      <c r="G3959" s="11">
        <v>56.304443999999997</v>
      </c>
      <c r="H3959" s="11">
        <v>1</v>
      </c>
    </row>
    <row r="3960" spans="6:8" x14ac:dyDescent="0.3">
      <c r="H3960" s="11">
        <v>1</v>
      </c>
    </row>
    <row r="3961" spans="6:8" x14ac:dyDescent="0.3">
      <c r="F3961" s="11">
        <v>-5.5580559999999997</v>
      </c>
      <c r="G3961" s="11">
        <v>56.368889000000003</v>
      </c>
      <c r="H3961" s="11">
        <v>1</v>
      </c>
    </row>
    <row r="3962" spans="6:8" x14ac:dyDescent="0.3">
      <c r="F3962" s="11">
        <v>-5.5713889999999999</v>
      </c>
      <c r="G3962" s="11">
        <v>56.400278</v>
      </c>
      <c r="H3962" s="11">
        <v>1</v>
      </c>
    </row>
    <row r="3963" spans="6:8" x14ac:dyDescent="0.3">
      <c r="H3963" s="11">
        <v>1</v>
      </c>
    </row>
    <row r="3964" spans="6:8" x14ac:dyDescent="0.3">
      <c r="F3964" s="11">
        <v>-5.73</v>
      </c>
      <c r="G3964" s="11">
        <v>56.152500000000003</v>
      </c>
      <c r="H3964" s="11">
        <v>1</v>
      </c>
    </row>
    <row r="3965" spans="6:8" x14ac:dyDescent="0.3">
      <c r="F3965" s="11">
        <v>-5.7222220000000004</v>
      </c>
      <c r="G3965" s="11">
        <v>56.185000000000002</v>
      </c>
      <c r="H3965" s="11">
        <v>1</v>
      </c>
    </row>
    <row r="3966" spans="6:8" x14ac:dyDescent="0.3">
      <c r="H3966" s="11">
        <v>1</v>
      </c>
    </row>
    <row r="3967" spans="6:8" x14ac:dyDescent="0.3">
      <c r="F3967" s="11">
        <v>-5.7055559999999996</v>
      </c>
      <c r="G3967" s="11">
        <v>56.211388999999997</v>
      </c>
      <c r="H3967" s="11">
        <v>1</v>
      </c>
    </row>
    <row r="3968" spans="6:8" x14ac:dyDescent="0.3">
      <c r="H3968" s="11">
        <v>1</v>
      </c>
    </row>
    <row r="3969" spans="6:8" x14ac:dyDescent="0.3">
      <c r="F3969" s="11">
        <v>-6.181667</v>
      </c>
      <c r="G3969" s="11">
        <v>56.07</v>
      </c>
      <c r="H3969" s="11">
        <v>1</v>
      </c>
    </row>
    <row r="3970" spans="6:8" x14ac:dyDescent="0.3">
      <c r="F3970" s="11">
        <v>-6.2163890000000004</v>
      </c>
      <c r="G3970" s="11">
        <v>56.027222000000002</v>
      </c>
      <c r="H3970" s="11">
        <v>1</v>
      </c>
    </row>
    <row r="3971" spans="6:8" x14ac:dyDescent="0.3">
      <c r="F3971" s="11">
        <v>-6.282222</v>
      </c>
      <c r="G3971" s="11">
        <v>56.033056000000002</v>
      </c>
      <c r="H3971" s="11">
        <v>1</v>
      </c>
    </row>
    <row r="3972" spans="6:8" x14ac:dyDescent="0.3">
      <c r="F3972" s="11">
        <v>-6.2561109999999998</v>
      </c>
      <c r="G3972" s="11">
        <v>56.079166999999998</v>
      </c>
      <c r="H3972" s="11">
        <v>1</v>
      </c>
    </row>
    <row r="3973" spans="6:8" x14ac:dyDescent="0.3">
      <c r="F3973" s="11">
        <v>-6.1875</v>
      </c>
      <c r="G3973" s="11">
        <v>56.101388999999998</v>
      </c>
      <c r="H3973" s="11">
        <v>1</v>
      </c>
    </row>
    <row r="3974" spans="6:8" x14ac:dyDescent="0.3">
      <c r="H3974" s="11">
        <v>1</v>
      </c>
    </row>
    <row r="3975" spans="6:8" x14ac:dyDescent="0.3">
      <c r="F3975" s="11">
        <v>-6.2616670000000001</v>
      </c>
      <c r="G3975" s="11">
        <v>56.018056000000001</v>
      </c>
      <c r="H3975" s="11">
        <v>1</v>
      </c>
    </row>
    <row r="3976" spans="6:8" x14ac:dyDescent="0.3">
      <c r="H3976" s="11">
        <v>1</v>
      </c>
    </row>
    <row r="3977" spans="6:8" x14ac:dyDescent="0.3">
      <c r="F3977" s="11">
        <v>-5.674722</v>
      </c>
      <c r="G3977" s="11">
        <v>56.406944000000003</v>
      </c>
      <c r="H3977" s="11">
        <v>1</v>
      </c>
    </row>
    <row r="3978" spans="6:8" x14ac:dyDescent="0.3">
      <c r="F3978" s="11">
        <v>-5.7247219999999999</v>
      </c>
      <c r="G3978" s="11">
        <v>56.393056000000001</v>
      </c>
      <c r="H3978" s="11">
        <v>1</v>
      </c>
    </row>
    <row r="3979" spans="6:8" x14ac:dyDescent="0.3">
      <c r="F3979" s="11">
        <v>-5.766667</v>
      </c>
      <c r="G3979" s="11">
        <v>56.371389000000001</v>
      </c>
      <c r="H3979" s="11">
        <v>1</v>
      </c>
    </row>
    <row r="3980" spans="6:8" x14ac:dyDescent="0.3">
      <c r="F3980" s="11">
        <v>-5.6974999999999998</v>
      </c>
      <c r="G3980" s="11">
        <v>56.368611000000001</v>
      </c>
      <c r="H3980" s="11">
        <v>1</v>
      </c>
    </row>
    <row r="3981" spans="6:8" x14ac:dyDescent="0.3">
      <c r="F3981" s="11">
        <v>-5.7575000000000003</v>
      </c>
      <c r="G3981" s="11">
        <v>56.332777999999998</v>
      </c>
      <c r="H3981" s="11">
        <v>1</v>
      </c>
    </row>
    <row r="3982" spans="6:8" x14ac:dyDescent="0.3">
      <c r="F3982" s="11">
        <v>-5.8383330000000004</v>
      </c>
      <c r="G3982" s="11">
        <v>56.310555999999998</v>
      </c>
      <c r="H3982" s="11">
        <v>1</v>
      </c>
    </row>
    <row r="3983" spans="6:8" x14ac:dyDescent="0.3">
      <c r="F3983" s="11">
        <v>-5.8738890000000001</v>
      </c>
      <c r="G3983" s="11">
        <v>56.325833000000003</v>
      </c>
      <c r="H3983" s="11">
        <v>1</v>
      </c>
    </row>
    <row r="3984" spans="6:8" x14ac:dyDescent="0.3">
      <c r="F3984" s="11">
        <v>-5.9083329999999998</v>
      </c>
      <c r="G3984" s="11">
        <v>56.339167000000003</v>
      </c>
      <c r="H3984" s="11">
        <v>1</v>
      </c>
    </row>
    <row r="3985" spans="6:8" x14ac:dyDescent="0.3">
      <c r="F3985" s="11">
        <v>-5.9758329999999997</v>
      </c>
      <c r="G3985" s="11">
        <v>56.315277999999999</v>
      </c>
      <c r="H3985" s="11">
        <v>1</v>
      </c>
    </row>
    <row r="3986" spans="6:8" x14ac:dyDescent="0.3">
      <c r="F3986" s="11">
        <v>-6.0516670000000001</v>
      </c>
      <c r="G3986" s="11">
        <v>56.290556000000002</v>
      </c>
      <c r="H3986" s="11">
        <v>1</v>
      </c>
    </row>
    <row r="3987" spans="6:8" x14ac:dyDescent="0.3">
      <c r="F3987" s="11">
        <v>-6.144444</v>
      </c>
      <c r="G3987" s="11">
        <v>56.282778</v>
      </c>
      <c r="H3987" s="11">
        <v>1</v>
      </c>
    </row>
    <row r="3988" spans="6:8" x14ac:dyDescent="0.3">
      <c r="F3988" s="11">
        <v>-6.2405559999999998</v>
      </c>
      <c r="G3988" s="11">
        <v>56.281944000000003</v>
      </c>
      <c r="H3988" s="11">
        <v>1</v>
      </c>
    </row>
    <row r="3989" spans="6:8" x14ac:dyDescent="0.3">
      <c r="F3989" s="11">
        <v>-6.298889</v>
      </c>
      <c r="G3989" s="11">
        <v>56.263888999999999</v>
      </c>
      <c r="H3989" s="11">
        <v>1</v>
      </c>
    </row>
    <row r="3990" spans="6:8" x14ac:dyDescent="0.3">
      <c r="F3990" s="11">
        <v>-6.3458329999999998</v>
      </c>
      <c r="G3990" s="11">
        <v>56.293610999999999</v>
      </c>
      <c r="H3990" s="11">
        <v>1</v>
      </c>
    </row>
    <row r="3991" spans="6:8" x14ac:dyDescent="0.3">
      <c r="F3991" s="11">
        <v>-6.3616669999999997</v>
      </c>
      <c r="G3991" s="11">
        <v>56.333055999999999</v>
      </c>
      <c r="H3991" s="11">
        <v>1</v>
      </c>
    </row>
    <row r="3992" spans="6:8" x14ac:dyDescent="0.3">
      <c r="F3992" s="11">
        <v>-6.2894439999999996</v>
      </c>
      <c r="G3992" s="11">
        <v>56.327778000000002</v>
      </c>
      <c r="H3992" s="11">
        <v>1</v>
      </c>
    </row>
    <row r="3993" spans="6:8" x14ac:dyDescent="0.3">
      <c r="F3993" s="11">
        <v>-6.255833</v>
      </c>
      <c r="G3993" s="11">
        <v>56.324167000000003</v>
      </c>
      <c r="H3993" s="11">
        <v>1</v>
      </c>
    </row>
    <row r="3994" spans="6:8" x14ac:dyDescent="0.3">
      <c r="F3994" s="11">
        <v>-6.1841670000000004</v>
      </c>
      <c r="G3994" s="11">
        <v>56.330556000000001</v>
      </c>
      <c r="H3994" s="11">
        <v>1</v>
      </c>
    </row>
    <row r="3995" spans="6:8" x14ac:dyDescent="0.3">
      <c r="F3995" s="11">
        <v>-6.0949999999999998</v>
      </c>
      <c r="G3995" s="11">
        <v>56.347777999999998</v>
      </c>
      <c r="H3995" s="11">
        <v>1</v>
      </c>
    </row>
    <row r="3996" spans="6:8" x14ac:dyDescent="0.3">
      <c r="F3996" s="11">
        <v>-6.0149999999999997</v>
      </c>
      <c r="G3996" s="11">
        <v>56.370832999999998</v>
      </c>
      <c r="H3996" s="11">
        <v>1</v>
      </c>
    </row>
    <row r="3997" spans="6:8" x14ac:dyDescent="0.3">
      <c r="F3997" s="11">
        <v>-6.0863889999999996</v>
      </c>
      <c r="G3997" s="11">
        <v>56.370832999999998</v>
      </c>
      <c r="H3997" s="11">
        <v>1</v>
      </c>
    </row>
    <row r="3998" spans="6:8" x14ac:dyDescent="0.3">
      <c r="F3998" s="11">
        <v>-6.173889</v>
      </c>
      <c r="G3998" s="11">
        <v>56.352778000000001</v>
      </c>
      <c r="H3998" s="11">
        <v>1</v>
      </c>
    </row>
    <row r="3999" spans="6:8" x14ac:dyDescent="0.3">
      <c r="F3999" s="11">
        <v>-6.2066670000000004</v>
      </c>
      <c r="G3999" s="11">
        <v>56.381943999999997</v>
      </c>
      <c r="H3999" s="11">
        <v>1</v>
      </c>
    </row>
    <row r="4000" spans="6:8" x14ac:dyDescent="0.3">
      <c r="F4000" s="11">
        <v>-6.1522220000000001</v>
      </c>
      <c r="G4000" s="11">
        <v>56.421111000000003</v>
      </c>
      <c r="H4000" s="11">
        <v>1</v>
      </c>
    </row>
    <row r="4001" spans="6:8" x14ac:dyDescent="0.3">
      <c r="F4001" s="11">
        <v>-6.081944</v>
      </c>
      <c r="G4001" s="11">
        <v>56.444167</v>
      </c>
      <c r="H4001" s="11">
        <v>1</v>
      </c>
    </row>
    <row r="4002" spans="6:8" x14ac:dyDescent="0.3">
      <c r="F4002" s="11">
        <v>-6.0102779999999996</v>
      </c>
      <c r="G4002" s="11">
        <v>56.472499999999997</v>
      </c>
      <c r="H4002" s="11">
        <v>1</v>
      </c>
    </row>
    <row r="4003" spans="6:8" x14ac:dyDescent="0.3">
      <c r="F4003" s="11">
        <v>-6.0691670000000002</v>
      </c>
      <c r="G4003" s="11">
        <v>56.480277999999998</v>
      </c>
      <c r="H4003" s="11">
        <v>1</v>
      </c>
    </row>
    <row r="4004" spans="6:8" x14ac:dyDescent="0.3">
      <c r="F4004" s="11">
        <v>-6.1497219999999997</v>
      </c>
      <c r="G4004" s="11">
        <v>56.474722</v>
      </c>
      <c r="H4004" s="11">
        <v>1</v>
      </c>
    </row>
    <row r="4005" spans="6:8" x14ac:dyDescent="0.3">
      <c r="F4005" s="11">
        <v>-6.2127780000000001</v>
      </c>
      <c r="G4005" s="11">
        <v>56.507778000000002</v>
      </c>
      <c r="H4005" s="11">
        <v>1</v>
      </c>
    </row>
    <row r="4006" spans="6:8" x14ac:dyDescent="0.3">
      <c r="F4006" s="11">
        <v>-6.3016670000000001</v>
      </c>
      <c r="G4006" s="11">
        <v>56.520555999999999</v>
      </c>
      <c r="H4006" s="11">
        <v>1</v>
      </c>
    </row>
    <row r="4007" spans="6:8" x14ac:dyDescent="0.3">
      <c r="F4007" s="11">
        <v>-6.3297220000000003</v>
      </c>
      <c r="G4007" s="11">
        <v>56.551943999999999</v>
      </c>
      <c r="H4007" s="11">
        <v>1</v>
      </c>
    </row>
    <row r="4008" spans="6:8" x14ac:dyDescent="0.3">
      <c r="F4008" s="11">
        <v>-6.3230560000000002</v>
      </c>
      <c r="G4008" s="11">
        <v>56.570556000000003</v>
      </c>
      <c r="H4008" s="11">
        <v>1</v>
      </c>
    </row>
    <row r="4009" spans="6:8" x14ac:dyDescent="0.3">
      <c r="F4009" s="11">
        <v>-6.2880560000000001</v>
      </c>
      <c r="G4009" s="11">
        <v>56.599443999999998</v>
      </c>
      <c r="H4009" s="11">
        <v>1</v>
      </c>
    </row>
    <row r="4010" spans="6:8" x14ac:dyDescent="0.3">
      <c r="F4010" s="11">
        <v>-6.2219439999999997</v>
      </c>
      <c r="G4010" s="11">
        <v>56.587499999999999</v>
      </c>
      <c r="H4010" s="11">
        <v>1</v>
      </c>
    </row>
    <row r="4011" spans="6:8" x14ac:dyDescent="0.3">
      <c r="F4011" s="11">
        <v>-6.2119439999999999</v>
      </c>
      <c r="G4011" s="11">
        <v>56.621389000000001</v>
      </c>
      <c r="H4011" s="11">
        <v>1</v>
      </c>
    </row>
    <row r="4012" spans="6:8" x14ac:dyDescent="0.3">
      <c r="F4012" s="11">
        <v>-6.1447219999999998</v>
      </c>
      <c r="G4012" s="11">
        <v>56.645833000000003</v>
      </c>
      <c r="H4012" s="11">
        <v>1</v>
      </c>
    </row>
    <row r="4013" spans="6:8" x14ac:dyDescent="0.3">
      <c r="F4013" s="11">
        <v>-6.0738890000000003</v>
      </c>
      <c r="G4013" s="11">
        <v>56.625</v>
      </c>
      <c r="H4013" s="11">
        <v>1</v>
      </c>
    </row>
    <row r="4014" spans="6:8" x14ac:dyDescent="0.3">
      <c r="F4014" s="11">
        <v>-6.0241670000000003</v>
      </c>
      <c r="G4014" s="11">
        <v>56.584443999999998</v>
      </c>
      <c r="H4014" s="11">
        <v>1</v>
      </c>
    </row>
    <row r="4015" spans="6:8" x14ac:dyDescent="0.3">
      <c r="F4015" s="11">
        <v>-5.9772220000000003</v>
      </c>
      <c r="G4015" s="11">
        <v>56.542777999999998</v>
      </c>
      <c r="H4015" s="11">
        <v>1</v>
      </c>
    </row>
    <row r="4016" spans="6:8" x14ac:dyDescent="0.3">
      <c r="F4016" s="11">
        <v>-5.918056</v>
      </c>
      <c r="G4016" s="11">
        <v>56.511944</v>
      </c>
      <c r="H4016" s="11">
        <v>1</v>
      </c>
    </row>
    <row r="4017" spans="6:8" x14ac:dyDescent="0.3">
      <c r="F4017" s="11">
        <v>-5.8363889999999996</v>
      </c>
      <c r="G4017" s="11">
        <v>56.501389000000003</v>
      </c>
      <c r="H4017" s="11">
        <v>1</v>
      </c>
    </row>
    <row r="4018" spans="6:8" x14ac:dyDescent="0.3">
      <c r="F4018" s="11">
        <v>-5.7747219999999997</v>
      </c>
      <c r="G4018" s="11">
        <v>56.483611000000003</v>
      </c>
      <c r="H4018" s="11">
        <v>1</v>
      </c>
    </row>
    <row r="4019" spans="6:8" x14ac:dyDescent="0.3">
      <c r="F4019" s="11">
        <v>-5.6966669999999997</v>
      </c>
      <c r="G4019" s="11">
        <v>56.460278000000002</v>
      </c>
      <c r="H4019" s="11">
        <v>1</v>
      </c>
    </row>
    <row r="4020" spans="6:8" x14ac:dyDescent="0.3">
      <c r="H4020" s="11">
        <v>1</v>
      </c>
    </row>
    <row r="4021" spans="6:8" x14ac:dyDescent="0.3">
      <c r="F4021" s="11">
        <v>-5.4947220000000003</v>
      </c>
      <c r="G4021" s="11">
        <v>56.506667</v>
      </c>
      <c r="H4021" s="11">
        <v>1</v>
      </c>
    </row>
    <row r="4022" spans="6:8" x14ac:dyDescent="0.3">
      <c r="F4022" s="11">
        <v>-5.5533330000000003</v>
      </c>
      <c r="G4022" s="11">
        <v>56.469721999999997</v>
      </c>
      <c r="H4022" s="11">
        <v>1</v>
      </c>
    </row>
    <row r="4023" spans="6:8" x14ac:dyDescent="0.3">
      <c r="F4023" s="11">
        <v>-5.6158330000000003</v>
      </c>
      <c r="G4023" s="11">
        <v>56.459443999999998</v>
      </c>
      <c r="H4023" s="11">
        <v>1</v>
      </c>
    </row>
    <row r="4024" spans="6:8" x14ac:dyDescent="0.3">
      <c r="F4024" s="11">
        <v>-5.5594440000000001</v>
      </c>
      <c r="G4024" s="11">
        <v>56.496667000000002</v>
      </c>
      <c r="H4024" s="11">
        <v>1</v>
      </c>
    </row>
    <row r="4025" spans="6:8" x14ac:dyDescent="0.3">
      <c r="F4025" s="11">
        <v>-5.4950000000000001</v>
      </c>
      <c r="G4025" s="11">
        <v>56.529722</v>
      </c>
      <c r="H4025" s="11">
        <v>1</v>
      </c>
    </row>
    <row r="4026" spans="6:8" x14ac:dyDescent="0.3">
      <c r="F4026" s="11">
        <v>-5.44</v>
      </c>
      <c r="G4026" s="11">
        <v>56.546944000000003</v>
      </c>
      <c r="H4026" s="11">
        <v>1</v>
      </c>
    </row>
    <row r="4027" spans="6:8" x14ac:dyDescent="0.3">
      <c r="H4027" s="11">
        <v>1</v>
      </c>
    </row>
    <row r="4028" spans="6:8" x14ac:dyDescent="0.3">
      <c r="F4028" s="11">
        <v>-6.3641670000000001</v>
      </c>
      <c r="G4028" s="11">
        <v>56.289721999999998</v>
      </c>
      <c r="H4028" s="11">
        <v>1</v>
      </c>
    </row>
    <row r="4029" spans="6:8" x14ac:dyDescent="0.3">
      <c r="H4029" s="11">
        <v>1</v>
      </c>
    </row>
    <row r="4030" spans="6:8" x14ac:dyDescent="0.3">
      <c r="F4030" s="11">
        <v>-6.4461110000000001</v>
      </c>
      <c r="G4030" s="11">
        <v>56.302778000000004</v>
      </c>
      <c r="H4030" s="11">
        <v>1</v>
      </c>
    </row>
    <row r="4031" spans="6:8" x14ac:dyDescent="0.3">
      <c r="F4031" s="11">
        <v>-6.4255560000000003</v>
      </c>
      <c r="G4031" s="11">
        <v>56.337778</v>
      </c>
      <c r="H4031" s="11">
        <v>1</v>
      </c>
    </row>
    <row r="4032" spans="6:8" x14ac:dyDescent="0.3">
      <c r="H4032" s="11">
        <v>1</v>
      </c>
    </row>
    <row r="4033" spans="6:8" x14ac:dyDescent="0.3">
      <c r="F4033" s="11">
        <v>-6.237222</v>
      </c>
      <c r="G4033" s="11">
        <v>56.462778</v>
      </c>
      <c r="H4033" s="11">
        <v>1</v>
      </c>
    </row>
    <row r="4034" spans="6:8" x14ac:dyDescent="0.3">
      <c r="F4034" s="11">
        <v>-6.2222220000000004</v>
      </c>
      <c r="G4034" s="11">
        <v>56.484721999999998</v>
      </c>
      <c r="H4034" s="11">
        <v>1</v>
      </c>
    </row>
    <row r="4035" spans="6:8" x14ac:dyDescent="0.3">
      <c r="H4035" s="11">
        <v>1</v>
      </c>
    </row>
    <row r="4036" spans="6:8" x14ac:dyDescent="0.3">
      <c r="F4036" s="11">
        <v>-6.306667</v>
      </c>
      <c r="G4036" s="11">
        <v>56.493333</v>
      </c>
      <c r="H4036" s="11">
        <v>1</v>
      </c>
    </row>
    <row r="4037" spans="6:8" x14ac:dyDescent="0.3">
      <c r="H4037" s="11">
        <v>1</v>
      </c>
    </row>
    <row r="4038" spans="6:8" x14ac:dyDescent="0.3">
      <c r="F4038" s="11">
        <v>-6.4288889999999999</v>
      </c>
      <c r="G4038" s="11">
        <v>56.484444000000003</v>
      </c>
      <c r="H4038" s="11">
        <v>1</v>
      </c>
    </row>
    <row r="4039" spans="6:8" x14ac:dyDescent="0.3">
      <c r="H4039" s="11">
        <v>1</v>
      </c>
    </row>
    <row r="4040" spans="6:8" x14ac:dyDescent="0.3">
      <c r="F4040" s="11">
        <v>-6.7966670000000002</v>
      </c>
      <c r="G4040" s="11">
        <v>56.516388999999997</v>
      </c>
      <c r="H4040" s="11">
        <v>1</v>
      </c>
    </row>
    <row r="4041" spans="6:8" x14ac:dyDescent="0.3">
      <c r="F4041" s="11">
        <v>-6.8366670000000003</v>
      </c>
      <c r="G4041" s="11">
        <v>56.483055999999998</v>
      </c>
      <c r="H4041" s="11">
        <v>1</v>
      </c>
    </row>
    <row r="4042" spans="6:8" x14ac:dyDescent="0.3">
      <c r="F4042" s="11">
        <v>-6.9083329999999998</v>
      </c>
      <c r="G4042" s="11">
        <v>56.457222000000002</v>
      </c>
      <c r="H4042" s="11">
        <v>1</v>
      </c>
    </row>
    <row r="4043" spans="6:8" x14ac:dyDescent="0.3">
      <c r="F4043" s="11">
        <v>-6.9752780000000003</v>
      </c>
      <c r="G4043" s="11">
        <v>56.451110999999997</v>
      </c>
      <c r="H4043" s="11">
        <v>1</v>
      </c>
    </row>
    <row r="4044" spans="6:8" x14ac:dyDescent="0.3">
      <c r="F4044" s="11">
        <v>-6.9922219999999999</v>
      </c>
      <c r="G4044" s="11">
        <v>56.486944000000001</v>
      </c>
      <c r="H4044" s="11">
        <v>1</v>
      </c>
    </row>
    <row r="4045" spans="6:8" x14ac:dyDescent="0.3">
      <c r="F4045" s="11">
        <v>-6.9386109999999999</v>
      </c>
      <c r="G4045" s="11">
        <v>56.517778</v>
      </c>
      <c r="H4045" s="11">
        <v>1</v>
      </c>
    </row>
    <row r="4046" spans="6:8" x14ac:dyDescent="0.3">
      <c r="F4046" s="11">
        <v>-6.8466670000000001</v>
      </c>
      <c r="G4046" s="11">
        <v>56.53</v>
      </c>
      <c r="H4046" s="11">
        <v>1</v>
      </c>
    </row>
    <row r="4047" spans="6:8" x14ac:dyDescent="0.3">
      <c r="F4047" s="11">
        <v>-6.7672220000000003</v>
      </c>
      <c r="G4047" s="11">
        <v>56.548056000000003</v>
      </c>
      <c r="H4047" s="11">
        <v>1</v>
      </c>
    </row>
    <row r="4048" spans="6:8" x14ac:dyDescent="0.3">
      <c r="H4048" s="11">
        <v>1</v>
      </c>
    </row>
    <row r="4049" spans="6:8" x14ac:dyDescent="0.3">
      <c r="F4049" s="11">
        <v>-6.4977780000000003</v>
      </c>
      <c r="G4049" s="11">
        <v>56.628610999999999</v>
      </c>
      <c r="H4049" s="11">
        <v>1</v>
      </c>
    </row>
    <row r="4050" spans="6:8" x14ac:dyDescent="0.3">
      <c r="F4050" s="11">
        <v>-6.5536110000000001</v>
      </c>
      <c r="G4050" s="11">
        <v>56.590277999999998</v>
      </c>
      <c r="H4050" s="11">
        <v>1</v>
      </c>
    </row>
    <row r="4051" spans="6:8" x14ac:dyDescent="0.3">
      <c r="F4051" s="11">
        <v>-6.6408329999999998</v>
      </c>
      <c r="G4051" s="11">
        <v>56.571111000000002</v>
      </c>
      <c r="H4051" s="11">
        <v>1</v>
      </c>
    </row>
    <row r="4052" spans="6:8" x14ac:dyDescent="0.3">
      <c r="F4052" s="11">
        <v>-6.7016669999999996</v>
      </c>
      <c r="G4052" s="11">
        <v>56.555556000000003</v>
      </c>
      <c r="H4052" s="11">
        <v>1</v>
      </c>
    </row>
    <row r="4053" spans="6:8" x14ac:dyDescent="0.3">
      <c r="F4053" s="11">
        <v>-6.6716670000000002</v>
      </c>
      <c r="G4053" s="11">
        <v>56.586388999999997</v>
      </c>
      <c r="H4053" s="11">
        <v>1</v>
      </c>
    </row>
    <row r="4054" spans="6:8" x14ac:dyDescent="0.3">
      <c r="F4054" s="11">
        <v>-6.6261109999999999</v>
      </c>
      <c r="G4054" s="11">
        <v>56.630277999999997</v>
      </c>
      <c r="H4054" s="11">
        <v>1</v>
      </c>
    </row>
    <row r="4055" spans="6:8" x14ac:dyDescent="0.3">
      <c r="F4055" s="11">
        <v>-6.552778</v>
      </c>
      <c r="G4055" s="11">
        <v>56.658056000000002</v>
      </c>
      <c r="H4055" s="11">
        <v>1</v>
      </c>
    </row>
    <row r="4056" spans="6:8" x14ac:dyDescent="0.3">
      <c r="F4056" s="11">
        <v>-6.4758329999999997</v>
      </c>
      <c r="G4056" s="11">
        <v>56.680556000000003</v>
      </c>
      <c r="H4056" s="11">
        <v>1</v>
      </c>
    </row>
    <row r="4057" spans="6:8" x14ac:dyDescent="0.3">
      <c r="H4057" s="11">
        <v>1</v>
      </c>
    </row>
    <row r="4058" spans="6:8" x14ac:dyDescent="0.3">
      <c r="F4058" s="11">
        <v>-5.8638890000000004</v>
      </c>
      <c r="G4058" s="11">
        <v>56.800556</v>
      </c>
      <c r="H4058" s="11">
        <v>1</v>
      </c>
    </row>
    <row r="4059" spans="6:8" x14ac:dyDescent="0.3">
      <c r="H4059" s="11">
        <v>1</v>
      </c>
    </row>
    <row r="4060" spans="6:8" x14ac:dyDescent="0.3">
      <c r="F4060" s="11">
        <v>-6.2680559999999996</v>
      </c>
      <c r="G4060" s="11">
        <v>56.837221999999997</v>
      </c>
      <c r="H4060" s="11">
        <v>1</v>
      </c>
    </row>
    <row r="4061" spans="6:8" x14ac:dyDescent="0.3">
      <c r="H4061" s="11">
        <v>1</v>
      </c>
    </row>
    <row r="4062" spans="6:8" x14ac:dyDescent="0.3">
      <c r="F4062" s="11">
        <v>-6.1388889999999998</v>
      </c>
      <c r="G4062" s="11">
        <v>56.871389000000001</v>
      </c>
      <c r="H4062" s="11">
        <v>1</v>
      </c>
    </row>
    <row r="4063" spans="6:8" x14ac:dyDescent="0.3">
      <c r="F4063" s="11">
        <v>-6.213889</v>
      </c>
      <c r="G4063" s="11">
        <v>56.894722000000002</v>
      </c>
      <c r="H4063" s="11">
        <v>1</v>
      </c>
    </row>
    <row r="4064" spans="6:8" x14ac:dyDescent="0.3">
      <c r="F4064" s="11">
        <v>-6.1658330000000001</v>
      </c>
      <c r="G4064" s="11">
        <v>56.930556000000003</v>
      </c>
      <c r="H4064" s="11">
        <v>1</v>
      </c>
    </row>
    <row r="4065" spans="6:8" x14ac:dyDescent="0.3">
      <c r="F4065" s="11">
        <v>-6.1080560000000004</v>
      </c>
      <c r="G4065" s="11">
        <v>56.921111000000003</v>
      </c>
      <c r="H4065" s="11">
        <v>1</v>
      </c>
    </row>
    <row r="4066" spans="6:8" x14ac:dyDescent="0.3">
      <c r="H4066" s="11">
        <v>1</v>
      </c>
    </row>
    <row r="4067" spans="6:8" x14ac:dyDescent="0.3">
      <c r="F4067" s="11">
        <v>-6.2769440000000003</v>
      </c>
      <c r="G4067" s="11">
        <v>56.949167000000003</v>
      </c>
      <c r="H4067" s="11">
        <v>1</v>
      </c>
    </row>
    <row r="4068" spans="6:8" x14ac:dyDescent="0.3">
      <c r="F4068" s="11">
        <v>-6.3527779999999998</v>
      </c>
      <c r="G4068" s="11">
        <v>56.946666999999998</v>
      </c>
      <c r="H4068" s="11">
        <v>1</v>
      </c>
    </row>
    <row r="4069" spans="6:8" x14ac:dyDescent="0.3">
      <c r="F4069" s="11">
        <v>-6.4152779999999998</v>
      </c>
      <c r="G4069" s="11">
        <v>56.979444000000001</v>
      </c>
      <c r="H4069" s="11">
        <v>1</v>
      </c>
    </row>
    <row r="4070" spans="6:8" x14ac:dyDescent="0.3">
      <c r="F4070" s="11">
        <v>-6.4613889999999996</v>
      </c>
      <c r="G4070" s="11">
        <v>57.009166999999998</v>
      </c>
      <c r="H4070" s="11">
        <v>1</v>
      </c>
    </row>
    <row r="4071" spans="6:8" x14ac:dyDescent="0.3">
      <c r="F4071" s="11">
        <v>-6.3952780000000002</v>
      </c>
      <c r="G4071" s="11">
        <v>57.041666999999997</v>
      </c>
      <c r="H4071" s="11">
        <v>1</v>
      </c>
    </row>
    <row r="4072" spans="6:8" x14ac:dyDescent="0.3">
      <c r="F4072" s="11">
        <v>-6.3097219999999998</v>
      </c>
      <c r="G4072" s="11">
        <v>57.051389</v>
      </c>
      <c r="H4072" s="11">
        <v>1</v>
      </c>
    </row>
    <row r="4073" spans="6:8" x14ac:dyDescent="0.3">
      <c r="F4073" s="11">
        <v>-6.246111</v>
      </c>
      <c r="G4073" s="11">
        <v>57.020555999999999</v>
      </c>
      <c r="H4073" s="11">
        <v>1</v>
      </c>
    </row>
    <row r="4074" spans="6:8" x14ac:dyDescent="0.3">
      <c r="H4074" s="11">
        <v>1</v>
      </c>
    </row>
    <row r="4075" spans="6:8" x14ac:dyDescent="0.3">
      <c r="F4075" s="11">
        <v>-6.5788890000000002</v>
      </c>
      <c r="G4075" s="11">
        <v>57.041666999999997</v>
      </c>
      <c r="H4075" s="11">
        <v>1</v>
      </c>
    </row>
    <row r="4076" spans="6:8" x14ac:dyDescent="0.3">
      <c r="F4076" s="11">
        <v>-6.5811109999999999</v>
      </c>
      <c r="G4076" s="11">
        <v>57.059167000000002</v>
      </c>
      <c r="H4076" s="11">
        <v>1</v>
      </c>
    </row>
    <row r="4077" spans="6:8" x14ac:dyDescent="0.3">
      <c r="F4077" s="11">
        <v>-6.4936109999999996</v>
      </c>
      <c r="G4077" s="11">
        <v>57.055556000000003</v>
      </c>
      <c r="H4077" s="11">
        <v>1</v>
      </c>
    </row>
    <row r="4078" spans="6:8" x14ac:dyDescent="0.3">
      <c r="H4078" s="11">
        <v>1</v>
      </c>
    </row>
    <row r="4079" spans="6:8" x14ac:dyDescent="0.3">
      <c r="F4079" s="11">
        <v>-6.4708329999999998</v>
      </c>
      <c r="G4079" s="11">
        <v>57.041944000000001</v>
      </c>
      <c r="H4079" s="11">
        <v>1</v>
      </c>
    </row>
    <row r="4080" spans="6:8" x14ac:dyDescent="0.3">
      <c r="H4080" s="11">
        <v>1</v>
      </c>
    </row>
    <row r="4081" spans="6:8" x14ac:dyDescent="0.3">
      <c r="F4081" s="11">
        <v>-6.1441670000000004</v>
      </c>
      <c r="G4081" s="11">
        <v>57.512222000000001</v>
      </c>
      <c r="H4081" s="11">
        <v>1</v>
      </c>
    </row>
    <row r="4082" spans="6:8" x14ac:dyDescent="0.3">
      <c r="F4082" s="11">
        <v>-6.1397219999999999</v>
      </c>
      <c r="G4082" s="11">
        <v>57.454166999999998</v>
      </c>
      <c r="H4082" s="11">
        <v>1</v>
      </c>
    </row>
    <row r="4083" spans="6:8" x14ac:dyDescent="0.3">
      <c r="F4083" s="11">
        <v>-6.181667</v>
      </c>
      <c r="G4083" s="11">
        <v>57.406388999999997</v>
      </c>
      <c r="H4083" s="11">
        <v>1</v>
      </c>
    </row>
    <row r="4084" spans="6:8" x14ac:dyDescent="0.3">
      <c r="F4084" s="11">
        <v>-6.1361109999999996</v>
      </c>
      <c r="G4084" s="11">
        <v>57.394167000000003</v>
      </c>
      <c r="H4084" s="11">
        <v>1</v>
      </c>
    </row>
    <row r="4085" spans="6:8" x14ac:dyDescent="0.3">
      <c r="F4085" s="11">
        <v>-6.1266670000000003</v>
      </c>
      <c r="G4085" s="11">
        <v>57.350555999999997</v>
      </c>
      <c r="H4085" s="11">
        <v>1</v>
      </c>
    </row>
    <row r="4086" spans="6:8" x14ac:dyDescent="0.3">
      <c r="F4086" s="11">
        <v>-6.0855560000000004</v>
      </c>
      <c r="G4086" s="11">
        <v>57.307499999999997</v>
      </c>
      <c r="H4086" s="11">
        <v>1</v>
      </c>
    </row>
    <row r="4087" spans="6:8" x14ac:dyDescent="0.3">
      <c r="F4087" s="11">
        <v>-6.0658329999999996</v>
      </c>
      <c r="G4087" s="11">
        <v>57.275832999999999</v>
      </c>
      <c r="H4087" s="11">
        <v>1</v>
      </c>
    </row>
    <row r="4088" spans="6:8" x14ac:dyDescent="0.3">
      <c r="F4088" s="11">
        <v>-6.0069439999999998</v>
      </c>
      <c r="G4088" s="11">
        <v>57.272778000000002</v>
      </c>
      <c r="H4088" s="11">
        <v>1</v>
      </c>
    </row>
    <row r="4089" spans="6:8" x14ac:dyDescent="0.3">
      <c r="F4089" s="11">
        <v>-5.9183329999999996</v>
      </c>
      <c r="G4089" s="11">
        <v>57.25</v>
      </c>
      <c r="H4089" s="11">
        <v>1</v>
      </c>
    </row>
    <row r="4090" spans="6:8" x14ac:dyDescent="0.3">
      <c r="F4090" s="11">
        <v>-5.835833</v>
      </c>
      <c r="G4090" s="11">
        <v>57.246943999999999</v>
      </c>
      <c r="H4090" s="11">
        <v>1</v>
      </c>
    </row>
    <row r="4091" spans="6:8" x14ac:dyDescent="0.3">
      <c r="F4091" s="11">
        <v>-5.755833</v>
      </c>
      <c r="G4091" s="11">
        <v>57.268056000000001</v>
      </c>
      <c r="H4091" s="11">
        <v>1</v>
      </c>
    </row>
    <row r="4092" spans="6:8" x14ac:dyDescent="0.3">
      <c r="F4092" s="11">
        <v>-5.7024999999999997</v>
      </c>
      <c r="G4092" s="11">
        <v>57.262222000000001</v>
      </c>
      <c r="H4092" s="11">
        <v>1</v>
      </c>
    </row>
    <row r="4093" spans="6:8" x14ac:dyDescent="0.3">
      <c r="F4093" s="11">
        <v>-5.6636110000000004</v>
      </c>
      <c r="G4093" s="11">
        <v>57.235833</v>
      </c>
      <c r="H4093" s="11">
        <v>1</v>
      </c>
    </row>
    <row r="4094" spans="6:8" x14ac:dyDescent="0.3">
      <c r="F4094" s="11">
        <v>-5.6986109999999996</v>
      </c>
      <c r="G4094" s="11">
        <v>57.191389000000001</v>
      </c>
      <c r="H4094" s="11">
        <v>1</v>
      </c>
    </row>
    <row r="4095" spans="6:8" x14ac:dyDescent="0.3">
      <c r="F4095" s="11">
        <v>-5.7772220000000001</v>
      </c>
      <c r="G4095" s="11">
        <v>57.168332999999997</v>
      </c>
      <c r="H4095" s="11">
        <v>1</v>
      </c>
    </row>
    <row r="4096" spans="6:8" x14ac:dyDescent="0.3">
      <c r="F4096" s="11">
        <v>-5.799722</v>
      </c>
      <c r="G4096" s="11">
        <v>57.131667</v>
      </c>
      <c r="H4096" s="11">
        <v>1</v>
      </c>
    </row>
    <row r="4097" spans="6:8" x14ac:dyDescent="0.3">
      <c r="F4097" s="11">
        <v>-5.858333</v>
      </c>
      <c r="G4097" s="11">
        <v>57.099167000000001</v>
      </c>
      <c r="H4097" s="11">
        <v>1</v>
      </c>
    </row>
    <row r="4098" spans="6:8" x14ac:dyDescent="0.3">
      <c r="F4098" s="11">
        <v>-5.9077780000000004</v>
      </c>
      <c r="G4098" s="11">
        <v>57.057222000000003</v>
      </c>
      <c r="H4098" s="11">
        <v>1</v>
      </c>
    </row>
    <row r="4099" spans="6:8" x14ac:dyDescent="0.3">
      <c r="F4099" s="11">
        <v>-5.9772220000000003</v>
      </c>
      <c r="G4099" s="11">
        <v>57.028333000000003</v>
      </c>
      <c r="H4099" s="11">
        <v>1</v>
      </c>
    </row>
    <row r="4100" spans="6:8" x14ac:dyDescent="0.3">
      <c r="F4100" s="11">
        <v>-6.0333329999999998</v>
      </c>
      <c r="G4100" s="11">
        <v>57.030833000000001</v>
      </c>
      <c r="H4100" s="11">
        <v>1</v>
      </c>
    </row>
    <row r="4101" spans="6:8" x14ac:dyDescent="0.3">
      <c r="F4101" s="11">
        <v>-6.0111109999999996</v>
      </c>
      <c r="G4101" s="11">
        <v>57.08</v>
      </c>
      <c r="H4101" s="11">
        <v>1</v>
      </c>
    </row>
    <row r="4102" spans="6:8" x14ac:dyDescent="0.3">
      <c r="F4102" s="11">
        <v>-5.9838889999999996</v>
      </c>
      <c r="G4102" s="11">
        <v>57.126944000000002</v>
      </c>
      <c r="H4102" s="11">
        <v>1</v>
      </c>
    </row>
    <row r="4103" spans="6:8" x14ac:dyDescent="0.3">
      <c r="F4103" s="11">
        <v>-5.9163889999999997</v>
      </c>
      <c r="G4103" s="11">
        <v>57.158889000000002</v>
      </c>
      <c r="H4103" s="11">
        <v>1</v>
      </c>
    </row>
    <row r="4104" spans="6:8" x14ac:dyDescent="0.3">
      <c r="F4104" s="11">
        <v>-5.8372219999999997</v>
      </c>
      <c r="G4104" s="11">
        <v>57.181389000000003</v>
      </c>
      <c r="H4104" s="11">
        <v>1</v>
      </c>
    </row>
    <row r="4105" spans="6:8" x14ac:dyDescent="0.3">
      <c r="F4105" s="11">
        <v>-5.924722</v>
      </c>
      <c r="G4105" s="11">
        <v>57.171111000000003</v>
      </c>
      <c r="H4105" s="11">
        <v>1</v>
      </c>
    </row>
    <row r="4106" spans="6:8" x14ac:dyDescent="0.3">
      <c r="F4106" s="11">
        <v>-5.9944439999999997</v>
      </c>
      <c r="G4106" s="11">
        <v>57.188889000000003</v>
      </c>
      <c r="H4106" s="11">
        <v>1</v>
      </c>
    </row>
    <row r="4107" spans="6:8" x14ac:dyDescent="0.3">
      <c r="F4107" s="11">
        <v>-6.0280560000000003</v>
      </c>
      <c r="G4107" s="11">
        <v>57.189166999999998</v>
      </c>
      <c r="H4107" s="11">
        <v>1</v>
      </c>
    </row>
    <row r="4108" spans="6:8" x14ac:dyDescent="0.3">
      <c r="F4108" s="11">
        <v>-6.0661110000000003</v>
      </c>
      <c r="G4108" s="11">
        <v>57.143056000000001</v>
      </c>
      <c r="H4108" s="11">
        <v>1</v>
      </c>
    </row>
    <row r="4109" spans="6:8" x14ac:dyDescent="0.3">
      <c r="F4109" s="11">
        <v>-6.1091670000000002</v>
      </c>
      <c r="G4109" s="11">
        <v>57.150278</v>
      </c>
      <c r="H4109" s="11">
        <v>1</v>
      </c>
    </row>
    <row r="4110" spans="6:8" x14ac:dyDescent="0.3">
      <c r="F4110" s="11">
        <v>-6.1494439999999999</v>
      </c>
      <c r="G4110" s="11">
        <v>57.186943999999997</v>
      </c>
      <c r="H4110" s="11">
        <v>1</v>
      </c>
    </row>
    <row r="4111" spans="6:8" x14ac:dyDescent="0.3">
      <c r="F4111" s="11">
        <v>-6.2344439999999999</v>
      </c>
      <c r="G4111" s="11">
        <v>57.169167000000002</v>
      </c>
      <c r="H4111" s="11">
        <v>1</v>
      </c>
    </row>
    <row r="4112" spans="6:8" x14ac:dyDescent="0.3">
      <c r="F4112" s="11">
        <v>-6.3250000000000002</v>
      </c>
      <c r="G4112" s="11">
        <v>57.161389</v>
      </c>
      <c r="H4112" s="11">
        <v>1</v>
      </c>
    </row>
    <row r="4113" spans="6:8" x14ac:dyDescent="0.3">
      <c r="F4113" s="11">
        <v>-6.3105560000000001</v>
      </c>
      <c r="G4113" s="11">
        <v>57.189722000000003</v>
      </c>
      <c r="H4113" s="11">
        <v>1</v>
      </c>
    </row>
    <row r="4114" spans="6:8" x14ac:dyDescent="0.3">
      <c r="F4114" s="11">
        <v>-6.388611</v>
      </c>
      <c r="G4114" s="11">
        <v>57.206667000000003</v>
      </c>
      <c r="H4114" s="11">
        <v>1</v>
      </c>
    </row>
    <row r="4115" spans="6:8" x14ac:dyDescent="0.3">
      <c r="F4115" s="11">
        <v>-6.3761109999999999</v>
      </c>
      <c r="G4115" s="11">
        <v>57.232500000000002</v>
      </c>
      <c r="H4115" s="11">
        <v>1</v>
      </c>
    </row>
    <row r="4116" spans="6:8" x14ac:dyDescent="0.3">
      <c r="F4116" s="11">
        <v>-6.451111</v>
      </c>
      <c r="G4116" s="11">
        <v>57.258056000000003</v>
      </c>
      <c r="H4116" s="11">
        <v>1</v>
      </c>
    </row>
    <row r="4117" spans="6:8" x14ac:dyDescent="0.3">
      <c r="F4117" s="11">
        <v>-6.4869440000000003</v>
      </c>
      <c r="G4117" s="11">
        <v>57.298611000000001</v>
      </c>
      <c r="H4117" s="11">
        <v>1</v>
      </c>
    </row>
    <row r="4118" spans="6:8" x14ac:dyDescent="0.3">
      <c r="F4118" s="11">
        <v>-6.4344440000000001</v>
      </c>
      <c r="G4118" s="11">
        <v>57.331944</v>
      </c>
      <c r="H4118" s="11">
        <v>1</v>
      </c>
    </row>
    <row r="4119" spans="6:8" x14ac:dyDescent="0.3">
      <c r="F4119" s="11">
        <v>-6.3647220000000004</v>
      </c>
      <c r="G4119" s="11">
        <v>57.300277999999999</v>
      </c>
      <c r="H4119" s="11">
        <v>1</v>
      </c>
    </row>
    <row r="4120" spans="6:8" x14ac:dyDescent="0.3">
      <c r="F4120" s="11">
        <v>-6.3580560000000004</v>
      </c>
      <c r="G4120" s="11">
        <v>57.311943999999997</v>
      </c>
      <c r="H4120" s="11">
        <v>1</v>
      </c>
    </row>
    <row r="4121" spans="6:8" x14ac:dyDescent="0.3">
      <c r="F4121" s="11">
        <v>-6.4033329999999999</v>
      </c>
      <c r="G4121" s="11">
        <v>57.351944000000003</v>
      </c>
      <c r="H4121" s="11">
        <v>1</v>
      </c>
    </row>
    <row r="4122" spans="6:8" x14ac:dyDescent="0.3">
      <c r="F4122" s="11">
        <v>-6.458056</v>
      </c>
      <c r="G4122" s="11">
        <v>57.355832999999997</v>
      </c>
      <c r="H4122" s="11">
        <v>1</v>
      </c>
    </row>
    <row r="4123" spans="6:8" x14ac:dyDescent="0.3">
      <c r="F4123" s="11">
        <v>-6.4958330000000002</v>
      </c>
      <c r="G4123" s="11">
        <v>57.395555999999999</v>
      </c>
      <c r="H4123" s="11">
        <v>1</v>
      </c>
    </row>
    <row r="4124" spans="6:8" x14ac:dyDescent="0.3">
      <c r="F4124" s="11">
        <v>-6.53</v>
      </c>
      <c r="G4124" s="11">
        <v>57.385832999999998</v>
      </c>
      <c r="H4124" s="11">
        <v>1</v>
      </c>
    </row>
    <row r="4125" spans="6:8" x14ac:dyDescent="0.3">
      <c r="F4125" s="11">
        <v>-6.5547219999999999</v>
      </c>
      <c r="G4125" s="11">
        <v>57.385278</v>
      </c>
      <c r="H4125" s="11">
        <v>1</v>
      </c>
    </row>
    <row r="4126" spans="6:8" x14ac:dyDescent="0.3">
      <c r="F4126" s="11">
        <v>-6.5694439999999998</v>
      </c>
      <c r="G4126" s="11">
        <v>57.346389000000002</v>
      </c>
      <c r="H4126" s="11">
        <v>1</v>
      </c>
    </row>
    <row r="4127" spans="6:8" x14ac:dyDescent="0.3">
      <c r="F4127" s="11">
        <v>-6.6263889999999996</v>
      </c>
      <c r="G4127" s="11">
        <v>57.346389000000002</v>
      </c>
      <c r="H4127" s="11">
        <v>1</v>
      </c>
    </row>
    <row r="4128" spans="6:8" x14ac:dyDescent="0.3">
      <c r="F4128" s="11">
        <v>-6.7222220000000004</v>
      </c>
      <c r="G4128" s="11">
        <v>57.363889</v>
      </c>
      <c r="H4128" s="11">
        <v>1</v>
      </c>
    </row>
    <row r="4129" spans="6:8" x14ac:dyDescent="0.3">
      <c r="F4129" s="11">
        <v>-6.7494440000000004</v>
      </c>
      <c r="G4129" s="11">
        <v>57.407778</v>
      </c>
      <c r="H4129" s="11">
        <v>1</v>
      </c>
    </row>
    <row r="4130" spans="6:8" x14ac:dyDescent="0.3">
      <c r="F4130" s="11">
        <v>-6.7869440000000001</v>
      </c>
      <c r="G4130" s="11">
        <v>57.438333</v>
      </c>
      <c r="H4130" s="11">
        <v>1</v>
      </c>
    </row>
    <row r="4131" spans="6:8" x14ac:dyDescent="0.3">
      <c r="F4131" s="11">
        <v>-6.7355559999999999</v>
      </c>
      <c r="G4131" s="11">
        <v>57.448056000000001</v>
      </c>
      <c r="H4131" s="11">
        <v>1</v>
      </c>
    </row>
    <row r="4132" spans="6:8" x14ac:dyDescent="0.3">
      <c r="F4132" s="11">
        <v>-6.7541669999999998</v>
      </c>
      <c r="G4132" s="11">
        <v>57.493611000000001</v>
      </c>
      <c r="H4132" s="11">
        <v>1</v>
      </c>
    </row>
    <row r="4133" spans="6:8" x14ac:dyDescent="0.3">
      <c r="F4133" s="11">
        <v>-6.6905559999999999</v>
      </c>
      <c r="G4133" s="11">
        <v>57.477221999999998</v>
      </c>
      <c r="H4133" s="11">
        <v>1</v>
      </c>
    </row>
    <row r="4134" spans="6:8" x14ac:dyDescent="0.3">
      <c r="F4134" s="11">
        <v>-6.6388889999999998</v>
      </c>
      <c r="G4134" s="11">
        <v>57.436943999999997</v>
      </c>
      <c r="H4134" s="11">
        <v>1</v>
      </c>
    </row>
    <row r="4135" spans="6:8" x14ac:dyDescent="0.3">
      <c r="F4135" s="11">
        <v>-6.5913890000000004</v>
      </c>
      <c r="G4135" s="11">
        <v>57.444167</v>
      </c>
      <c r="H4135" s="11">
        <v>1</v>
      </c>
    </row>
    <row r="4136" spans="6:8" x14ac:dyDescent="0.3">
      <c r="F4136" s="11">
        <v>-6.6327780000000001</v>
      </c>
      <c r="G4136" s="11">
        <v>57.489167000000002</v>
      </c>
      <c r="H4136" s="11">
        <v>1</v>
      </c>
    </row>
    <row r="4137" spans="6:8" x14ac:dyDescent="0.3">
      <c r="F4137" s="11">
        <v>-6.5716669999999997</v>
      </c>
      <c r="G4137" s="11">
        <v>57.502499999999998</v>
      </c>
      <c r="H4137" s="11">
        <v>1</v>
      </c>
    </row>
    <row r="4138" spans="6:8" x14ac:dyDescent="0.3">
      <c r="F4138" s="11">
        <v>-6.6280559999999999</v>
      </c>
      <c r="G4138" s="11">
        <v>57.539721999999998</v>
      </c>
      <c r="H4138" s="11">
        <v>1</v>
      </c>
    </row>
    <row r="4139" spans="6:8" x14ac:dyDescent="0.3">
      <c r="F4139" s="11">
        <v>-6.6458329999999997</v>
      </c>
      <c r="G4139" s="11">
        <v>57.592500000000001</v>
      </c>
      <c r="H4139" s="11">
        <v>1</v>
      </c>
    </row>
    <row r="4140" spans="6:8" x14ac:dyDescent="0.3">
      <c r="F4140" s="11">
        <v>-6.5886110000000002</v>
      </c>
      <c r="G4140" s="11">
        <v>57.576388999999999</v>
      </c>
      <c r="H4140" s="11">
        <v>1</v>
      </c>
    </row>
    <row r="4141" spans="6:8" x14ac:dyDescent="0.3">
      <c r="F4141" s="11">
        <v>-6.5388890000000002</v>
      </c>
      <c r="G4141" s="11">
        <v>57.535832999999997</v>
      </c>
      <c r="H4141" s="11">
        <v>1</v>
      </c>
    </row>
    <row r="4142" spans="6:8" x14ac:dyDescent="0.3">
      <c r="F4142" s="11">
        <v>-6.4755560000000001</v>
      </c>
      <c r="G4142" s="11">
        <v>57.501111000000002</v>
      </c>
      <c r="H4142" s="11">
        <v>1</v>
      </c>
    </row>
    <row r="4143" spans="6:8" x14ac:dyDescent="0.3">
      <c r="F4143" s="11">
        <v>-6.4444439999999998</v>
      </c>
      <c r="G4143" s="11">
        <v>57.496943999999999</v>
      </c>
      <c r="H4143" s="11">
        <v>1</v>
      </c>
    </row>
    <row r="4144" spans="6:8" x14ac:dyDescent="0.3">
      <c r="F4144" s="11">
        <v>-6.4166670000000003</v>
      </c>
      <c r="G4144" s="11">
        <v>57.500556000000003</v>
      </c>
      <c r="H4144" s="11">
        <v>1</v>
      </c>
    </row>
    <row r="4145" spans="6:8" x14ac:dyDescent="0.3">
      <c r="F4145" s="11">
        <v>-6.3819439999999998</v>
      </c>
      <c r="G4145" s="11">
        <v>57.497500000000002</v>
      </c>
      <c r="H4145" s="11">
        <v>1</v>
      </c>
    </row>
    <row r="4146" spans="6:8" x14ac:dyDescent="0.3">
      <c r="F4146" s="11">
        <v>-6.3241670000000001</v>
      </c>
      <c r="G4146" s="11">
        <v>57.483333000000002</v>
      </c>
      <c r="H4146" s="11">
        <v>1</v>
      </c>
    </row>
    <row r="4147" spans="6:8" x14ac:dyDescent="0.3">
      <c r="F4147" s="11">
        <v>-6.3855560000000002</v>
      </c>
      <c r="G4147" s="11">
        <v>57.518889000000001</v>
      </c>
      <c r="H4147" s="11">
        <v>1</v>
      </c>
    </row>
    <row r="4148" spans="6:8" x14ac:dyDescent="0.3">
      <c r="F4148" s="11">
        <v>-6.387778</v>
      </c>
      <c r="G4148" s="11">
        <v>57.564444000000002</v>
      </c>
      <c r="H4148" s="11">
        <v>1</v>
      </c>
    </row>
    <row r="4149" spans="6:8" x14ac:dyDescent="0.3">
      <c r="F4149" s="11">
        <v>-6.4041670000000002</v>
      </c>
      <c r="G4149" s="11">
        <v>57.603056000000002</v>
      </c>
      <c r="H4149" s="11">
        <v>1</v>
      </c>
    </row>
    <row r="4150" spans="6:8" x14ac:dyDescent="0.3">
      <c r="F4150" s="11">
        <v>-6.4116669999999996</v>
      </c>
      <c r="G4150" s="11">
        <v>57.647778000000002</v>
      </c>
      <c r="H4150" s="11">
        <v>1</v>
      </c>
    </row>
    <row r="4151" spans="6:8" x14ac:dyDescent="0.3">
      <c r="F4151" s="11">
        <v>-6.3522220000000003</v>
      </c>
      <c r="G4151" s="11">
        <v>57.685000000000002</v>
      </c>
      <c r="H4151" s="11">
        <v>1</v>
      </c>
    </row>
    <row r="4152" spans="6:8" x14ac:dyDescent="0.3">
      <c r="F4152" s="11">
        <v>-6.3113890000000001</v>
      </c>
      <c r="G4152" s="11">
        <v>57.695833</v>
      </c>
      <c r="H4152" s="11">
        <v>1</v>
      </c>
    </row>
    <row r="4153" spans="6:8" x14ac:dyDescent="0.3">
      <c r="F4153" s="11">
        <v>-6.2494440000000004</v>
      </c>
      <c r="G4153" s="11">
        <v>57.663888999999998</v>
      </c>
      <c r="H4153" s="11">
        <v>1</v>
      </c>
    </row>
    <row r="4154" spans="6:8" x14ac:dyDescent="0.3">
      <c r="F4154" s="11">
        <v>-6.1980560000000002</v>
      </c>
      <c r="G4154" s="11">
        <v>57.624443999999997</v>
      </c>
      <c r="H4154" s="11">
        <v>1</v>
      </c>
    </row>
    <row r="4155" spans="6:8" x14ac:dyDescent="0.3">
      <c r="F4155" s="11">
        <v>-6.151389</v>
      </c>
      <c r="G4155" s="11">
        <v>57.581944</v>
      </c>
      <c r="H4155" s="11">
        <v>1</v>
      </c>
    </row>
    <row r="4156" spans="6:8" x14ac:dyDescent="0.3">
      <c r="H4156" s="11">
        <v>1</v>
      </c>
    </row>
    <row r="4157" spans="6:8" x14ac:dyDescent="0.3">
      <c r="F4157" s="11">
        <v>-5.826111</v>
      </c>
      <c r="G4157" s="11">
        <v>57.342778000000003</v>
      </c>
      <c r="H4157" s="11">
        <v>1</v>
      </c>
    </row>
    <row r="4158" spans="6:8" x14ac:dyDescent="0.3">
      <c r="H4158" s="11">
        <v>1</v>
      </c>
    </row>
    <row r="4159" spans="6:8" x14ac:dyDescent="0.3">
      <c r="F4159" s="11">
        <v>-5.9813890000000001</v>
      </c>
      <c r="G4159" s="11">
        <v>57.273055999999997</v>
      </c>
      <c r="H4159" s="11">
        <v>1</v>
      </c>
    </row>
    <row r="4160" spans="6:8" x14ac:dyDescent="0.3">
      <c r="F4160" s="11">
        <v>-6.0144440000000001</v>
      </c>
      <c r="G4160" s="11">
        <v>57.318333000000003</v>
      </c>
      <c r="H4160" s="11">
        <v>1</v>
      </c>
    </row>
    <row r="4161" spans="6:8" x14ac:dyDescent="0.3">
      <c r="F4161" s="11">
        <v>-5.9249999999999998</v>
      </c>
      <c r="G4161" s="11">
        <v>57.307222000000003</v>
      </c>
      <c r="H4161" s="11">
        <v>1</v>
      </c>
    </row>
    <row r="4162" spans="6:8" x14ac:dyDescent="0.3">
      <c r="H4162" s="11">
        <v>1</v>
      </c>
    </row>
    <row r="4163" spans="6:8" x14ac:dyDescent="0.3">
      <c r="F4163" s="11">
        <v>-5.9727779999999999</v>
      </c>
      <c r="G4163" s="11">
        <v>57.516111000000002</v>
      </c>
      <c r="H4163" s="11">
        <v>1</v>
      </c>
    </row>
    <row r="4164" spans="6:8" x14ac:dyDescent="0.3">
      <c r="F4164" s="11">
        <v>-6.0036110000000003</v>
      </c>
      <c r="G4164" s="11">
        <v>57.543056</v>
      </c>
      <c r="H4164" s="11">
        <v>1</v>
      </c>
    </row>
    <row r="4165" spans="6:8" x14ac:dyDescent="0.3">
      <c r="F4165" s="11">
        <v>-5.9644440000000003</v>
      </c>
      <c r="G4165" s="11">
        <v>57.580832999999998</v>
      </c>
      <c r="H4165" s="11">
        <v>1</v>
      </c>
    </row>
    <row r="4166" spans="6:8" x14ac:dyDescent="0.3">
      <c r="H4166" s="11">
        <v>1</v>
      </c>
    </row>
    <row r="4167" spans="6:8" x14ac:dyDescent="0.3">
      <c r="F4167" s="11">
        <v>-6.0172220000000003</v>
      </c>
      <c r="G4167" s="11">
        <v>57.441389000000001</v>
      </c>
      <c r="H4167" s="11">
        <v>1</v>
      </c>
    </row>
    <row r="4168" spans="6:8" x14ac:dyDescent="0.3">
      <c r="F4168" s="11">
        <v>-6.0152780000000003</v>
      </c>
      <c r="G4168" s="11">
        <v>57.39</v>
      </c>
      <c r="H4168" s="11">
        <v>1</v>
      </c>
    </row>
    <row r="4169" spans="6:8" x14ac:dyDescent="0.3">
      <c r="F4169" s="11">
        <v>-6.0002779999999998</v>
      </c>
      <c r="G4169" s="11">
        <v>57.342222</v>
      </c>
      <c r="H4169" s="11">
        <v>1</v>
      </c>
    </row>
    <row r="4170" spans="6:8" x14ac:dyDescent="0.3">
      <c r="F4170" s="11">
        <v>-6.0697219999999996</v>
      </c>
      <c r="G4170" s="11">
        <v>57.336111000000002</v>
      </c>
      <c r="H4170" s="11">
        <v>1</v>
      </c>
    </row>
    <row r="4171" spans="6:8" x14ac:dyDescent="0.3">
      <c r="F4171" s="11">
        <v>-6.0741670000000001</v>
      </c>
      <c r="G4171" s="11">
        <v>57.387222000000001</v>
      </c>
      <c r="H4171" s="11">
        <v>1</v>
      </c>
    </row>
    <row r="4172" spans="6:8" x14ac:dyDescent="0.3">
      <c r="F4172" s="11">
        <v>-6.0658329999999996</v>
      </c>
      <c r="G4172" s="11">
        <v>57.445833</v>
      </c>
      <c r="H4172" s="11">
        <v>1</v>
      </c>
    </row>
    <row r="4173" spans="6:8" x14ac:dyDescent="0.3">
      <c r="F4173" s="11">
        <v>-6.0055560000000003</v>
      </c>
      <c r="G4173" s="11">
        <v>57.481667000000002</v>
      </c>
      <c r="H4173" s="11">
        <v>1</v>
      </c>
    </row>
    <row r="4174" spans="6:8" x14ac:dyDescent="0.3">
      <c r="H4174" s="11">
        <v>1</v>
      </c>
    </row>
    <row r="4175" spans="6:8" x14ac:dyDescent="0.3">
      <c r="F4175" s="11">
        <v>-6.387778</v>
      </c>
      <c r="G4175" s="11">
        <v>57.891388999999997</v>
      </c>
      <c r="H4175" s="11">
        <v>1</v>
      </c>
    </row>
    <row r="4176" spans="6:8" x14ac:dyDescent="0.3">
      <c r="H4176" s="11">
        <v>1</v>
      </c>
    </row>
    <row r="4177" spans="6:8" x14ac:dyDescent="0.3">
      <c r="F4177" s="11">
        <v>-5.6394440000000001</v>
      </c>
      <c r="G4177" s="11">
        <v>57.839722000000002</v>
      </c>
      <c r="H4177" s="11">
        <v>1</v>
      </c>
    </row>
    <row r="4178" spans="6:8" x14ac:dyDescent="0.3">
      <c r="H4178" s="11">
        <v>1</v>
      </c>
    </row>
    <row r="4179" spans="6:8" x14ac:dyDescent="0.3">
      <c r="F4179" s="11">
        <v>-5.4669439999999998</v>
      </c>
      <c r="G4179" s="11">
        <v>57.892221999999997</v>
      </c>
      <c r="H4179" s="11">
        <v>1</v>
      </c>
    </row>
    <row r="4180" spans="6:8" x14ac:dyDescent="0.3">
      <c r="H4180" s="11">
        <v>1</v>
      </c>
    </row>
    <row r="4181" spans="6:8" x14ac:dyDescent="0.3">
      <c r="F4181" s="11">
        <v>-5.4055559999999998</v>
      </c>
      <c r="G4181" s="11">
        <v>58.021110999999998</v>
      </c>
      <c r="H4181" s="11">
        <v>1</v>
      </c>
    </row>
    <row r="4182" spans="6:8" x14ac:dyDescent="0.3">
      <c r="H4182" s="11">
        <v>1</v>
      </c>
    </row>
    <row r="4183" spans="6:8" x14ac:dyDescent="0.3">
      <c r="F4183" s="11">
        <v>-5.4919440000000002</v>
      </c>
      <c r="G4183" s="11">
        <v>57.952500000000001</v>
      </c>
      <c r="H4183" s="11">
        <v>1</v>
      </c>
    </row>
    <row r="4184" spans="6:8" x14ac:dyDescent="0.3">
      <c r="H4184" s="11">
        <v>1</v>
      </c>
    </row>
    <row r="4185" spans="6:8" x14ac:dyDescent="0.3">
      <c r="F4185" s="11">
        <v>-5.155278</v>
      </c>
      <c r="G4185" s="11">
        <v>58.374721999999998</v>
      </c>
      <c r="H4185" s="11">
        <v>1</v>
      </c>
    </row>
    <row r="4186" spans="6:8" x14ac:dyDescent="0.3">
      <c r="H4186" s="11">
        <v>1</v>
      </c>
    </row>
    <row r="4187" spans="6:8" x14ac:dyDescent="0.3">
      <c r="F4187" s="11">
        <v>-6.2033329999999998</v>
      </c>
      <c r="G4187" s="11">
        <v>58.361389000000003</v>
      </c>
      <c r="H4187" s="11">
        <v>1</v>
      </c>
    </row>
    <row r="4188" spans="6:8" x14ac:dyDescent="0.3">
      <c r="F4188" s="11">
        <v>-6.1616669999999996</v>
      </c>
      <c r="G4188" s="11">
        <v>58.326667</v>
      </c>
      <c r="H4188" s="11">
        <v>1</v>
      </c>
    </row>
    <row r="4189" spans="6:8" x14ac:dyDescent="0.3">
      <c r="F4189" s="11">
        <v>-6.2336109999999998</v>
      </c>
      <c r="G4189" s="11">
        <v>58.296111000000003</v>
      </c>
      <c r="H4189" s="11">
        <v>1</v>
      </c>
    </row>
    <row r="4190" spans="6:8" x14ac:dyDescent="0.3">
      <c r="F4190" s="11">
        <v>-6.2852779999999999</v>
      </c>
      <c r="G4190" s="11">
        <v>58.258611000000002</v>
      </c>
      <c r="H4190" s="11">
        <v>1</v>
      </c>
    </row>
    <row r="4191" spans="6:8" x14ac:dyDescent="0.3">
      <c r="F4191" s="11">
        <v>-6.3452780000000004</v>
      </c>
      <c r="G4191" s="11">
        <v>58.225833000000002</v>
      </c>
      <c r="H4191" s="11">
        <v>1</v>
      </c>
    </row>
    <row r="4192" spans="6:8" x14ac:dyDescent="0.3">
      <c r="F4192" s="11">
        <v>-6.2902779999999998</v>
      </c>
      <c r="G4192" s="11">
        <v>58.199722000000001</v>
      </c>
      <c r="H4192" s="11">
        <v>1</v>
      </c>
    </row>
    <row r="4193" spans="6:8" x14ac:dyDescent="0.3">
      <c r="F4193" s="11">
        <v>-6.2105560000000004</v>
      </c>
      <c r="G4193" s="11">
        <v>58.225278000000003</v>
      </c>
      <c r="H4193" s="11">
        <v>1</v>
      </c>
    </row>
    <row r="4194" spans="6:8" x14ac:dyDescent="0.3">
      <c r="F4194" s="11">
        <v>-6.1388889999999998</v>
      </c>
      <c r="G4194" s="11">
        <v>58.253889000000001</v>
      </c>
      <c r="H4194" s="11">
        <v>1</v>
      </c>
    </row>
    <row r="4195" spans="6:8" x14ac:dyDescent="0.3">
      <c r="F4195" s="11">
        <v>-6.1344440000000002</v>
      </c>
      <c r="G4195" s="11">
        <v>58.208055999999999</v>
      </c>
      <c r="H4195" s="11">
        <v>1</v>
      </c>
    </row>
    <row r="4196" spans="6:8" x14ac:dyDescent="0.3">
      <c r="F4196" s="11">
        <v>-6.2055559999999996</v>
      </c>
      <c r="G4196" s="11">
        <v>58.176943999999999</v>
      </c>
      <c r="H4196" s="11">
        <v>1</v>
      </c>
    </row>
    <row r="4197" spans="6:8" x14ac:dyDescent="0.3">
      <c r="F4197" s="11">
        <v>-6.2844439999999997</v>
      </c>
      <c r="G4197" s="11">
        <v>58.191389000000001</v>
      </c>
      <c r="H4197" s="11">
        <v>1</v>
      </c>
    </row>
    <row r="4198" spans="6:8" x14ac:dyDescent="0.3">
      <c r="F4198" s="11">
        <v>-6.3558329999999996</v>
      </c>
      <c r="G4198" s="11">
        <v>58.194443999999997</v>
      </c>
      <c r="H4198" s="11">
        <v>1</v>
      </c>
    </row>
    <row r="4199" spans="6:8" x14ac:dyDescent="0.3">
      <c r="F4199" s="11">
        <v>-6.3741669999999999</v>
      </c>
      <c r="G4199" s="11">
        <v>58.166944000000001</v>
      </c>
      <c r="H4199" s="11">
        <v>1</v>
      </c>
    </row>
    <row r="4200" spans="6:8" x14ac:dyDescent="0.3">
      <c r="F4200" s="11">
        <v>-6.3616669999999997</v>
      </c>
      <c r="G4200" s="11">
        <v>58.122222000000001</v>
      </c>
      <c r="H4200" s="11">
        <v>1</v>
      </c>
    </row>
    <row r="4201" spans="6:8" x14ac:dyDescent="0.3">
      <c r="F4201" s="11">
        <v>-6.441389</v>
      </c>
      <c r="G4201" s="11">
        <v>58.100555999999997</v>
      </c>
      <c r="H4201" s="11">
        <v>1</v>
      </c>
    </row>
    <row r="4202" spans="6:8" x14ac:dyDescent="0.3">
      <c r="F4202" s="11">
        <v>-6.5280560000000003</v>
      </c>
      <c r="G4202" s="11">
        <v>58.079444000000002</v>
      </c>
      <c r="H4202" s="11">
        <v>1</v>
      </c>
    </row>
    <row r="4203" spans="6:8" x14ac:dyDescent="0.3">
      <c r="F4203" s="11">
        <v>-6.4386109999999999</v>
      </c>
      <c r="G4203" s="11">
        <v>58.082222000000002</v>
      </c>
      <c r="H4203" s="11">
        <v>1</v>
      </c>
    </row>
    <row r="4204" spans="6:8" x14ac:dyDescent="0.3">
      <c r="F4204" s="11">
        <v>-6.3827780000000001</v>
      </c>
      <c r="G4204" s="11">
        <v>58.090833000000003</v>
      </c>
      <c r="H4204" s="11">
        <v>1</v>
      </c>
    </row>
    <row r="4205" spans="6:8" x14ac:dyDescent="0.3">
      <c r="F4205" s="11">
        <v>-6.3674999999999997</v>
      </c>
      <c r="G4205" s="11">
        <v>58.047221999999998</v>
      </c>
      <c r="H4205" s="11">
        <v>1</v>
      </c>
    </row>
    <row r="4206" spans="6:8" x14ac:dyDescent="0.3">
      <c r="F4206" s="11">
        <v>-6.398333</v>
      </c>
      <c r="G4206" s="11">
        <v>58.000278000000002</v>
      </c>
      <c r="H4206" s="11">
        <v>1</v>
      </c>
    </row>
    <row r="4207" spans="6:8" x14ac:dyDescent="0.3">
      <c r="F4207" s="11">
        <v>-6.4952779999999999</v>
      </c>
      <c r="G4207" s="11">
        <v>58.006943999999997</v>
      </c>
      <c r="H4207" s="11">
        <v>1</v>
      </c>
    </row>
    <row r="4208" spans="6:8" x14ac:dyDescent="0.3">
      <c r="F4208" s="11">
        <v>-6.5244439999999999</v>
      </c>
      <c r="G4208" s="11">
        <v>58.001944000000002</v>
      </c>
      <c r="H4208" s="11">
        <v>1</v>
      </c>
    </row>
    <row r="4209" spans="6:8" x14ac:dyDescent="0.3">
      <c r="F4209" s="11">
        <v>-6.4605560000000004</v>
      </c>
      <c r="G4209" s="11">
        <v>57.967222</v>
      </c>
      <c r="H4209" s="11">
        <v>1</v>
      </c>
    </row>
    <row r="4210" spans="6:8" x14ac:dyDescent="0.3">
      <c r="F4210" s="11">
        <v>-6.5172220000000003</v>
      </c>
      <c r="G4210" s="11">
        <v>57.931111000000001</v>
      </c>
      <c r="H4210" s="11">
        <v>1</v>
      </c>
    </row>
    <row r="4211" spans="6:8" x14ac:dyDescent="0.3">
      <c r="F4211" s="11">
        <v>-6.5674999999999999</v>
      </c>
      <c r="G4211" s="11">
        <v>57.914444000000003</v>
      </c>
      <c r="H4211" s="11">
        <v>1</v>
      </c>
    </row>
    <row r="4212" spans="6:8" x14ac:dyDescent="0.3">
      <c r="F4212" s="11">
        <v>-6.6219440000000001</v>
      </c>
      <c r="G4212" s="11">
        <v>57.942500000000003</v>
      </c>
      <c r="H4212" s="11">
        <v>1</v>
      </c>
    </row>
    <row r="4213" spans="6:8" x14ac:dyDescent="0.3">
      <c r="F4213" s="11">
        <v>-6.6358329999999999</v>
      </c>
      <c r="G4213" s="11">
        <v>57.921388999999998</v>
      </c>
      <c r="H4213" s="11">
        <v>1</v>
      </c>
    </row>
    <row r="4214" spans="6:8" x14ac:dyDescent="0.3">
      <c r="F4214" s="11">
        <v>-6.6980560000000002</v>
      </c>
      <c r="G4214" s="11">
        <v>57.949167000000003</v>
      </c>
      <c r="H4214" s="11">
        <v>1</v>
      </c>
    </row>
    <row r="4215" spans="6:8" x14ac:dyDescent="0.3">
      <c r="F4215" s="11">
        <v>-6.7133330000000004</v>
      </c>
      <c r="G4215" s="11">
        <v>57.996110999999999</v>
      </c>
      <c r="H4215" s="11">
        <v>1</v>
      </c>
    </row>
    <row r="4216" spans="6:8" x14ac:dyDescent="0.3">
      <c r="F4216" s="11">
        <v>-6.7163890000000004</v>
      </c>
      <c r="G4216" s="11">
        <v>58.031111000000003</v>
      </c>
      <c r="H4216" s="11">
        <v>1</v>
      </c>
    </row>
    <row r="4217" spans="6:8" x14ac:dyDescent="0.3">
      <c r="F4217" s="11">
        <v>-6.7458330000000002</v>
      </c>
      <c r="G4217" s="11">
        <v>57.983611000000003</v>
      </c>
      <c r="H4217" s="11">
        <v>1</v>
      </c>
    </row>
    <row r="4218" spans="6:8" x14ac:dyDescent="0.3">
      <c r="F4218" s="11">
        <v>-6.7180559999999998</v>
      </c>
      <c r="G4218" s="11">
        <v>57.933610999999999</v>
      </c>
      <c r="H4218" s="11">
        <v>1</v>
      </c>
    </row>
    <row r="4219" spans="6:8" x14ac:dyDescent="0.3">
      <c r="F4219" s="11">
        <v>-6.6924999999999999</v>
      </c>
      <c r="G4219" s="11">
        <v>57.898888999999997</v>
      </c>
      <c r="H4219" s="11">
        <v>1</v>
      </c>
    </row>
    <row r="4220" spans="6:8" x14ac:dyDescent="0.3">
      <c r="F4220" s="11">
        <v>-6.7480560000000001</v>
      </c>
      <c r="G4220" s="11">
        <v>57.881667</v>
      </c>
      <c r="H4220" s="11">
        <v>1</v>
      </c>
    </row>
    <row r="4221" spans="6:8" x14ac:dyDescent="0.3">
      <c r="F4221" s="11">
        <v>-6.8202780000000001</v>
      </c>
      <c r="G4221" s="11">
        <v>57.874167</v>
      </c>
      <c r="H4221" s="11">
        <v>1</v>
      </c>
    </row>
    <row r="4222" spans="6:8" x14ac:dyDescent="0.3">
      <c r="F4222" s="11">
        <v>-6.7686109999999999</v>
      </c>
      <c r="G4222" s="11">
        <v>57.837221999999997</v>
      </c>
      <c r="H4222" s="11">
        <v>1</v>
      </c>
    </row>
    <row r="4223" spans="6:8" x14ac:dyDescent="0.3">
      <c r="F4223" s="11">
        <v>-6.8075000000000001</v>
      </c>
      <c r="G4223" s="11">
        <v>57.813889000000003</v>
      </c>
      <c r="H4223" s="11">
        <v>1</v>
      </c>
    </row>
    <row r="4224" spans="6:8" x14ac:dyDescent="0.3">
      <c r="F4224" s="11">
        <v>-6.8624999999999998</v>
      </c>
      <c r="G4224" s="11">
        <v>57.811943999999997</v>
      </c>
      <c r="H4224" s="11">
        <v>1</v>
      </c>
    </row>
    <row r="4225" spans="6:8" x14ac:dyDescent="0.3">
      <c r="F4225" s="11">
        <v>-6.8972220000000002</v>
      </c>
      <c r="G4225" s="11">
        <v>57.769444</v>
      </c>
      <c r="H4225" s="11">
        <v>1</v>
      </c>
    </row>
    <row r="4226" spans="6:8" x14ac:dyDescent="0.3">
      <c r="F4226" s="11">
        <v>-6.9572219999999998</v>
      </c>
      <c r="G4226" s="11">
        <v>57.738332999999997</v>
      </c>
      <c r="H4226" s="11">
        <v>1</v>
      </c>
    </row>
    <row r="4227" spans="6:8" x14ac:dyDescent="0.3">
      <c r="F4227" s="11">
        <v>-7.0011109999999999</v>
      </c>
      <c r="G4227" s="11">
        <v>57.743056000000003</v>
      </c>
      <c r="H4227" s="11">
        <v>1</v>
      </c>
    </row>
    <row r="4228" spans="6:8" x14ac:dyDescent="0.3">
      <c r="F4228" s="11">
        <v>-7.066389</v>
      </c>
      <c r="G4228" s="11">
        <v>57.769167000000003</v>
      </c>
      <c r="H4228" s="11">
        <v>1</v>
      </c>
    </row>
    <row r="4229" spans="6:8" x14ac:dyDescent="0.3">
      <c r="F4229" s="11">
        <v>-7.1241669999999999</v>
      </c>
      <c r="G4229" s="11">
        <v>57.806666999999997</v>
      </c>
      <c r="H4229" s="11">
        <v>1</v>
      </c>
    </row>
    <row r="4230" spans="6:8" x14ac:dyDescent="0.3">
      <c r="F4230" s="11">
        <v>-7.1327780000000001</v>
      </c>
      <c r="G4230" s="11">
        <v>57.831944</v>
      </c>
      <c r="H4230" s="11">
        <v>1</v>
      </c>
    </row>
    <row r="4231" spans="6:8" x14ac:dyDescent="0.3">
      <c r="F4231" s="11">
        <v>-7.0766669999999996</v>
      </c>
      <c r="G4231" s="11">
        <v>57.802500000000002</v>
      </c>
      <c r="H4231" s="11">
        <v>1</v>
      </c>
    </row>
    <row r="4232" spans="6:8" x14ac:dyDescent="0.3">
      <c r="F4232" s="11">
        <v>-7.0236109999999998</v>
      </c>
      <c r="G4232" s="11">
        <v>57.840833000000003</v>
      </c>
      <c r="H4232" s="11">
        <v>1</v>
      </c>
    </row>
    <row r="4233" spans="6:8" x14ac:dyDescent="0.3">
      <c r="F4233" s="11">
        <v>-6.9513889999999998</v>
      </c>
      <c r="G4233" s="11">
        <v>57.864443999999999</v>
      </c>
      <c r="H4233" s="11">
        <v>1</v>
      </c>
    </row>
    <row r="4234" spans="6:8" x14ac:dyDescent="0.3">
      <c r="F4234" s="11">
        <v>-6.9691669999999997</v>
      </c>
      <c r="G4234" s="11">
        <v>57.888888999999999</v>
      </c>
      <c r="H4234" s="11">
        <v>1</v>
      </c>
    </row>
    <row r="4235" spans="6:8" x14ac:dyDescent="0.3">
      <c r="F4235" s="11">
        <v>-6.8961110000000003</v>
      </c>
      <c r="G4235" s="11">
        <v>57.895833000000003</v>
      </c>
      <c r="H4235" s="11">
        <v>1</v>
      </c>
    </row>
    <row r="4236" spans="6:8" x14ac:dyDescent="0.3">
      <c r="F4236" s="11">
        <v>-6.861389</v>
      </c>
      <c r="G4236" s="11">
        <v>57.908056000000002</v>
      </c>
      <c r="H4236" s="11">
        <v>1</v>
      </c>
    </row>
    <row r="4237" spans="6:8" x14ac:dyDescent="0.3">
      <c r="F4237" s="11">
        <v>-6.9066669999999997</v>
      </c>
      <c r="G4237" s="11">
        <v>57.933332999999998</v>
      </c>
      <c r="H4237" s="11">
        <v>1</v>
      </c>
    </row>
    <row r="4238" spans="6:8" x14ac:dyDescent="0.3">
      <c r="F4238" s="11">
        <v>-6.9974999999999996</v>
      </c>
      <c r="G4238" s="11">
        <v>57.954444000000002</v>
      </c>
      <c r="H4238" s="11">
        <v>1</v>
      </c>
    </row>
    <row r="4239" spans="6:8" x14ac:dyDescent="0.3">
      <c r="F4239" s="11">
        <v>-7.0797220000000003</v>
      </c>
      <c r="G4239" s="11">
        <v>57.960555999999997</v>
      </c>
      <c r="H4239" s="11">
        <v>1</v>
      </c>
    </row>
    <row r="4240" spans="6:8" x14ac:dyDescent="0.3">
      <c r="F4240" s="11">
        <v>-7.1261109999999999</v>
      </c>
      <c r="G4240" s="11">
        <v>57.994722000000003</v>
      </c>
      <c r="H4240" s="11">
        <v>1</v>
      </c>
    </row>
    <row r="4241" spans="6:8" x14ac:dyDescent="0.3">
      <c r="F4241" s="11">
        <v>-7.0630559999999996</v>
      </c>
      <c r="G4241" s="11">
        <v>58.013610999999997</v>
      </c>
      <c r="H4241" s="11">
        <v>1</v>
      </c>
    </row>
    <row r="4242" spans="6:8" x14ac:dyDescent="0.3">
      <c r="F4242" s="11">
        <v>-7.0425000000000004</v>
      </c>
      <c r="G4242" s="11">
        <v>58.036110999999998</v>
      </c>
      <c r="H4242" s="11">
        <v>1</v>
      </c>
    </row>
    <row r="4243" spans="6:8" x14ac:dyDescent="0.3">
      <c r="F4243" s="11">
        <v>-7.0688890000000004</v>
      </c>
      <c r="G4243" s="11">
        <v>58.056666999999997</v>
      </c>
      <c r="H4243" s="11">
        <v>1</v>
      </c>
    </row>
    <row r="4244" spans="6:8" x14ac:dyDescent="0.3">
      <c r="F4244" s="11">
        <v>-7.1091670000000002</v>
      </c>
      <c r="G4244" s="11">
        <v>58.1</v>
      </c>
      <c r="H4244" s="11">
        <v>1</v>
      </c>
    </row>
    <row r="4245" spans="6:8" x14ac:dyDescent="0.3">
      <c r="F4245" s="11">
        <v>-7.1091670000000002</v>
      </c>
      <c r="G4245" s="11">
        <v>58.142499999999998</v>
      </c>
      <c r="H4245" s="11">
        <v>1</v>
      </c>
    </row>
    <row r="4246" spans="6:8" x14ac:dyDescent="0.3">
      <c r="F4246" s="11">
        <v>-7.0655559999999999</v>
      </c>
      <c r="G4246" s="11">
        <v>58.174999999999997</v>
      </c>
      <c r="H4246" s="11">
        <v>1</v>
      </c>
    </row>
    <row r="4247" spans="6:8" x14ac:dyDescent="0.3">
      <c r="F4247" s="11">
        <v>-7.0386110000000004</v>
      </c>
      <c r="G4247" s="11">
        <v>58.186110999999997</v>
      </c>
      <c r="H4247" s="11">
        <v>1</v>
      </c>
    </row>
    <row r="4248" spans="6:8" x14ac:dyDescent="0.3">
      <c r="F4248" s="11">
        <v>-7.0333329999999998</v>
      </c>
      <c r="G4248" s="11">
        <v>58.226666999999999</v>
      </c>
      <c r="H4248" s="11">
        <v>1</v>
      </c>
    </row>
    <row r="4249" spans="6:8" x14ac:dyDescent="0.3">
      <c r="F4249" s="11">
        <v>-6.9647220000000001</v>
      </c>
      <c r="G4249" s="11">
        <v>58.212221999999997</v>
      </c>
      <c r="H4249" s="11">
        <v>1</v>
      </c>
    </row>
    <row r="4250" spans="6:8" x14ac:dyDescent="0.3">
      <c r="F4250" s="11">
        <v>-6.9113889999999998</v>
      </c>
      <c r="G4250" s="11">
        <v>58.205278</v>
      </c>
      <c r="H4250" s="11">
        <v>1</v>
      </c>
    </row>
    <row r="4251" spans="6:8" x14ac:dyDescent="0.3">
      <c r="F4251" s="11">
        <v>-6.9188890000000001</v>
      </c>
      <c r="G4251" s="11">
        <v>58.175832999999997</v>
      </c>
      <c r="H4251" s="11">
        <v>1</v>
      </c>
    </row>
    <row r="4252" spans="6:8" x14ac:dyDescent="0.3">
      <c r="F4252" s="11">
        <v>-6.8552780000000002</v>
      </c>
      <c r="G4252" s="11">
        <v>58.179721999999998</v>
      </c>
      <c r="H4252" s="11">
        <v>1</v>
      </c>
    </row>
    <row r="4253" spans="6:8" x14ac:dyDescent="0.3">
      <c r="F4253" s="11">
        <v>-6.7649999999999997</v>
      </c>
      <c r="G4253" s="11">
        <v>58.179443999999997</v>
      </c>
      <c r="H4253" s="11">
        <v>1</v>
      </c>
    </row>
    <row r="4254" spans="6:8" x14ac:dyDescent="0.3">
      <c r="F4254" s="11">
        <v>-6.7024999999999997</v>
      </c>
      <c r="G4254" s="11">
        <v>58.178610999999997</v>
      </c>
      <c r="H4254" s="11">
        <v>1</v>
      </c>
    </row>
    <row r="4255" spans="6:8" x14ac:dyDescent="0.3">
      <c r="F4255" s="11">
        <v>-6.759722</v>
      </c>
      <c r="G4255" s="11">
        <v>58.209443999999998</v>
      </c>
      <c r="H4255" s="11">
        <v>1</v>
      </c>
    </row>
    <row r="4256" spans="6:8" x14ac:dyDescent="0.3">
      <c r="F4256" s="11">
        <v>-6.8047219999999999</v>
      </c>
      <c r="G4256" s="11">
        <v>58.25</v>
      </c>
      <c r="H4256" s="11">
        <v>1</v>
      </c>
    </row>
    <row r="4257" spans="6:8" x14ac:dyDescent="0.3">
      <c r="F4257" s="11">
        <v>-6.7947220000000002</v>
      </c>
      <c r="G4257" s="11">
        <v>58.284722000000002</v>
      </c>
      <c r="H4257" s="11">
        <v>1</v>
      </c>
    </row>
    <row r="4258" spans="6:8" x14ac:dyDescent="0.3">
      <c r="F4258" s="11">
        <v>-6.740278</v>
      </c>
      <c r="G4258" s="11">
        <v>58.3125</v>
      </c>
      <c r="H4258" s="11">
        <v>1</v>
      </c>
    </row>
    <row r="4259" spans="6:8" x14ac:dyDescent="0.3">
      <c r="F4259" s="11">
        <v>-6.6713889999999996</v>
      </c>
      <c r="G4259" s="11">
        <v>58.333888999999999</v>
      </c>
      <c r="H4259" s="11">
        <v>1</v>
      </c>
    </row>
    <row r="4260" spans="6:8" x14ac:dyDescent="0.3">
      <c r="F4260" s="11">
        <v>-6.6005560000000001</v>
      </c>
      <c r="G4260" s="11">
        <v>58.342500000000001</v>
      </c>
      <c r="H4260" s="11">
        <v>1</v>
      </c>
    </row>
    <row r="4261" spans="6:8" x14ac:dyDescent="0.3">
      <c r="F4261" s="11">
        <v>-6.5313889999999999</v>
      </c>
      <c r="G4261" s="11">
        <v>58.354166999999997</v>
      </c>
      <c r="H4261" s="11">
        <v>1</v>
      </c>
    </row>
    <row r="4262" spans="6:8" x14ac:dyDescent="0.3">
      <c r="F4262" s="11">
        <v>-6.4850000000000003</v>
      </c>
      <c r="G4262" s="11">
        <v>58.395833000000003</v>
      </c>
      <c r="H4262" s="11">
        <v>1</v>
      </c>
    </row>
    <row r="4263" spans="6:8" x14ac:dyDescent="0.3">
      <c r="F4263" s="11">
        <v>-6.4175000000000004</v>
      </c>
      <c r="G4263" s="11">
        <v>58.428055999999998</v>
      </c>
      <c r="H4263" s="11">
        <v>1</v>
      </c>
    </row>
    <row r="4264" spans="6:8" x14ac:dyDescent="0.3">
      <c r="F4264" s="11">
        <v>-6.3397220000000001</v>
      </c>
      <c r="G4264" s="11">
        <v>58.454999999999998</v>
      </c>
      <c r="H4264" s="11">
        <v>1</v>
      </c>
    </row>
    <row r="4265" spans="6:8" x14ac:dyDescent="0.3">
      <c r="F4265" s="11">
        <v>-6.2741670000000003</v>
      </c>
      <c r="G4265" s="11">
        <v>58.488332999999997</v>
      </c>
      <c r="H4265" s="11">
        <v>1</v>
      </c>
    </row>
    <row r="4266" spans="6:8" x14ac:dyDescent="0.3">
      <c r="F4266" s="11">
        <v>-6.2186110000000001</v>
      </c>
      <c r="G4266" s="11">
        <v>58.4925</v>
      </c>
      <c r="H4266" s="11">
        <v>1</v>
      </c>
    </row>
    <row r="4267" spans="6:8" x14ac:dyDescent="0.3">
      <c r="F4267" s="11">
        <v>-6.1780559999999998</v>
      </c>
      <c r="G4267" s="11">
        <v>58.454444000000002</v>
      </c>
      <c r="H4267" s="11">
        <v>1</v>
      </c>
    </row>
    <row r="4268" spans="6:8" x14ac:dyDescent="0.3">
      <c r="F4268" s="11">
        <v>-6.1602779999999999</v>
      </c>
      <c r="G4268" s="11">
        <v>58.408611000000001</v>
      </c>
      <c r="H4268" s="11">
        <v>1</v>
      </c>
    </row>
    <row r="4269" spans="6:8" x14ac:dyDescent="0.3">
      <c r="H4269" s="11">
        <v>1</v>
      </c>
    </row>
    <row r="4270" spans="6:8" x14ac:dyDescent="0.3">
      <c r="F4270" s="11">
        <v>-6.8336110000000003</v>
      </c>
      <c r="G4270" s="11">
        <v>58.203611000000002</v>
      </c>
      <c r="H4270" s="11">
        <v>1</v>
      </c>
    </row>
    <row r="4271" spans="6:8" x14ac:dyDescent="0.3">
      <c r="F4271" s="11">
        <v>-6.8863890000000003</v>
      </c>
      <c r="G4271" s="11">
        <v>58.241943999999997</v>
      </c>
      <c r="H4271" s="11">
        <v>1</v>
      </c>
    </row>
    <row r="4272" spans="6:8" x14ac:dyDescent="0.3">
      <c r="F4272" s="11">
        <v>-6.8208330000000004</v>
      </c>
      <c r="G4272" s="11">
        <v>58.224443999999998</v>
      </c>
      <c r="H4272" s="11">
        <v>1</v>
      </c>
    </row>
    <row r="4273" spans="6:8" x14ac:dyDescent="0.3">
      <c r="H4273" s="11">
        <v>1</v>
      </c>
    </row>
    <row r="4274" spans="6:8" x14ac:dyDescent="0.3">
      <c r="F4274" s="11">
        <v>-7.1825000000000001</v>
      </c>
      <c r="G4274" s="11">
        <v>58.026111</v>
      </c>
      <c r="H4274" s="11">
        <v>1</v>
      </c>
    </row>
    <row r="4275" spans="6:8" x14ac:dyDescent="0.3">
      <c r="F4275" s="11">
        <v>-7.1208330000000002</v>
      </c>
      <c r="G4275" s="11">
        <v>58.013888999999999</v>
      </c>
      <c r="H4275" s="11">
        <v>1</v>
      </c>
    </row>
    <row r="4276" spans="6:8" x14ac:dyDescent="0.3">
      <c r="H4276" s="11">
        <v>1</v>
      </c>
    </row>
    <row r="4277" spans="6:8" x14ac:dyDescent="0.3">
      <c r="F4277" s="11">
        <v>-7.0583330000000002</v>
      </c>
      <c r="G4277" s="11">
        <v>57.877777999999999</v>
      </c>
      <c r="H4277" s="11">
        <v>1</v>
      </c>
    </row>
    <row r="4278" spans="6:8" x14ac:dyDescent="0.3">
      <c r="F4278" s="11">
        <v>-7.041944</v>
      </c>
      <c r="G4278" s="11">
        <v>57.901111</v>
      </c>
      <c r="H4278" s="11">
        <v>1</v>
      </c>
    </row>
    <row r="4279" spans="6:8" x14ac:dyDescent="0.3">
      <c r="F4279" s="11">
        <v>-6.9861110000000002</v>
      </c>
      <c r="G4279" s="11">
        <v>57.893056000000001</v>
      </c>
      <c r="H4279" s="11">
        <v>1</v>
      </c>
    </row>
    <row r="4280" spans="6:8" x14ac:dyDescent="0.3">
      <c r="H4280" s="11">
        <v>1</v>
      </c>
    </row>
    <row r="4281" spans="6:8" x14ac:dyDescent="0.3">
      <c r="F4281" s="11">
        <v>-7.2808330000000003</v>
      </c>
      <c r="G4281" s="11">
        <v>57.761111</v>
      </c>
      <c r="H4281" s="11">
        <v>1</v>
      </c>
    </row>
    <row r="4282" spans="6:8" x14ac:dyDescent="0.3">
      <c r="H4282" s="11">
        <v>1</v>
      </c>
    </row>
    <row r="4283" spans="6:8" x14ac:dyDescent="0.3">
      <c r="F4283" s="11">
        <v>-7.2252780000000003</v>
      </c>
      <c r="G4283" s="11">
        <v>57.698889000000001</v>
      </c>
      <c r="H4283" s="11">
        <v>1</v>
      </c>
    </row>
    <row r="4284" spans="6:8" x14ac:dyDescent="0.3">
      <c r="F4284" s="11">
        <v>-7.1858329999999997</v>
      </c>
      <c r="G4284" s="11">
        <v>57.733333000000002</v>
      </c>
      <c r="H4284" s="11">
        <v>1</v>
      </c>
    </row>
    <row r="4285" spans="6:8" x14ac:dyDescent="0.3">
      <c r="H4285" s="11">
        <v>1</v>
      </c>
    </row>
    <row r="4286" spans="6:8" x14ac:dyDescent="0.3">
      <c r="F4286" s="11">
        <v>-7.2933329999999996</v>
      </c>
      <c r="G4286" s="11">
        <v>57.705278</v>
      </c>
      <c r="H4286" s="11">
        <v>1</v>
      </c>
    </row>
    <row r="4287" spans="6:8" x14ac:dyDescent="0.3">
      <c r="H4287" s="11">
        <v>1</v>
      </c>
    </row>
    <row r="4288" spans="6:8" x14ac:dyDescent="0.3">
      <c r="F4288" s="11">
        <v>-8.6122219999999992</v>
      </c>
      <c r="G4288" s="11">
        <v>57.813889000000003</v>
      </c>
      <c r="H4288" s="11">
        <v>1</v>
      </c>
    </row>
    <row r="4289" spans="6:8" x14ac:dyDescent="0.3">
      <c r="F4289" s="11">
        <v>-8.5547219999999999</v>
      </c>
      <c r="G4289" s="11">
        <v>57.816110999999999</v>
      </c>
      <c r="H4289" s="11">
        <v>1</v>
      </c>
    </row>
    <row r="4290" spans="6:8" x14ac:dyDescent="0.3">
      <c r="H4290" s="11">
        <v>1</v>
      </c>
    </row>
    <row r="4291" spans="6:8" x14ac:dyDescent="0.3">
      <c r="F4291" s="11">
        <v>-7.1322219999999996</v>
      </c>
      <c r="G4291" s="11">
        <v>57.621110999999999</v>
      </c>
      <c r="H4291" s="11">
        <v>1</v>
      </c>
    </row>
    <row r="4292" spans="6:8" x14ac:dyDescent="0.3">
      <c r="F4292" s="11">
        <v>-7.2086110000000003</v>
      </c>
      <c r="G4292" s="11">
        <v>57.616388999999998</v>
      </c>
      <c r="H4292" s="11">
        <v>1</v>
      </c>
    </row>
    <row r="4293" spans="6:8" x14ac:dyDescent="0.3">
      <c r="F4293" s="11">
        <v>-7.155278</v>
      </c>
      <c r="G4293" s="11">
        <v>57.587499999999999</v>
      </c>
      <c r="H4293" s="11">
        <v>1</v>
      </c>
    </row>
    <row r="4294" spans="6:8" x14ac:dyDescent="0.3">
      <c r="F4294" s="11">
        <v>-7.1297220000000001</v>
      </c>
      <c r="G4294" s="11">
        <v>57.5625</v>
      </c>
      <c r="H4294" s="11">
        <v>1</v>
      </c>
    </row>
    <row r="4295" spans="6:8" x14ac:dyDescent="0.3">
      <c r="F4295" s="11">
        <v>-7.2194440000000002</v>
      </c>
      <c r="G4295" s="11">
        <v>57.552222</v>
      </c>
      <c r="H4295" s="11">
        <v>1</v>
      </c>
    </row>
    <row r="4296" spans="6:8" x14ac:dyDescent="0.3">
      <c r="F4296" s="11">
        <v>-7.2933329999999996</v>
      </c>
      <c r="G4296" s="11">
        <v>57.556666999999997</v>
      </c>
      <c r="H4296" s="11">
        <v>1</v>
      </c>
    </row>
    <row r="4297" spans="6:8" x14ac:dyDescent="0.3">
      <c r="F4297" s="11">
        <v>-7.3002779999999996</v>
      </c>
      <c r="G4297" s="11">
        <v>57.528055999999999</v>
      </c>
      <c r="H4297" s="11">
        <v>1</v>
      </c>
    </row>
    <row r="4298" spans="6:8" x14ac:dyDescent="0.3">
      <c r="F4298" s="11">
        <v>-7.3380559999999999</v>
      </c>
      <c r="G4298" s="11">
        <v>57.516666999999998</v>
      </c>
      <c r="H4298" s="11">
        <v>1</v>
      </c>
    </row>
    <row r="4299" spans="6:8" x14ac:dyDescent="0.3">
      <c r="F4299" s="11">
        <v>-7.3888889999999998</v>
      </c>
      <c r="G4299" s="11">
        <v>57.554721999999998</v>
      </c>
      <c r="H4299" s="11">
        <v>1</v>
      </c>
    </row>
    <row r="4300" spans="6:8" x14ac:dyDescent="0.3">
      <c r="F4300" s="11">
        <v>-7.456944</v>
      </c>
      <c r="G4300" s="11">
        <v>57.566943999999999</v>
      </c>
      <c r="H4300" s="11">
        <v>1</v>
      </c>
    </row>
    <row r="4301" spans="6:8" x14ac:dyDescent="0.3">
      <c r="F4301" s="11">
        <v>-7.5333329999999998</v>
      </c>
      <c r="G4301" s="11">
        <v>57.580556000000001</v>
      </c>
      <c r="H4301" s="11">
        <v>1</v>
      </c>
    </row>
    <row r="4302" spans="6:8" x14ac:dyDescent="0.3">
      <c r="F4302" s="11">
        <v>-7.5333329999999998</v>
      </c>
      <c r="G4302" s="11">
        <v>57.616110999999997</v>
      </c>
      <c r="H4302" s="11">
        <v>1</v>
      </c>
    </row>
    <row r="4303" spans="6:8" x14ac:dyDescent="0.3">
      <c r="F4303" s="11">
        <v>-7.4958330000000002</v>
      </c>
      <c r="G4303" s="11">
        <v>57.653610999999998</v>
      </c>
      <c r="H4303" s="11">
        <v>1</v>
      </c>
    </row>
    <row r="4304" spans="6:8" x14ac:dyDescent="0.3">
      <c r="F4304" s="11">
        <v>-7.4122219999999999</v>
      </c>
      <c r="G4304" s="11">
        <v>57.658332999999999</v>
      </c>
      <c r="H4304" s="11">
        <v>1</v>
      </c>
    </row>
    <row r="4305" spans="6:8" x14ac:dyDescent="0.3">
      <c r="F4305" s="11">
        <v>-7.4144439999999996</v>
      </c>
      <c r="G4305" s="11">
        <v>57.630555999999999</v>
      </c>
      <c r="H4305" s="11">
        <v>1</v>
      </c>
    </row>
    <row r="4306" spans="6:8" x14ac:dyDescent="0.3">
      <c r="F4306" s="11">
        <v>-7.361389</v>
      </c>
      <c r="G4306" s="11">
        <v>57.664166999999999</v>
      </c>
      <c r="H4306" s="11">
        <v>1</v>
      </c>
    </row>
    <row r="4307" spans="6:8" x14ac:dyDescent="0.3">
      <c r="F4307" s="11">
        <v>-7.3352779999999997</v>
      </c>
      <c r="G4307" s="11">
        <v>57.660277999999998</v>
      </c>
      <c r="H4307" s="11">
        <v>1</v>
      </c>
    </row>
    <row r="4308" spans="6:8" x14ac:dyDescent="0.3">
      <c r="F4308" s="11">
        <v>-7.2936110000000003</v>
      </c>
      <c r="G4308" s="11">
        <v>57.630833000000003</v>
      </c>
      <c r="H4308" s="11">
        <v>1</v>
      </c>
    </row>
    <row r="4309" spans="6:8" x14ac:dyDescent="0.3">
      <c r="F4309" s="11">
        <v>-7.2549999999999999</v>
      </c>
      <c r="G4309" s="11">
        <v>57.667777999999998</v>
      </c>
      <c r="H4309" s="11">
        <v>1</v>
      </c>
    </row>
    <row r="4310" spans="6:8" x14ac:dyDescent="0.3">
      <c r="F4310" s="11">
        <v>-7.1869440000000004</v>
      </c>
      <c r="G4310" s="11">
        <v>57.671666999999999</v>
      </c>
      <c r="H4310" s="11">
        <v>1</v>
      </c>
    </row>
    <row r="4311" spans="6:8" x14ac:dyDescent="0.3">
      <c r="F4311" s="11">
        <v>-7.1702779999999997</v>
      </c>
      <c r="G4311" s="11">
        <v>57.643332999999998</v>
      </c>
      <c r="H4311" s="11">
        <v>1</v>
      </c>
    </row>
    <row r="4312" spans="6:8" x14ac:dyDescent="0.3">
      <c r="F4312" s="11">
        <v>-7.0841669999999999</v>
      </c>
      <c r="G4312" s="11">
        <v>57.639167</v>
      </c>
      <c r="H4312" s="11">
        <v>1</v>
      </c>
    </row>
    <row r="4313" spans="6:8" x14ac:dyDescent="0.3">
      <c r="H4313" s="11">
        <v>1</v>
      </c>
    </row>
    <row r="4314" spans="6:8" x14ac:dyDescent="0.3">
      <c r="F4314" s="11">
        <v>-7.4388889999999996</v>
      </c>
      <c r="G4314" s="11">
        <v>57.559167000000002</v>
      </c>
      <c r="H4314" s="11">
        <v>1</v>
      </c>
    </row>
    <row r="4315" spans="6:8" x14ac:dyDescent="0.3">
      <c r="H4315" s="11">
        <v>1</v>
      </c>
    </row>
    <row r="4316" spans="6:8" x14ac:dyDescent="0.3">
      <c r="F4316" s="11">
        <v>-7.6488889999999996</v>
      </c>
      <c r="G4316" s="11">
        <v>57.518611</v>
      </c>
      <c r="H4316" s="11">
        <v>1</v>
      </c>
    </row>
    <row r="4317" spans="6:8" x14ac:dyDescent="0.3">
      <c r="H4317" s="11">
        <v>1</v>
      </c>
    </row>
    <row r="4318" spans="6:8" x14ac:dyDescent="0.3">
      <c r="F4318" s="11">
        <v>-7.6058329999999996</v>
      </c>
      <c r="G4318" s="11">
        <v>57.521943999999998</v>
      </c>
      <c r="H4318" s="11">
        <v>1</v>
      </c>
    </row>
    <row r="4319" spans="6:8" x14ac:dyDescent="0.3">
      <c r="H4319" s="11">
        <v>1</v>
      </c>
    </row>
    <row r="4320" spans="6:8" x14ac:dyDescent="0.3">
      <c r="F4320" s="11">
        <v>-7.3919439999999996</v>
      </c>
      <c r="G4320" s="11">
        <v>57.499443999999997</v>
      </c>
      <c r="H4320" s="11">
        <v>1</v>
      </c>
    </row>
    <row r="4321" spans="6:8" x14ac:dyDescent="0.3">
      <c r="F4321" s="11">
        <v>-7.3922220000000003</v>
      </c>
      <c r="G4321" s="11">
        <v>57.539721999999998</v>
      </c>
      <c r="H4321" s="11">
        <v>1</v>
      </c>
    </row>
    <row r="4322" spans="6:8" x14ac:dyDescent="0.3">
      <c r="H4322" s="11">
        <v>1</v>
      </c>
    </row>
    <row r="4323" spans="6:8" x14ac:dyDescent="0.3">
      <c r="F4323" s="11">
        <v>-7.2780560000000003</v>
      </c>
      <c r="G4323" s="11">
        <v>57.400556000000002</v>
      </c>
      <c r="H4323" s="11">
        <v>1</v>
      </c>
    </row>
    <row r="4324" spans="6:8" x14ac:dyDescent="0.3">
      <c r="F4324" s="11">
        <v>-7.3569440000000004</v>
      </c>
      <c r="G4324" s="11">
        <v>57.411110999999998</v>
      </c>
      <c r="H4324" s="11">
        <v>1</v>
      </c>
    </row>
    <row r="4325" spans="6:8" x14ac:dyDescent="0.3">
      <c r="F4325" s="11">
        <v>-7.4233330000000004</v>
      </c>
      <c r="G4325" s="11">
        <v>57.443888999999999</v>
      </c>
      <c r="H4325" s="11">
        <v>1</v>
      </c>
    </row>
    <row r="4326" spans="6:8" x14ac:dyDescent="0.3">
      <c r="F4326" s="11">
        <v>-7.3941670000000004</v>
      </c>
      <c r="G4326" s="11">
        <v>57.483333000000002</v>
      </c>
      <c r="H4326" s="11">
        <v>1</v>
      </c>
    </row>
    <row r="4327" spans="6:8" x14ac:dyDescent="0.3">
      <c r="F4327" s="11">
        <v>-7.3047219999999999</v>
      </c>
      <c r="G4327" s="11">
        <v>57.473610999999998</v>
      </c>
      <c r="H4327" s="11">
        <v>1</v>
      </c>
    </row>
    <row r="4328" spans="6:8" x14ac:dyDescent="0.3">
      <c r="F4328" s="11">
        <v>-7.2430560000000002</v>
      </c>
      <c r="G4328" s="11">
        <v>57.442500000000003</v>
      </c>
      <c r="H4328" s="11">
        <v>1</v>
      </c>
    </row>
    <row r="4329" spans="6:8" x14ac:dyDescent="0.3">
      <c r="H4329" s="11">
        <v>1</v>
      </c>
    </row>
    <row r="4330" spans="6:8" x14ac:dyDescent="0.3">
      <c r="F4330" s="11">
        <v>-7.3397220000000001</v>
      </c>
      <c r="G4330" s="11">
        <v>57.351388999999998</v>
      </c>
      <c r="H4330" s="11">
        <v>1</v>
      </c>
    </row>
    <row r="4331" spans="6:8" x14ac:dyDescent="0.3">
      <c r="F4331" s="11">
        <v>-7.4038890000000004</v>
      </c>
      <c r="G4331" s="11">
        <v>57.380277999999997</v>
      </c>
      <c r="H4331" s="11">
        <v>1</v>
      </c>
    </row>
    <row r="4332" spans="6:8" x14ac:dyDescent="0.3">
      <c r="F4332" s="11">
        <v>-7.3577779999999997</v>
      </c>
      <c r="G4332" s="11">
        <v>57.391388999999997</v>
      </c>
      <c r="H4332" s="11">
        <v>1</v>
      </c>
    </row>
    <row r="4333" spans="6:8" x14ac:dyDescent="0.3">
      <c r="F4333" s="11">
        <v>-7.29</v>
      </c>
      <c r="G4333" s="11">
        <v>57.364167000000002</v>
      </c>
      <c r="H4333" s="11">
        <v>1</v>
      </c>
    </row>
    <row r="4334" spans="6:8" x14ac:dyDescent="0.3">
      <c r="H4334" s="11">
        <v>1</v>
      </c>
    </row>
    <row r="4335" spans="6:8" x14ac:dyDescent="0.3">
      <c r="F4335" s="11">
        <v>-7.2652780000000003</v>
      </c>
      <c r="G4335" s="11">
        <v>57.252777999999999</v>
      </c>
      <c r="H4335" s="11">
        <v>1</v>
      </c>
    </row>
    <row r="4336" spans="6:8" x14ac:dyDescent="0.3">
      <c r="F4336" s="11">
        <v>-7.3216669999999997</v>
      </c>
      <c r="G4336" s="11">
        <v>57.228889000000002</v>
      </c>
      <c r="H4336" s="11">
        <v>1</v>
      </c>
    </row>
    <row r="4337" spans="6:8" x14ac:dyDescent="0.3">
      <c r="F4337" s="11">
        <v>-7.3433330000000003</v>
      </c>
      <c r="G4337" s="11">
        <v>57.217500000000001</v>
      </c>
      <c r="H4337" s="11">
        <v>1</v>
      </c>
    </row>
    <row r="4338" spans="6:8" x14ac:dyDescent="0.3">
      <c r="F4338" s="11">
        <v>-7.2819440000000002</v>
      </c>
      <c r="G4338" s="11">
        <v>57.187221999999998</v>
      </c>
      <c r="H4338" s="11">
        <v>1</v>
      </c>
    </row>
    <row r="4339" spans="6:8" x14ac:dyDescent="0.3">
      <c r="F4339" s="11">
        <v>-7.2961109999999998</v>
      </c>
      <c r="G4339" s="11">
        <v>57.144722000000002</v>
      </c>
      <c r="H4339" s="11">
        <v>1</v>
      </c>
    </row>
    <row r="4340" spans="6:8" x14ac:dyDescent="0.3">
      <c r="F4340" s="11">
        <v>-7.3552780000000002</v>
      </c>
      <c r="G4340" s="11">
        <v>57.145555999999999</v>
      </c>
      <c r="H4340" s="11">
        <v>1</v>
      </c>
    </row>
    <row r="4341" spans="6:8" x14ac:dyDescent="0.3">
      <c r="F4341" s="11">
        <v>-7.276389</v>
      </c>
      <c r="G4341" s="11">
        <v>57.130833000000003</v>
      </c>
      <c r="H4341" s="11">
        <v>1</v>
      </c>
    </row>
    <row r="4342" spans="6:8" x14ac:dyDescent="0.3">
      <c r="F4342" s="11">
        <v>-7.2422219999999999</v>
      </c>
      <c r="G4342" s="11">
        <v>57.093611000000003</v>
      </c>
      <c r="H4342" s="11">
        <v>1</v>
      </c>
    </row>
    <row r="4343" spans="6:8" x14ac:dyDescent="0.3">
      <c r="F4343" s="11">
        <v>-7.3286110000000004</v>
      </c>
      <c r="G4343" s="11">
        <v>57.098332999999997</v>
      </c>
      <c r="H4343" s="11">
        <v>1</v>
      </c>
    </row>
    <row r="4344" spans="6:8" x14ac:dyDescent="0.3">
      <c r="F4344" s="11">
        <v>-7.411111</v>
      </c>
      <c r="G4344" s="11">
        <v>57.117221999999998</v>
      </c>
      <c r="H4344" s="11">
        <v>1</v>
      </c>
    </row>
    <row r="4345" spans="6:8" x14ac:dyDescent="0.3">
      <c r="F4345" s="11">
        <v>-7.43</v>
      </c>
      <c r="G4345" s="11">
        <v>57.166389000000002</v>
      </c>
      <c r="H4345" s="11">
        <v>1</v>
      </c>
    </row>
    <row r="4346" spans="6:8" x14ac:dyDescent="0.3">
      <c r="F4346" s="11">
        <v>-7.4486109999999996</v>
      </c>
      <c r="G4346" s="11">
        <v>57.220832999999999</v>
      </c>
      <c r="H4346" s="11">
        <v>1</v>
      </c>
    </row>
    <row r="4347" spans="6:8" x14ac:dyDescent="0.3">
      <c r="F4347" s="11">
        <v>-7.4474999999999998</v>
      </c>
      <c r="G4347" s="11">
        <v>57.268332999999998</v>
      </c>
      <c r="H4347" s="11">
        <v>1</v>
      </c>
    </row>
    <row r="4348" spans="6:8" x14ac:dyDescent="0.3">
      <c r="F4348" s="11">
        <v>-7.4144439999999996</v>
      </c>
      <c r="G4348" s="11">
        <v>57.316943999999999</v>
      </c>
      <c r="H4348" s="11">
        <v>1</v>
      </c>
    </row>
    <row r="4349" spans="6:8" x14ac:dyDescent="0.3">
      <c r="F4349" s="11">
        <v>-7.4363890000000001</v>
      </c>
      <c r="G4349" s="11">
        <v>57.371667000000002</v>
      </c>
      <c r="H4349" s="11">
        <v>1</v>
      </c>
    </row>
    <row r="4350" spans="6:8" x14ac:dyDescent="0.3">
      <c r="F4350" s="11">
        <v>-7.391667</v>
      </c>
      <c r="G4350" s="11">
        <v>57.348889</v>
      </c>
      <c r="H4350" s="11">
        <v>1</v>
      </c>
    </row>
    <row r="4351" spans="6:8" x14ac:dyDescent="0.3">
      <c r="F4351" s="11">
        <v>-7.3044440000000002</v>
      </c>
      <c r="G4351" s="11">
        <v>57.328611000000002</v>
      </c>
      <c r="H4351" s="11">
        <v>1</v>
      </c>
    </row>
    <row r="4352" spans="6:8" x14ac:dyDescent="0.3">
      <c r="F4352" s="11">
        <v>-7.2430560000000002</v>
      </c>
      <c r="G4352" s="11">
        <v>57.300277999999999</v>
      </c>
      <c r="H4352" s="11">
        <v>1</v>
      </c>
    </row>
    <row r="4353" spans="6:8" x14ac:dyDescent="0.3">
      <c r="H4353" s="11">
        <v>1</v>
      </c>
    </row>
    <row r="4354" spans="6:8" x14ac:dyDescent="0.3">
      <c r="F4354" s="11">
        <v>-7.3302779999999998</v>
      </c>
      <c r="G4354" s="11">
        <v>57.063333</v>
      </c>
      <c r="H4354" s="11">
        <v>1</v>
      </c>
    </row>
    <row r="4355" spans="6:8" x14ac:dyDescent="0.3">
      <c r="F4355" s="11">
        <v>-7.2874999999999996</v>
      </c>
      <c r="G4355" s="11">
        <v>57.085833000000001</v>
      </c>
      <c r="H4355" s="11">
        <v>1</v>
      </c>
    </row>
    <row r="4356" spans="6:8" x14ac:dyDescent="0.3">
      <c r="H4356" s="11">
        <v>1</v>
      </c>
    </row>
    <row r="4357" spans="6:8" x14ac:dyDescent="0.3">
      <c r="F4357" s="11">
        <v>-7.3891669999999996</v>
      </c>
      <c r="G4357" s="11">
        <v>57.046666999999999</v>
      </c>
      <c r="H4357" s="11">
        <v>1</v>
      </c>
    </row>
    <row r="4358" spans="6:8" x14ac:dyDescent="0.3">
      <c r="H4358" s="11">
        <v>1</v>
      </c>
    </row>
    <row r="4359" spans="6:8" x14ac:dyDescent="0.3">
      <c r="F4359" s="11">
        <v>-7.4216670000000002</v>
      </c>
      <c r="G4359" s="11">
        <v>57.003056000000001</v>
      </c>
      <c r="H4359" s="11">
        <v>1</v>
      </c>
    </row>
    <row r="4360" spans="6:8" x14ac:dyDescent="0.3">
      <c r="F4360" s="11">
        <v>-7.4188890000000001</v>
      </c>
      <c r="G4360" s="11">
        <v>56.970556000000002</v>
      </c>
      <c r="H4360" s="11">
        <v>1</v>
      </c>
    </row>
    <row r="4361" spans="6:8" x14ac:dyDescent="0.3">
      <c r="F4361" s="11">
        <v>-7.4788889999999997</v>
      </c>
      <c r="G4361" s="11">
        <v>56.941943999999999</v>
      </c>
      <c r="H4361" s="11">
        <v>1</v>
      </c>
    </row>
    <row r="4362" spans="6:8" x14ac:dyDescent="0.3">
      <c r="F4362" s="11">
        <v>-7.5727779999999996</v>
      </c>
      <c r="G4362" s="11">
        <v>56.951388999999999</v>
      </c>
      <c r="H4362" s="11">
        <v>1</v>
      </c>
    </row>
    <row r="4363" spans="6:8" x14ac:dyDescent="0.3">
      <c r="F4363" s="11">
        <v>-7.526389</v>
      </c>
      <c r="G4363" s="11">
        <v>56.99</v>
      </c>
      <c r="H4363" s="11">
        <v>1</v>
      </c>
    </row>
    <row r="4364" spans="6:8" x14ac:dyDescent="0.3">
      <c r="F4364" s="11">
        <v>-7.5055560000000003</v>
      </c>
      <c r="G4364" s="11">
        <v>57.014167</v>
      </c>
      <c r="H4364" s="11">
        <v>1</v>
      </c>
    </row>
    <row r="4365" spans="6:8" x14ac:dyDescent="0.3">
      <c r="F4365" s="11">
        <v>-7.47</v>
      </c>
      <c r="G4365" s="11">
        <v>57.055278000000001</v>
      </c>
      <c r="H4365" s="11">
        <v>1</v>
      </c>
    </row>
    <row r="4366" spans="6:8" x14ac:dyDescent="0.3">
      <c r="H4366" s="11">
        <v>1</v>
      </c>
    </row>
    <row r="4367" spans="6:8" x14ac:dyDescent="0.3">
      <c r="F4367" s="11">
        <v>-7.5452779999999997</v>
      </c>
      <c r="G4367" s="11">
        <v>56.91</v>
      </c>
      <c r="H4367" s="11">
        <v>1</v>
      </c>
    </row>
    <row r="4368" spans="6:8" x14ac:dyDescent="0.3">
      <c r="F4368" s="11">
        <v>-7.5780560000000001</v>
      </c>
      <c r="G4368" s="11">
        <v>56.938333</v>
      </c>
      <c r="H4368" s="11">
        <v>1</v>
      </c>
    </row>
    <row r="4369" spans="6:8" x14ac:dyDescent="0.3">
      <c r="F4369" s="11">
        <v>-7.503889</v>
      </c>
      <c r="G4369" s="11">
        <v>56.930278000000001</v>
      </c>
      <c r="H4369" s="11">
        <v>1</v>
      </c>
    </row>
    <row r="4370" spans="6:8" x14ac:dyDescent="0.3">
      <c r="H4370" s="11">
        <v>1</v>
      </c>
    </row>
    <row r="4371" spans="6:8" x14ac:dyDescent="0.3">
      <c r="F4371" s="11">
        <v>-7.5238889999999996</v>
      </c>
      <c r="G4371" s="11">
        <v>56.895000000000003</v>
      </c>
      <c r="H4371" s="11">
        <v>1</v>
      </c>
    </row>
    <row r="4372" spans="6:8" x14ac:dyDescent="0.3">
      <c r="H4372" s="11">
        <v>1</v>
      </c>
    </row>
    <row r="4373" spans="6:8" x14ac:dyDescent="0.3">
      <c r="F4373" s="11">
        <v>-7.5833329999999997</v>
      </c>
      <c r="G4373" s="11">
        <v>56.851944000000003</v>
      </c>
      <c r="H4373" s="11">
        <v>1</v>
      </c>
    </row>
    <row r="4374" spans="6:8" x14ac:dyDescent="0.3">
      <c r="H4374" s="11">
        <v>1</v>
      </c>
    </row>
    <row r="4375" spans="6:8" x14ac:dyDescent="0.3">
      <c r="F4375" s="11">
        <v>-7.6727780000000001</v>
      </c>
      <c r="G4375" s="11">
        <v>56.783611000000001</v>
      </c>
      <c r="H4375" s="11">
        <v>1</v>
      </c>
    </row>
    <row r="4376" spans="6:8" x14ac:dyDescent="0.3">
      <c r="F4376" s="11">
        <v>-7.6541670000000002</v>
      </c>
      <c r="G4376" s="11">
        <v>56.823332999999998</v>
      </c>
      <c r="H4376" s="11">
        <v>1</v>
      </c>
    </row>
    <row r="4377" spans="6:8" x14ac:dyDescent="0.3">
      <c r="H4377" s="11">
        <v>1</v>
      </c>
    </row>
    <row r="4378" spans="6:8" x14ac:dyDescent="0.3">
      <c r="F4378" s="11">
        <v>-7.2169439999999998</v>
      </c>
      <c r="G4378" s="11">
        <v>57.406666999999999</v>
      </c>
      <c r="H4378" s="11">
        <v>1</v>
      </c>
    </row>
    <row r="4379" spans="6:8" x14ac:dyDescent="0.3">
      <c r="H4379" s="11">
        <v>1</v>
      </c>
    </row>
    <row r="4380" spans="6:8" x14ac:dyDescent="0.3">
      <c r="F4380" s="11">
        <v>-7.2758330000000004</v>
      </c>
      <c r="G4380" s="11">
        <v>57.482500000000002</v>
      </c>
      <c r="H4380" s="11">
        <v>1</v>
      </c>
    </row>
    <row r="4381" spans="6:8" x14ac:dyDescent="0.3">
      <c r="H4381" s="11">
        <v>1</v>
      </c>
    </row>
    <row r="4382" spans="6:8" x14ac:dyDescent="0.3">
      <c r="F4382" s="11">
        <v>-7.2119439999999999</v>
      </c>
      <c r="G4382" s="11">
        <v>57.482778000000003</v>
      </c>
      <c r="H4382" s="11">
        <v>1</v>
      </c>
    </row>
    <row r="4383" spans="6:8" x14ac:dyDescent="0.3">
      <c r="H4383" s="11">
        <v>1</v>
      </c>
    </row>
    <row r="4384" spans="6:8" x14ac:dyDescent="0.3">
      <c r="F4384" s="11">
        <v>-7.2511109999999999</v>
      </c>
      <c r="G4384" s="11">
        <v>57.508333</v>
      </c>
      <c r="H4384" s="11">
        <v>1</v>
      </c>
    </row>
    <row r="4385" spans="6:8" x14ac:dyDescent="0.3">
      <c r="F4385" s="11">
        <v>-7.2491669999999999</v>
      </c>
      <c r="G4385" s="11">
        <v>57.543889</v>
      </c>
      <c r="H4385" s="11">
        <v>1</v>
      </c>
    </row>
    <row r="4386" spans="6:8" x14ac:dyDescent="0.3">
      <c r="H4386" s="11">
        <v>1</v>
      </c>
    </row>
    <row r="4387" spans="6:8" x14ac:dyDescent="0.3">
      <c r="F4387" s="11">
        <v>-7.1861110000000004</v>
      </c>
      <c r="G4387" s="11">
        <v>57.504167000000002</v>
      </c>
      <c r="H4387" s="11">
        <v>1</v>
      </c>
    </row>
    <row r="4388" spans="6:8" x14ac:dyDescent="0.3">
      <c r="F4388" s="11">
        <v>-7.1825000000000001</v>
      </c>
      <c r="G4388" s="11">
        <v>57.531111000000003</v>
      </c>
      <c r="H4388" s="11">
        <v>1</v>
      </c>
    </row>
    <row r="4389" spans="6:8" x14ac:dyDescent="0.3">
      <c r="H4389" s="11">
        <v>1</v>
      </c>
    </row>
    <row r="4390" spans="6:8" x14ac:dyDescent="0.3">
      <c r="F4390" s="11">
        <v>-4.9147220000000003</v>
      </c>
      <c r="G4390" s="11">
        <v>55.745556000000001</v>
      </c>
      <c r="H4390" s="11">
        <v>1</v>
      </c>
    </row>
    <row r="4391" spans="6:8" x14ac:dyDescent="0.3">
      <c r="F4391" s="11">
        <v>-4.9375</v>
      </c>
      <c r="G4391" s="11">
        <v>55.772778000000002</v>
      </c>
      <c r="H4391" s="11">
        <v>1</v>
      </c>
    </row>
    <row r="4392" spans="6:8" x14ac:dyDescent="0.3">
      <c r="H4392" s="11">
        <v>1</v>
      </c>
    </row>
    <row r="4393" spans="6:8" x14ac:dyDescent="0.3">
      <c r="F4393" s="11">
        <v>-0.838611</v>
      </c>
      <c r="G4393" s="11">
        <v>60.808332999999998</v>
      </c>
      <c r="H4393" s="11">
        <v>1</v>
      </c>
    </row>
    <row r="4394" spans="6:8" x14ac:dyDescent="0.3">
      <c r="F4394" s="11">
        <v>-0.89222199999999996</v>
      </c>
      <c r="G4394" s="11">
        <v>60.790556000000002</v>
      </c>
      <c r="H4394" s="11">
        <v>1</v>
      </c>
    </row>
    <row r="4395" spans="6:8" x14ac:dyDescent="0.3">
      <c r="F4395" s="11">
        <v>-0.86416700000000002</v>
      </c>
      <c r="G4395" s="11">
        <v>60.837221999999997</v>
      </c>
      <c r="H4395" s="11">
        <v>1</v>
      </c>
    </row>
    <row r="4396" spans="6:8" x14ac:dyDescent="0.3">
      <c r="F4396" s="11">
        <v>-0.91888899999999996</v>
      </c>
      <c r="G4396" s="11">
        <v>60.810277999999997</v>
      </c>
      <c r="H4396" s="11">
        <v>1</v>
      </c>
    </row>
    <row r="4397" spans="6:8" x14ac:dyDescent="0.3">
      <c r="F4397" s="11">
        <v>-0.92833299999999996</v>
      </c>
      <c r="G4397" s="11">
        <v>60.766666999999998</v>
      </c>
      <c r="H4397" s="11">
        <v>1</v>
      </c>
    </row>
    <row r="4398" spans="6:8" x14ac:dyDescent="0.3">
      <c r="F4398" s="11">
        <v>-0.937778</v>
      </c>
      <c r="G4398" s="11">
        <v>60.718888999999997</v>
      </c>
      <c r="H4398" s="11">
        <v>1</v>
      </c>
    </row>
    <row r="4399" spans="6:8" x14ac:dyDescent="0.3">
      <c r="F4399" s="11">
        <v>-0.96277800000000002</v>
      </c>
      <c r="G4399" s="11">
        <v>60.685277999999997</v>
      </c>
      <c r="H4399" s="11">
        <v>1</v>
      </c>
    </row>
    <row r="4400" spans="6:8" x14ac:dyDescent="0.3">
      <c r="F4400" s="11">
        <v>-0.87194400000000005</v>
      </c>
      <c r="G4400" s="11">
        <v>60.683056000000001</v>
      </c>
      <c r="H4400" s="11">
        <v>1</v>
      </c>
    </row>
    <row r="4401" spans="6:8" x14ac:dyDescent="0.3">
      <c r="F4401" s="11">
        <v>-0.83972199999999997</v>
      </c>
      <c r="G4401" s="11">
        <v>60.698056000000001</v>
      </c>
      <c r="H4401" s="11">
        <v>1</v>
      </c>
    </row>
    <row r="4402" spans="6:8" x14ac:dyDescent="0.3">
      <c r="F4402" s="11">
        <v>-0.80222199999999999</v>
      </c>
      <c r="G4402" s="11">
        <v>60.742778000000001</v>
      </c>
      <c r="H4402" s="11">
        <v>1</v>
      </c>
    </row>
    <row r="4403" spans="6:8" x14ac:dyDescent="0.3">
      <c r="F4403" s="11">
        <v>-0.81111100000000003</v>
      </c>
      <c r="G4403" s="11">
        <v>60.779167000000001</v>
      </c>
      <c r="H4403" s="11">
        <v>1</v>
      </c>
    </row>
    <row r="4404" spans="6:8" x14ac:dyDescent="0.3">
      <c r="F4404" s="11">
        <v>-0.78805599999999998</v>
      </c>
      <c r="G4404" s="11">
        <v>60.806389000000003</v>
      </c>
      <c r="H4404" s="11">
        <v>1</v>
      </c>
    </row>
    <row r="4405" spans="6:8" x14ac:dyDescent="0.3">
      <c r="F4405" s="11">
        <v>-0.79472200000000004</v>
      </c>
      <c r="G4405" s="11">
        <v>60.837221999999997</v>
      </c>
      <c r="H4405" s="11">
        <v>1</v>
      </c>
    </row>
    <row r="4406" spans="6:8" x14ac:dyDescent="0.3">
      <c r="H4406" s="11">
        <v>1</v>
      </c>
    </row>
    <row r="4407" spans="6:8" x14ac:dyDescent="0.3">
      <c r="F4407" s="11">
        <v>-1.0111110000000001</v>
      </c>
      <c r="G4407" s="11">
        <v>60.599167000000001</v>
      </c>
      <c r="H4407" s="11">
        <v>1</v>
      </c>
    </row>
    <row r="4408" spans="6:8" x14ac:dyDescent="0.3">
      <c r="H4408" s="11">
        <v>1</v>
      </c>
    </row>
    <row r="4409" spans="6:8" x14ac:dyDescent="0.3">
      <c r="F4409" s="11">
        <v>-0.80583300000000002</v>
      </c>
      <c r="G4409" s="11">
        <v>60.606667000000002</v>
      </c>
      <c r="H4409" s="11">
        <v>1</v>
      </c>
    </row>
    <row r="4410" spans="6:8" x14ac:dyDescent="0.3">
      <c r="F4410" s="11">
        <v>-0.88805599999999996</v>
      </c>
      <c r="G4410" s="11">
        <v>60.619166999999997</v>
      </c>
      <c r="H4410" s="11">
        <v>1</v>
      </c>
    </row>
    <row r="4411" spans="6:8" x14ac:dyDescent="0.3">
      <c r="F4411" s="11">
        <v>-0.91694399999999998</v>
      </c>
      <c r="G4411" s="11">
        <v>60.601666999999999</v>
      </c>
      <c r="H4411" s="11">
        <v>1</v>
      </c>
    </row>
    <row r="4412" spans="6:8" x14ac:dyDescent="0.3">
      <c r="F4412" s="11">
        <v>-0.86750000000000005</v>
      </c>
      <c r="G4412" s="11">
        <v>60.561943999999997</v>
      </c>
      <c r="H4412" s="11">
        <v>1</v>
      </c>
    </row>
    <row r="4413" spans="6:8" x14ac:dyDescent="0.3">
      <c r="F4413" s="11">
        <v>-0.82472199999999996</v>
      </c>
      <c r="G4413" s="11">
        <v>60.582777999999998</v>
      </c>
      <c r="H4413" s="11">
        <v>1</v>
      </c>
    </row>
    <row r="4414" spans="6:8" x14ac:dyDescent="0.3">
      <c r="H4414" s="11">
        <v>1</v>
      </c>
    </row>
    <row r="4415" spans="6:8" x14ac:dyDescent="0.3">
      <c r="F4415" s="11">
        <v>-0.75388900000000003</v>
      </c>
      <c r="G4415" s="11">
        <v>60.412222</v>
      </c>
      <c r="H4415" s="11">
        <v>1</v>
      </c>
    </row>
    <row r="4416" spans="6:8" x14ac:dyDescent="0.3">
      <c r="H4416" s="11">
        <v>1</v>
      </c>
    </row>
    <row r="4417" spans="6:8" x14ac:dyDescent="0.3">
      <c r="F4417" s="11">
        <v>-0.95055599999999996</v>
      </c>
      <c r="G4417" s="11">
        <v>60.381388999999999</v>
      </c>
      <c r="H4417" s="11">
        <v>1</v>
      </c>
    </row>
    <row r="4418" spans="6:8" x14ac:dyDescent="0.3">
      <c r="F4418" s="11">
        <v>-1.010278</v>
      </c>
      <c r="G4418" s="11">
        <v>60.340277999999998</v>
      </c>
      <c r="H4418" s="11">
        <v>1</v>
      </c>
    </row>
    <row r="4419" spans="6:8" x14ac:dyDescent="0.3">
      <c r="F4419" s="11">
        <v>-0.95166700000000004</v>
      </c>
      <c r="G4419" s="11">
        <v>60.341388999999999</v>
      </c>
      <c r="H4419" s="11">
        <v>1</v>
      </c>
    </row>
    <row r="4420" spans="6:8" x14ac:dyDescent="0.3">
      <c r="H4420" s="11">
        <v>1</v>
      </c>
    </row>
    <row r="4421" spans="6:8" x14ac:dyDescent="0.3">
      <c r="F4421" s="11">
        <v>-1.0625</v>
      </c>
      <c r="G4421" s="11">
        <v>60.172221999999998</v>
      </c>
      <c r="H4421" s="11">
        <v>1</v>
      </c>
    </row>
    <row r="4422" spans="6:8" x14ac:dyDescent="0.3">
      <c r="F4422" s="11">
        <v>-1.1269439999999999</v>
      </c>
      <c r="G4422" s="11">
        <v>60.169443999999999</v>
      </c>
      <c r="H4422" s="11">
        <v>1</v>
      </c>
    </row>
    <row r="4423" spans="6:8" x14ac:dyDescent="0.3">
      <c r="F4423" s="11">
        <v>-1.1058330000000001</v>
      </c>
      <c r="G4423" s="11">
        <v>60.118611000000001</v>
      </c>
      <c r="H4423" s="11">
        <v>1</v>
      </c>
    </row>
    <row r="4424" spans="6:8" x14ac:dyDescent="0.3">
      <c r="F4424" s="11">
        <v>-1.048611</v>
      </c>
      <c r="G4424" s="11">
        <v>60.125278000000002</v>
      </c>
      <c r="H4424" s="11">
        <v>1</v>
      </c>
    </row>
    <row r="4425" spans="6:8" x14ac:dyDescent="0.3">
      <c r="H4425" s="11">
        <v>1</v>
      </c>
    </row>
    <row r="4426" spans="6:8" x14ac:dyDescent="0.3">
      <c r="F4426" s="11">
        <v>-1.2350000000000001</v>
      </c>
      <c r="G4426" s="11">
        <v>60.482778000000003</v>
      </c>
      <c r="H4426" s="11">
        <v>1</v>
      </c>
    </row>
    <row r="4427" spans="6:8" x14ac:dyDescent="0.3">
      <c r="F4427" s="11">
        <v>-1.2780560000000001</v>
      </c>
      <c r="G4427" s="11">
        <v>60.476388999999998</v>
      </c>
      <c r="H4427" s="11">
        <v>1</v>
      </c>
    </row>
    <row r="4428" spans="6:8" x14ac:dyDescent="0.3">
      <c r="F4428" s="11">
        <v>-1.236389</v>
      </c>
      <c r="G4428" s="11">
        <v>60.441110999999999</v>
      </c>
      <c r="H4428" s="11">
        <v>1</v>
      </c>
    </row>
    <row r="4429" spans="6:8" x14ac:dyDescent="0.3">
      <c r="F4429" s="11">
        <v>-1.3274999999999999</v>
      </c>
      <c r="G4429" s="11">
        <v>60.422499999999999</v>
      </c>
      <c r="H4429" s="11">
        <v>1</v>
      </c>
    </row>
    <row r="4430" spans="6:8" x14ac:dyDescent="0.3">
      <c r="F4430" s="11">
        <v>-1.3566670000000001</v>
      </c>
      <c r="G4430" s="11">
        <v>60.408611000000001</v>
      </c>
      <c r="H4430" s="11">
        <v>1</v>
      </c>
    </row>
    <row r="4431" spans="6:8" x14ac:dyDescent="0.3">
      <c r="F4431" s="11">
        <v>-1.316667</v>
      </c>
      <c r="G4431" s="11">
        <v>60.452221999999999</v>
      </c>
      <c r="H4431" s="11">
        <v>1</v>
      </c>
    </row>
    <row r="4432" spans="6:8" x14ac:dyDescent="0.3">
      <c r="F4432" s="11">
        <v>-1.3136110000000001</v>
      </c>
      <c r="G4432" s="11">
        <v>60.488056</v>
      </c>
      <c r="H4432" s="11">
        <v>1</v>
      </c>
    </row>
    <row r="4433" spans="6:8" x14ac:dyDescent="0.3">
      <c r="F4433" s="11">
        <v>-1.3174999999999999</v>
      </c>
      <c r="G4433" s="11">
        <v>60.513610999999997</v>
      </c>
      <c r="H4433" s="11">
        <v>1</v>
      </c>
    </row>
    <row r="4434" spans="6:8" x14ac:dyDescent="0.3">
      <c r="F4434" s="11">
        <v>-1.3155559999999999</v>
      </c>
      <c r="G4434" s="11">
        <v>60.540278000000001</v>
      </c>
      <c r="H4434" s="11">
        <v>1</v>
      </c>
    </row>
    <row r="4435" spans="6:8" x14ac:dyDescent="0.3">
      <c r="F4435" s="11">
        <v>-1.298333</v>
      </c>
      <c r="G4435" s="11">
        <v>60.586944000000003</v>
      </c>
      <c r="H4435" s="11">
        <v>1</v>
      </c>
    </row>
    <row r="4436" spans="6:8" x14ac:dyDescent="0.3">
      <c r="F4436" s="11">
        <v>-1.306667</v>
      </c>
      <c r="G4436" s="11">
        <v>60.634166999999998</v>
      </c>
      <c r="H4436" s="11">
        <v>1</v>
      </c>
    </row>
    <row r="4437" spans="6:8" x14ac:dyDescent="0.3">
      <c r="F4437" s="11">
        <v>-1.326389</v>
      </c>
      <c r="G4437" s="11">
        <v>60.594721999999997</v>
      </c>
      <c r="H4437" s="11">
        <v>1</v>
      </c>
    </row>
    <row r="4438" spans="6:8" x14ac:dyDescent="0.3">
      <c r="F4438" s="11">
        <v>-1.41</v>
      </c>
      <c r="G4438" s="11">
        <v>60.6</v>
      </c>
      <c r="H4438" s="11">
        <v>1</v>
      </c>
    </row>
    <row r="4439" spans="6:8" x14ac:dyDescent="0.3">
      <c r="F4439" s="11">
        <v>-1.4566669999999999</v>
      </c>
      <c r="G4439" s="11">
        <v>60.562221999999998</v>
      </c>
      <c r="H4439" s="11">
        <v>1</v>
      </c>
    </row>
    <row r="4440" spans="6:8" x14ac:dyDescent="0.3">
      <c r="F4440" s="11">
        <v>-1.4444440000000001</v>
      </c>
      <c r="G4440" s="11">
        <v>60.523611000000002</v>
      </c>
      <c r="H4440" s="11">
        <v>1</v>
      </c>
    </row>
    <row r="4441" spans="6:8" x14ac:dyDescent="0.3">
      <c r="F4441" s="11">
        <v>-1.4058330000000001</v>
      </c>
      <c r="G4441" s="11">
        <v>60.501666999999998</v>
      </c>
      <c r="H4441" s="11">
        <v>1</v>
      </c>
    </row>
    <row r="4442" spans="6:8" x14ac:dyDescent="0.3">
      <c r="F4442" s="11">
        <v>-1.4969440000000001</v>
      </c>
      <c r="G4442" s="11">
        <v>60.526667000000003</v>
      </c>
      <c r="H4442" s="11">
        <v>1</v>
      </c>
    </row>
    <row r="4443" spans="6:8" x14ac:dyDescent="0.3">
      <c r="F4443" s="11">
        <v>-1.5475000000000001</v>
      </c>
      <c r="G4443" s="11">
        <v>60.539444000000003</v>
      </c>
      <c r="H4443" s="11">
        <v>1</v>
      </c>
    </row>
    <row r="4444" spans="6:8" x14ac:dyDescent="0.3">
      <c r="F4444" s="11">
        <v>-1.595</v>
      </c>
      <c r="G4444" s="11">
        <v>60.498888999999998</v>
      </c>
      <c r="H4444" s="11">
        <v>1</v>
      </c>
    </row>
    <row r="4445" spans="6:8" x14ac:dyDescent="0.3">
      <c r="F4445" s="11">
        <v>-1.5536110000000001</v>
      </c>
      <c r="G4445" s="11">
        <v>60.475555999999997</v>
      </c>
      <c r="H4445" s="11">
        <v>1</v>
      </c>
    </row>
    <row r="4446" spans="6:8" x14ac:dyDescent="0.3">
      <c r="F4446" s="11">
        <v>-1.4819439999999999</v>
      </c>
      <c r="G4446" s="11">
        <v>60.478332999999999</v>
      </c>
      <c r="H4446" s="11">
        <v>1</v>
      </c>
    </row>
    <row r="4447" spans="6:8" x14ac:dyDescent="0.3">
      <c r="F4447" s="11">
        <v>-1.4644440000000001</v>
      </c>
      <c r="G4447" s="11">
        <v>60.470832999999999</v>
      </c>
      <c r="H4447" s="11">
        <v>1</v>
      </c>
    </row>
    <row r="4448" spans="6:8" x14ac:dyDescent="0.3">
      <c r="F4448" s="11">
        <v>-1.441389</v>
      </c>
      <c r="G4448" s="11">
        <v>60.450833000000003</v>
      </c>
      <c r="H4448" s="11">
        <v>1</v>
      </c>
    </row>
    <row r="4449" spans="6:8" x14ac:dyDescent="0.3">
      <c r="F4449" s="11">
        <v>-1.3836109999999999</v>
      </c>
      <c r="G4449" s="11">
        <v>60.416944000000001</v>
      </c>
      <c r="H4449" s="11">
        <v>1</v>
      </c>
    </row>
    <row r="4450" spans="6:8" x14ac:dyDescent="0.3">
      <c r="F4450" s="11">
        <v>-1.3666670000000001</v>
      </c>
      <c r="G4450" s="11">
        <v>60.377499999999998</v>
      </c>
      <c r="H4450" s="11">
        <v>1</v>
      </c>
    </row>
    <row r="4451" spans="6:8" x14ac:dyDescent="0.3">
      <c r="F4451" s="11">
        <v>-1.325556</v>
      </c>
      <c r="G4451" s="11">
        <v>60.366110999999997</v>
      </c>
      <c r="H4451" s="11">
        <v>1</v>
      </c>
    </row>
    <row r="4452" spans="6:8" x14ac:dyDescent="0.3">
      <c r="F4452" s="11">
        <v>-1.2875000000000001</v>
      </c>
      <c r="G4452" s="11">
        <v>60.354166999999997</v>
      </c>
      <c r="H4452" s="11">
        <v>1</v>
      </c>
    </row>
    <row r="4453" spans="6:8" x14ac:dyDescent="0.3">
      <c r="F4453" s="11">
        <v>-1.3402780000000001</v>
      </c>
      <c r="G4453" s="11">
        <v>60.341943999999998</v>
      </c>
      <c r="H4453" s="11">
        <v>1</v>
      </c>
    </row>
    <row r="4454" spans="6:8" x14ac:dyDescent="0.3">
      <c r="F4454" s="11">
        <v>-1.348333</v>
      </c>
      <c r="G4454" s="11">
        <v>60.296666999999999</v>
      </c>
      <c r="H4454" s="11">
        <v>1</v>
      </c>
    </row>
    <row r="4455" spans="6:8" x14ac:dyDescent="0.3">
      <c r="F4455" s="11">
        <v>-1.3963890000000001</v>
      </c>
      <c r="G4455" s="11">
        <v>60.315277999999999</v>
      </c>
      <c r="H4455" s="11">
        <v>1</v>
      </c>
    </row>
    <row r="4456" spans="6:8" x14ac:dyDescent="0.3">
      <c r="F4456" s="11">
        <v>-1.4550000000000001</v>
      </c>
      <c r="G4456" s="11">
        <v>60.304721999999998</v>
      </c>
      <c r="H4456" s="11">
        <v>1</v>
      </c>
    </row>
    <row r="4457" spans="6:8" x14ac:dyDescent="0.3">
      <c r="F4457" s="11">
        <v>-1.4675</v>
      </c>
      <c r="G4457" s="11">
        <v>60.293056</v>
      </c>
      <c r="H4457" s="11">
        <v>1</v>
      </c>
    </row>
    <row r="4458" spans="6:8" x14ac:dyDescent="0.3">
      <c r="F4458" s="11">
        <v>-1.5311110000000001</v>
      </c>
      <c r="G4458" s="11">
        <v>60.308332999999998</v>
      </c>
      <c r="H4458" s="11">
        <v>1</v>
      </c>
    </row>
    <row r="4459" spans="6:8" x14ac:dyDescent="0.3">
      <c r="F4459" s="11">
        <v>-1.5655559999999999</v>
      </c>
      <c r="G4459" s="11">
        <v>60.286667000000001</v>
      </c>
      <c r="H4459" s="11">
        <v>1</v>
      </c>
    </row>
    <row r="4460" spans="6:8" x14ac:dyDescent="0.3">
      <c r="F4460" s="11">
        <v>-1.648333</v>
      </c>
      <c r="G4460" s="11">
        <v>60.303888999999998</v>
      </c>
      <c r="H4460" s="11">
        <v>1</v>
      </c>
    </row>
    <row r="4461" spans="6:8" x14ac:dyDescent="0.3">
      <c r="F4461" s="11">
        <v>-1.6766669999999999</v>
      </c>
      <c r="G4461" s="11">
        <v>60.271388999999999</v>
      </c>
      <c r="H4461" s="11">
        <v>1</v>
      </c>
    </row>
    <row r="4462" spans="6:8" x14ac:dyDescent="0.3">
      <c r="F4462" s="11">
        <v>-1.6394439999999999</v>
      </c>
      <c r="G4462" s="11">
        <v>60.224443999999998</v>
      </c>
      <c r="H4462" s="11">
        <v>1</v>
      </c>
    </row>
    <row r="4463" spans="6:8" x14ac:dyDescent="0.3">
      <c r="F4463" s="11">
        <v>-1.5636110000000001</v>
      </c>
      <c r="G4463" s="11">
        <v>60.221111000000001</v>
      </c>
      <c r="H4463" s="11">
        <v>1</v>
      </c>
    </row>
    <row r="4464" spans="6:8" x14ac:dyDescent="0.3">
      <c r="F4464" s="11">
        <v>-1.516389</v>
      </c>
      <c r="G4464" s="11">
        <v>60.214444</v>
      </c>
      <c r="H4464" s="11">
        <v>1</v>
      </c>
    </row>
    <row r="4465" spans="6:8" x14ac:dyDescent="0.3">
      <c r="F4465" s="11">
        <v>-1.486389</v>
      </c>
      <c r="G4465" s="11">
        <v>60.219721999999997</v>
      </c>
      <c r="H4465" s="11">
        <v>1</v>
      </c>
    </row>
    <row r="4466" spans="6:8" x14ac:dyDescent="0.3">
      <c r="F4466" s="11">
        <v>-1.526667</v>
      </c>
      <c r="G4466" s="11">
        <v>60.194443999999997</v>
      </c>
      <c r="H4466" s="11">
        <v>1</v>
      </c>
    </row>
    <row r="4467" spans="6:8" x14ac:dyDescent="0.3">
      <c r="F4467" s="11">
        <v>-1.459444</v>
      </c>
      <c r="G4467" s="11">
        <v>60.158611000000001</v>
      </c>
      <c r="H4467" s="11">
        <v>1</v>
      </c>
    </row>
    <row r="4468" spans="6:8" x14ac:dyDescent="0.3">
      <c r="F4468" s="11">
        <v>-1.4183330000000001</v>
      </c>
      <c r="G4468" s="11">
        <v>60.179721999999998</v>
      </c>
      <c r="H4468" s="11">
        <v>1</v>
      </c>
    </row>
    <row r="4469" spans="6:8" x14ac:dyDescent="0.3">
      <c r="F4469" s="11">
        <v>-1.387778</v>
      </c>
      <c r="G4469" s="11">
        <v>60.210278000000002</v>
      </c>
      <c r="H4469" s="11">
        <v>1</v>
      </c>
    </row>
    <row r="4470" spans="6:8" x14ac:dyDescent="0.3">
      <c r="F4470" s="11">
        <v>-1.3633329999999999</v>
      </c>
      <c r="G4470" s="11">
        <v>60.221666999999997</v>
      </c>
      <c r="H4470" s="11">
        <v>1</v>
      </c>
    </row>
    <row r="4471" spans="6:8" x14ac:dyDescent="0.3">
      <c r="F4471" s="11">
        <v>-1.397222</v>
      </c>
      <c r="G4471" s="11">
        <v>60.254167000000002</v>
      </c>
      <c r="H4471" s="11">
        <v>1</v>
      </c>
    </row>
    <row r="4472" spans="6:8" x14ac:dyDescent="0.3">
      <c r="F4472" s="11">
        <v>-1.336667</v>
      </c>
      <c r="G4472" s="11">
        <v>60.215833000000003</v>
      </c>
      <c r="H4472" s="11">
        <v>1</v>
      </c>
    </row>
    <row r="4473" spans="6:8" x14ac:dyDescent="0.3">
      <c r="F4473" s="11">
        <v>-1.299722</v>
      </c>
      <c r="G4473" s="11">
        <v>60.235833</v>
      </c>
      <c r="H4473" s="11">
        <v>1</v>
      </c>
    </row>
    <row r="4474" spans="6:8" x14ac:dyDescent="0.3">
      <c r="F4474" s="11">
        <v>-1.2933330000000001</v>
      </c>
      <c r="G4474" s="11">
        <v>60.208888999999999</v>
      </c>
      <c r="H4474" s="11">
        <v>1</v>
      </c>
    </row>
    <row r="4475" spans="6:8" x14ac:dyDescent="0.3">
      <c r="F4475" s="11">
        <v>-1.299444</v>
      </c>
      <c r="G4475" s="11">
        <v>60.170278000000003</v>
      </c>
      <c r="H4475" s="11">
        <v>1</v>
      </c>
    </row>
    <row r="4476" spans="6:8" x14ac:dyDescent="0.3">
      <c r="F4476" s="11">
        <v>-1.286667</v>
      </c>
      <c r="G4476" s="11">
        <v>60.153610999999998</v>
      </c>
      <c r="H4476" s="11">
        <v>1</v>
      </c>
    </row>
    <row r="4477" spans="6:8" x14ac:dyDescent="0.3">
      <c r="F4477" s="11">
        <v>-1.2644439999999999</v>
      </c>
      <c r="G4477" s="11">
        <v>60.102499999999999</v>
      </c>
      <c r="H4477" s="11">
        <v>1</v>
      </c>
    </row>
    <row r="4478" spans="6:8" x14ac:dyDescent="0.3">
      <c r="F4478" s="11">
        <v>-1.2952779999999999</v>
      </c>
      <c r="G4478" s="11">
        <v>60.039444000000003</v>
      </c>
      <c r="H4478" s="11">
        <v>1</v>
      </c>
    </row>
    <row r="4479" spans="6:8" x14ac:dyDescent="0.3">
      <c r="F4479" s="11">
        <v>-1.3302780000000001</v>
      </c>
      <c r="G4479" s="11">
        <v>59.989167000000002</v>
      </c>
      <c r="H4479" s="11">
        <v>1</v>
      </c>
    </row>
    <row r="4480" spans="6:8" x14ac:dyDescent="0.3">
      <c r="F4480" s="11">
        <v>-1.326111</v>
      </c>
      <c r="G4480" s="11">
        <v>59.955832999999998</v>
      </c>
      <c r="H4480" s="11">
        <v>1</v>
      </c>
    </row>
    <row r="4481" spans="6:8" x14ac:dyDescent="0.3">
      <c r="F4481" s="11">
        <v>-1.3572219999999999</v>
      </c>
      <c r="G4481" s="11">
        <v>59.912222</v>
      </c>
      <c r="H4481" s="11">
        <v>1</v>
      </c>
    </row>
    <row r="4482" spans="6:8" x14ac:dyDescent="0.3">
      <c r="F4482" s="11">
        <v>-1.338333</v>
      </c>
      <c r="G4482" s="11">
        <v>59.885278</v>
      </c>
      <c r="H4482" s="11">
        <v>1</v>
      </c>
    </row>
    <row r="4483" spans="6:8" x14ac:dyDescent="0.3">
      <c r="F4483" s="11">
        <v>-1.3108329999999999</v>
      </c>
      <c r="G4483" s="11">
        <v>59.860278000000001</v>
      </c>
      <c r="H4483" s="11">
        <v>1</v>
      </c>
    </row>
    <row r="4484" spans="6:8" x14ac:dyDescent="0.3">
      <c r="F4484" s="11">
        <v>-1.260278</v>
      </c>
      <c r="G4484" s="11">
        <v>59.862222000000003</v>
      </c>
      <c r="H4484" s="11">
        <v>1</v>
      </c>
    </row>
    <row r="4485" spans="6:8" x14ac:dyDescent="0.3">
      <c r="F4485" s="11">
        <v>-1.2686109999999999</v>
      </c>
      <c r="G4485" s="11">
        <v>59.917777999999998</v>
      </c>
      <c r="H4485" s="11">
        <v>1</v>
      </c>
    </row>
    <row r="4486" spans="6:8" x14ac:dyDescent="0.3">
      <c r="F4486" s="11">
        <v>-1.240556</v>
      </c>
      <c r="G4486" s="11">
        <v>59.966943999999998</v>
      </c>
      <c r="H4486" s="11">
        <v>1</v>
      </c>
    </row>
    <row r="4487" spans="6:8" x14ac:dyDescent="0.3">
      <c r="F4487" s="11">
        <v>-1.2166669999999999</v>
      </c>
      <c r="G4487" s="11">
        <v>59.984721999999998</v>
      </c>
      <c r="H4487" s="11">
        <v>1</v>
      </c>
    </row>
    <row r="4488" spans="6:8" x14ac:dyDescent="0.3">
      <c r="F4488" s="11">
        <v>-1.217778</v>
      </c>
      <c r="G4488" s="11">
        <v>60.019444</v>
      </c>
      <c r="H4488" s="11">
        <v>1</v>
      </c>
    </row>
    <row r="4489" spans="6:8" x14ac:dyDescent="0.3">
      <c r="F4489" s="11">
        <v>-1.1658329999999999</v>
      </c>
      <c r="G4489" s="11">
        <v>60.054167</v>
      </c>
      <c r="H4489" s="11">
        <v>1</v>
      </c>
    </row>
    <row r="4490" spans="6:8" x14ac:dyDescent="0.3">
      <c r="F4490" s="11">
        <v>-1.1924999999999999</v>
      </c>
      <c r="G4490" s="11">
        <v>60.093611000000003</v>
      </c>
      <c r="H4490" s="11">
        <v>1</v>
      </c>
    </row>
    <row r="4491" spans="6:8" x14ac:dyDescent="0.3">
      <c r="F4491" s="11">
        <v>-1.187222</v>
      </c>
      <c r="G4491" s="11">
        <v>60.127222000000003</v>
      </c>
      <c r="H4491" s="11">
        <v>1</v>
      </c>
    </row>
    <row r="4492" spans="6:8" x14ac:dyDescent="0.3">
      <c r="F4492" s="11">
        <v>-1.149167</v>
      </c>
      <c r="G4492" s="11">
        <v>60.145000000000003</v>
      </c>
      <c r="H4492" s="11">
        <v>1</v>
      </c>
    </row>
    <row r="4493" spans="6:8" x14ac:dyDescent="0.3">
      <c r="F4493" s="11">
        <v>-1.1475</v>
      </c>
      <c r="G4493" s="11">
        <v>60.178610999999997</v>
      </c>
      <c r="H4493" s="11">
        <v>1</v>
      </c>
    </row>
    <row r="4494" spans="6:8" x14ac:dyDescent="0.3">
      <c r="F4494" s="11">
        <v>-1.1950000000000001</v>
      </c>
      <c r="G4494" s="11">
        <v>60.175556</v>
      </c>
      <c r="H4494" s="11">
        <v>1</v>
      </c>
    </row>
    <row r="4495" spans="6:8" x14ac:dyDescent="0.3">
      <c r="F4495" s="11">
        <v>-1.1719440000000001</v>
      </c>
      <c r="G4495" s="11">
        <v>60.22</v>
      </c>
      <c r="H4495" s="11">
        <v>1</v>
      </c>
    </row>
    <row r="4496" spans="6:8" x14ac:dyDescent="0.3">
      <c r="F4496" s="11">
        <v>-1.1805559999999999</v>
      </c>
      <c r="G4496" s="11">
        <v>60.228056000000002</v>
      </c>
      <c r="H4496" s="11">
        <v>1</v>
      </c>
    </row>
    <row r="4497" spans="6:8" x14ac:dyDescent="0.3">
      <c r="F4497" s="11">
        <v>-1.1844440000000001</v>
      </c>
      <c r="G4497" s="11">
        <v>60.248610999999997</v>
      </c>
      <c r="H4497" s="11">
        <v>1</v>
      </c>
    </row>
    <row r="4498" spans="6:8" x14ac:dyDescent="0.3">
      <c r="F4498" s="11">
        <v>-1.1661109999999999</v>
      </c>
      <c r="G4498" s="11">
        <v>60.249443999999997</v>
      </c>
      <c r="H4498" s="11">
        <v>1</v>
      </c>
    </row>
    <row r="4499" spans="6:8" x14ac:dyDescent="0.3">
      <c r="F4499" s="11">
        <v>-1.0933330000000001</v>
      </c>
      <c r="G4499" s="11">
        <v>60.262500000000003</v>
      </c>
      <c r="H4499" s="11">
        <v>1</v>
      </c>
    </row>
    <row r="4500" spans="6:8" x14ac:dyDescent="0.3">
      <c r="F4500" s="11">
        <v>-1.135556</v>
      </c>
      <c r="G4500" s="11">
        <v>60.286667000000001</v>
      </c>
      <c r="H4500" s="11">
        <v>1</v>
      </c>
    </row>
    <row r="4501" spans="6:8" x14ac:dyDescent="0.3">
      <c r="F4501" s="11">
        <v>-1.0794440000000001</v>
      </c>
      <c r="G4501" s="11">
        <v>60.321389000000003</v>
      </c>
      <c r="H4501" s="11">
        <v>1</v>
      </c>
    </row>
    <row r="4502" spans="6:8" x14ac:dyDescent="0.3">
      <c r="F4502" s="11">
        <v>-1.1622220000000001</v>
      </c>
      <c r="G4502" s="11">
        <v>60.339444</v>
      </c>
      <c r="H4502" s="11">
        <v>1</v>
      </c>
    </row>
    <row r="4503" spans="6:8" x14ac:dyDescent="0.3">
      <c r="F4503" s="11">
        <v>-1.08</v>
      </c>
      <c r="G4503" s="11">
        <v>60.350555999999997</v>
      </c>
      <c r="H4503" s="11">
        <v>1</v>
      </c>
    </row>
    <row r="4504" spans="6:8" x14ac:dyDescent="0.3">
      <c r="F4504" s="11">
        <v>-1.0958330000000001</v>
      </c>
      <c r="G4504" s="11">
        <v>60.391944000000002</v>
      </c>
      <c r="H4504" s="11">
        <v>1</v>
      </c>
    </row>
    <row r="4505" spans="6:8" x14ac:dyDescent="0.3">
      <c r="F4505" s="11">
        <v>-1.101389</v>
      </c>
      <c r="G4505" s="11">
        <v>60.398888999999997</v>
      </c>
      <c r="H4505" s="11">
        <v>1</v>
      </c>
    </row>
    <row r="4506" spans="6:8" x14ac:dyDescent="0.3">
      <c r="F4506" s="11">
        <v>-1.0377780000000001</v>
      </c>
      <c r="G4506" s="11">
        <v>60.44</v>
      </c>
      <c r="H4506" s="11">
        <v>1</v>
      </c>
    </row>
    <row r="4507" spans="6:8" x14ac:dyDescent="0.3">
      <c r="F4507" s="11">
        <v>-1.0977779999999999</v>
      </c>
      <c r="G4507" s="11">
        <v>60.414721999999998</v>
      </c>
      <c r="H4507" s="11">
        <v>1</v>
      </c>
    </row>
    <row r="4508" spans="6:8" x14ac:dyDescent="0.3">
      <c r="F4508" s="11">
        <v>-1.1458330000000001</v>
      </c>
      <c r="G4508" s="11">
        <v>60.391388999999997</v>
      </c>
      <c r="H4508" s="11">
        <v>1</v>
      </c>
    </row>
    <row r="4509" spans="6:8" x14ac:dyDescent="0.3">
      <c r="F4509" s="11">
        <v>-1.1927779999999999</v>
      </c>
      <c r="G4509" s="11">
        <v>60.402222000000002</v>
      </c>
      <c r="H4509" s="11">
        <v>1</v>
      </c>
    </row>
    <row r="4510" spans="6:8" x14ac:dyDescent="0.3">
      <c r="F4510" s="11">
        <v>-1.2208330000000001</v>
      </c>
      <c r="G4510" s="11">
        <v>60.409166999999997</v>
      </c>
      <c r="H4510" s="11">
        <v>1</v>
      </c>
    </row>
    <row r="4511" spans="6:8" x14ac:dyDescent="0.3">
      <c r="F4511" s="11">
        <v>-1.1594439999999999</v>
      </c>
      <c r="G4511" s="11">
        <v>60.431111000000001</v>
      </c>
      <c r="H4511" s="11">
        <v>1</v>
      </c>
    </row>
    <row r="4512" spans="6:8" x14ac:dyDescent="0.3">
      <c r="H4512" s="11">
        <v>1</v>
      </c>
    </row>
    <row r="4513" spans="6:8" x14ac:dyDescent="0.3">
      <c r="F4513" s="11">
        <v>-2.0825</v>
      </c>
      <c r="G4513" s="11">
        <v>60.151944</v>
      </c>
      <c r="H4513" s="11">
        <v>1</v>
      </c>
    </row>
    <row r="4514" spans="6:8" x14ac:dyDescent="0.3">
      <c r="F4514" s="11">
        <v>-2.0436109999999998</v>
      </c>
      <c r="G4514" s="11">
        <v>60.114722</v>
      </c>
      <c r="H4514" s="11">
        <v>1</v>
      </c>
    </row>
    <row r="4515" spans="6:8" x14ac:dyDescent="0.3">
      <c r="H4515" s="11">
        <v>1</v>
      </c>
    </row>
    <row r="4516" spans="6:8" x14ac:dyDescent="0.3">
      <c r="F4516" s="11">
        <v>-1.5475000000000001</v>
      </c>
      <c r="G4516" s="11">
        <v>60.197499999999998</v>
      </c>
      <c r="H4516" s="11">
        <v>1</v>
      </c>
    </row>
    <row r="4517" spans="6:8" x14ac:dyDescent="0.3">
      <c r="H4517" s="11">
        <v>1</v>
      </c>
    </row>
    <row r="4518" spans="6:8" x14ac:dyDescent="0.3">
      <c r="F4518" s="11">
        <v>-1.6761109999999999</v>
      </c>
      <c r="G4518" s="11">
        <v>60.318888999999999</v>
      </c>
      <c r="H4518" s="11">
        <v>1</v>
      </c>
    </row>
    <row r="4519" spans="6:8" x14ac:dyDescent="0.3">
      <c r="F4519" s="11">
        <v>-1.691389</v>
      </c>
      <c r="G4519" s="11">
        <v>60.342500000000001</v>
      </c>
      <c r="H4519" s="11">
        <v>1</v>
      </c>
    </row>
    <row r="4520" spans="6:8" x14ac:dyDescent="0.3">
      <c r="H4520" s="11">
        <v>1</v>
      </c>
    </row>
    <row r="4521" spans="6:8" x14ac:dyDescent="0.3">
      <c r="F4521" s="11">
        <v>-1.3633329999999999</v>
      </c>
      <c r="G4521" s="11">
        <v>60.332500000000003</v>
      </c>
      <c r="H4521" s="11">
        <v>1</v>
      </c>
    </row>
    <row r="4522" spans="6:8" x14ac:dyDescent="0.3">
      <c r="H4522" s="11">
        <v>1</v>
      </c>
    </row>
    <row r="4523" spans="6:8" x14ac:dyDescent="0.3">
      <c r="F4523" s="11">
        <v>-1.4547220000000001</v>
      </c>
      <c r="G4523" s="11">
        <v>60.371667000000002</v>
      </c>
      <c r="H4523" s="11">
        <v>1</v>
      </c>
    </row>
    <row r="4524" spans="6:8" x14ac:dyDescent="0.3">
      <c r="F4524" s="11">
        <v>-1.3897219999999999</v>
      </c>
      <c r="G4524" s="11">
        <v>60.351111000000003</v>
      </c>
      <c r="H4524" s="11">
        <v>1</v>
      </c>
    </row>
    <row r="4525" spans="6:8" x14ac:dyDescent="0.3">
      <c r="H4525" s="11">
        <v>1</v>
      </c>
    </row>
    <row r="4526" spans="6:8" x14ac:dyDescent="0.3">
      <c r="F4526" s="11">
        <v>-1.075556</v>
      </c>
      <c r="G4526" s="11">
        <v>60.726944000000003</v>
      </c>
      <c r="H4526" s="11">
        <v>1</v>
      </c>
    </row>
    <row r="4527" spans="6:8" x14ac:dyDescent="0.3">
      <c r="F4527" s="11">
        <v>-1.1230560000000001</v>
      </c>
      <c r="G4527" s="11">
        <v>60.691943999999999</v>
      </c>
      <c r="H4527" s="11">
        <v>1</v>
      </c>
    </row>
    <row r="4528" spans="6:8" x14ac:dyDescent="0.3">
      <c r="F4528" s="11">
        <v>-1.1219440000000001</v>
      </c>
      <c r="G4528" s="11">
        <v>60.634999999999998</v>
      </c>
      <c r="H4528" s="11">
        <v>1</v>
      </c>
    </row>
    <row r="4529" spans="6:8" x14ac:dyDescent="0.3">
      <c r="F4529" s="11">
        <v>-1.1319440000000001</v>
      </c>
      <c r="G4529" s="11">
        <v>60.619166999999997</v>
      </c>
      <c r="H4529" s="11">
        <v>1</v>
      </c>
    </row>
    <row r="4530" spans="6:8" x14ac:dyDescent="0.3">
      <c r="F4530" s="11">
        <v>-1.1794439999999999</v>
      </c>
      <c r="G4530" s="11">
        <v>60.6325</v>
      </c>
      <c r="H4530" s="11">
        <v>1</v>
      </c>
    </row>
    <row r="4531" spans="6:8" x14ac:dyDescent="0.3">
      <c r="F4531" s="11">
        <v>-1.1730560000000001</v>
      </c>
      <c r="G4531" s="11">
        <v>60.573889000000001</v>
      </c>
      <c r="H4531" s="11">
        <v>1</v>
      </c>
    </row>
    <row r="4532" spans="6:8" x14ac:dyDescent="0.3">
      <c r="F4532" s="11">
        <v>-1.1622220000000001</v>
      </c>
      <c r="G4532" s="11">
        <v>60.518056000000001</v>
      </c>
      <c r="H4532" s="11">
        <v>1</v>
      </c>
    </row>
    <row r="4533" spans="6:8" x14ac:dyDescent="0.3">
      <c r="F4533" s="11">
        <v>-1.0977779999999999</v>
      </c>
      <c r="G4533" s="11">
        <v>60.486389000000003</v>
      </c>
      <c r="H4533" s="11">
        <v>1</v>
      </c>
    </row>
    <row r="4534" spans="6:8" x14ac:dyDescent="0.3">
      <c r="F4534" s="11">
        <v>-1.0697220000000001</v>
      </c>
      <c r="G4534" s="11">
        <v>60.498610999999997</v>
      </c>
      <c r="H4534" s="11">
        <v>1</v>
      </c>
    </row>
    <row r="4535" spans="6:8" x14ac:dyDescent="0.3">
      <c r="F4535" s="11">
        <v>-1.0280560000000001</v>
      </c>
      <c r="G4535" s="11">
        <v>60.532221999999997</v>
      </c>
      <c r="H4535" s="11">
        <v>1</v>
      </c>
    </row>
    <row r="4536" spans="6:8" x14ac:dyDescent="0.3">
      <c r="F4536" s="11">
        <v>-1.004167</v>
      </c>
      <c r="G4536" s="11">
        <v>60.574444</v>
      </c>
      <c r="H4536" s="11">
        <v>1</v>
      </c>
    </row>
    <row r="4537" spans="6:8" x14ac:dyDescent="0.3">
      <c r="F4537" s="11">
        <v>-1.066667</v>
      </c>
      <c r="G4537" s="11">
        <v>60.608333000000002</v>
      </c>
      <c r="H4537" s="11">
        <v>1</v>
      </c>
    </row>
    <row r="4538" spans="6:8" x14ac:dyDescent="0.3">
      <c r="F4538" s="11">
        <v>-1.040278</v>
      </c>
      <c r="G4538" s="11">
        <v>60.631943999999997</v>
      </c>
      <c r="H4538" s="11">
        <v>1</v>
      </c>
    </row>
    <row r="4539" spans="6:8" x14ac:dyDescent="0.3">
      <c r="F4539" s="11">
        <v>-1.0286109999999999</v>
      </c>
      <c r="G4539" s="11">
        <v>60.65</v>
      </c>
      <c r="H4539" s="11">
        <v>1</v>
      </c>
    </row>
    <row r="4540" spans="6:8" x14ac:dyDescent="0.3">
      <c r="F4540" s="11">
        <v>-0.98944399999999999</v>
      </c>
      <c r="G4540" s="11">
        <v>60.665556000000002</v>
      </c>
      <c r="H4540" s="11">
        <v>1</v>
      </c>
    </row>
    <row r="4541" spans="6:8" x14ac:dyDescent="0.3">
      <c r="F4541" s="11">
        <v>-0.99083299999999996</v>
      </c>
      <c r="G4541" s="11">
        <v>60.716110999999998</v>
      </c>
      <c r="H4541" s="11">
        <v>1</v>
      </c>
    </row>
    <row r="4542" spans="6:8" x14ac:dyDescent="0.3">
      <c r="H4542" s="11">
        <v>1</v>
      </c>
    </row>
    <row r="4543" spans="6:8" x14ac:dyDescent="0.3">
      <c r="F4543" s="11">
        <v>8.6072220000000002</v>
      </c>
      <c r="G4543" s="11">
        <v>56.651389000000002</v>
      </c>
      <c r="H4543" s="11">
        <v>1</v>
      </c>
    </row>
    <row r="4544" spans="6:8" x14ac:dyDescent="0.3">
      <c r="H4544" s="11">
        <v>1</v>
      </c>
    </row>
    <row r="4545" spans="6:8" x14ac:dyDescent="0.3">
      <c r="F4545" s="11">
        <v>8.6302780000000006</v>
      </c>
      <c r="G4545" s="11">
        <v>56.523055999999997</v>
      </c>
      <c r="H4545" s="11">
        <v>1</v>
      </c>
    </row>
    <row r="4546" spans="6:8" x14ac:dyDescent="0.3">
      <c r="H4546" s="11">
        <v>1</v>
      </c>
    </row>
    <row r="4547" spans="6:8" x14ac:dyDescent="0.3">
      <c r="F4547" s="11">
        <v>8.2130559999999999</v>
      </c>
      <c r="G4547" s="11">
        <v>55.873333000000002</v>
      </c>
      <c r="H4547" s="11">
        <v>1</v>
      </c>
    </row>
    <row r="4548" spans="6:8" x14ac:dyDescent="0.3">
      <c r="H4548" s="11">
        <v>1</v>
      </c>
    </row>
    <row r="4549" spans="6:8" x14ac:dyDescent="0.3">
      <c r="F4549" s="11">
        <v>8.4611110000000007</v>
      </c>
      <c r="G4549" s="11">
        <v>55.421388999999998</v>
      </c>
      <c r="H4549" s="11">
        <v>1</v>
      </c>
    </row>
    <row r="4550" spans="6:8" x14ac:dyDescent="0.3">
      <c r="F4550" s="11">
        <v>8.4733330000000002</v>
      </c>
      <c r="G4550" s="11">
        <v>55.342500000000001</v>
      </c>
      <c r="H4550" s="11">
        <v>1</v>
      </c>
    </row>
    <row r="4551" spans="6:8" x14ac:dyDescent="0.3">
      <c r="F4551" s="11">
        <v>8.4</v>
      </c>
      <c r="G4551" s="11">
        <v>55.384444000000002</v>
      </c>
      <c r="H4551" s="11">
        <v>1</v>
      </c>
    </row>
    <row r="4552" spans="6:8" x14ac:dyDescent="0.3">
      <c r="F4552" s="11">
        <v>8.3602779999999992</v>
      </c>
      <c r="G4552" s="11">
        <v>55.457777999999998</v>
      </c>
      <c r="H4552" s="11">
        <v>1</v>
      </c>
    </row>
    <row r="4553" spans="6:8" x14ac:dyDescent="0.3">
      <c r="H4553" s="11">
        <v>1</v>
      </c>
    </row>
    <row r="4554" spans="6:8" x14ac:dyDescent="0.3">
      <c r="F4554" s="11">
        <v>8.5416670000000003</v>
      </c>
      <c r="G4554" s="11">
        <v>55.284444000000001</v>
      </c>
      <c r="H4554" s="11">
        <v>1</v>
      </c>
    </row>
    <row r="4555" spans="6:8" x14ac:dyDescent="0.3">
      <c r="H4555" s="11">
        <v>1</v>
      </c>
    </row>
    <row r="4556" spans="6:8" x14ac:dyDescent="0.3">
      <c r="F4556" s="11">
        <v>8.8644440000000007</v>
      </c>
      <c r="G4556" s="11">
        <v>56.874443999999997</v>
      </c>
      <c r="H4556" s="11">
        <v>1</v>
      </c>
    </row>
    <row r="4557" spans="6:8" x14ac:dyDescent="0.3">
      <c r="F4557" s="11">
        <v>8.8705560000000006</v>
      </c>
      <c r="G4557" s="11">
        <v>56.805278000000001</v>
      </c>
      <c r="H4557" s="11">
        <v>1</v>
      </c>
    </row>
    <row r="4558" spans="6:8" x14ac:dyDescent="0.3">
      <c r="F4558" s="11">
        <v>8.8324999999999996</v>
      </c>
      <c r="G4558" s="11">
        <v>56.736389000000003</v>
      </c>
      <c r="H4558" s="11">
        <v>1</v>
      </c>
    </row>
    <row r="4559" spans="6:8" x14ac:dyDescent="0.3">
      <c r="F4559" s="11">
        <v>8.7536109999999994</v>
      </c>
      <c r="G4559" s="11">
        <v>56.674999999999997</v>
      </c>
      <c r="H4559" s="11">
        <v>1</v>
      </c>
    </row>
    <row r="4560" spans="6:8" x14ac:dyDescent="0.3">
      <c r="F4560" s="11">
        <v>8.6238890000000001</v>
      </c>
      <c r="G4560" s="11">
        <v>56.686110999999997</v>
      </c>
      <c r="H4560" s="11">
        <v>1</v>
      </c>
    </row>
    <row r="4561" spans="6:8" x14ac:dyDescent="0.3">
      <c r="F4561" s="11">
        <v>8.5336110000000005</v>
      </c>
      <c r="G4561" s="11">
        <v>56.716667000000001</v>
      </c>
      <c r="H4561" s="11">
        <v>1</v>
      </c>
    </row>
    <row r="4562" spans="6:8" x14ac:dyDescent="0.3">
      <c r="F4562" s="11">
        <v>8.5649999999999995</v>
      </c>
      <c r="G4562" s="11">
        <v>56.771388999999999</v>
      </c>
      <c r="H4562" s="11">
        <v>1</v>
      </c>
    </row>
    <row r="4563" spans="6:8" x14ac:dyDescent="0.3">
      <c r="F4563" s="11">
        <v>8.6555560000000007</v>
      </c>
      <c r="G4563" s="11">
        <v>56.811943999999997</v>
      </c>
      <c r="H4563" s="11">
        <v>1</v>
      </c>
    </row>
    <row r="4564" spans="6:8" x14ac:dyDescent="0.3">
      <c r="F4564" s="11">
        <v>8.6486110000000007</v>
      </c>
      <c r="G4564" s="11">
        <v>56.871389000000001</v>
      </c>
      <c r="H4564" s="11">
        <v>1</v>
      </c>
    </row>
    <row r="4565" spans="6:8" x14ac:dyDescent="0.3">
      <c r="F4565" s="11">
        <v>8.7913890000000006</v>
      </c>
      <c r="G4565" s="11">
        <v>56.889721999999999</v>
      </c>
      <c r="H4565" s="11">
        <v>1</v>
      </c>
    </row>
    <row r="4566" spans="6:8" x14ac:dyDescent="0.3">
      <c r="F4566" s="11">
        <v>8.8947219999999998</v>
      </c>
      <c r="G4566" s="11">
        <v>56.935555999999998</v>
      </c>
      <c r="H4566" s="11">
        <v>1</v>
      </c>
    </row>
    <row r="4567" spans="6:8" x14ac:dyDescent="0.3">
      <c r="H4567" s="11">
        <v>1</v>
      </c>
    </row>
    <row r="4568" spans="6:8" x14ac:dyDescent="0.3">
      <c r="F4568" s="11">
        <v>7.8663889999999999</v>
      </c>
      <c r="G4568" s="11">
        <v>62.970278</v>
      </c>
      <c r="H4568" s="11">
        <v>1</v>
      </c>
    </row>
    <row r="4569" spans="6:8" x14ac:dyDescent="0.3">
      <c r="H4569" s="11">
        <v>1</v>
      </c>
    </row>
    <row r="4570" spans="6:8" x14ac:dyDescent="0.3">
      <c r="F4570" s="11">
        <v>7.6563889999999999</v>
      </c>
      <c r="G4570" s="11">
        <v>62.988332999999997</v>
      </c>
      <c r="H4570" s="11">
        <v>1</v>
      </c>
    </row>
    <row r="4571" spans="6:8" x14ac:dyDescent="0.3">
      <c r="F4571" s="11">
        <v>7.5308330000000003</v>
      </c>
      <c r="G4571" s="11">
        <v>62.942777999999997</v>
      </c>
      <c r="H4571" s="11">
        <v>1</v>
      </c>
    </row>
    <row r="4572" spans="6:8" x14ac:dyDescent="0.3">
      <c r="F4572" s="11">
        <v>7.3930559999999996</v>
      </c>
      <c r="G4572" s="11">
        <v>62.976111000000003</v>
      </c>
      <c r="H4572" s="11">
        <v>1</v>
      </c>
    </row>
    <row r="4573" spans="6:8" x14ac:dyDescent="0.3">
      <c r="H4573" s="11">
        <v>1</v>
      </c>
    </row>
    <row r="4574" spans="6:8" x14ac:dyDescent="0.3">
      <c r="F4574" s="11">
        <v>6.9016669999999998</v>
      </c>
      <c r="G4574" s="11">
        <v>62.789721999999998</v>
      </c>
      <c r="H4574" s="11">
        <v>1</v>
      </c>
    </row>
    <row r="4575" spans="6:8" x14ac:dyDescent="0.3">
      <c r="F4575" s="11">
        <v>6.7677779999999998</v>
      </c>
      <c r="G4575" s="11">
        <v>62.805833</v>
      </c>
      <c r="H4575" s="11">
        <v>1</v>
      </c>
    </row>
    <row r="4576" spans="6:8" x14ac:dyDescent="0.3">
      <c r="F4576" s="11">
        <v>6.8213889999999999</v>
      </c>
      <c r="G4576" s="11">
        <v>62.847222000000002</v>
      </c>
      <c r="H4576" s="11">
        <v>1</v>
      </c>
    </row>
    <row r="4577" spans="6:8" x14ac:dyDescent="0.3">
      <c r="H4577" s="11">
        <v>1</v>
      </c>
    </row>
    <row r="4578" spans="6:8" x14ac:dyDescent="0.3">
      <c r="F4578" s="11">
        <v>7.2233330000000002</v>
      </c>
      <c r="G4578" s="11">
        <v>62.664999999999999</v>
      </c>
      <c r="H4578" s="11">
        <v>1</v>
      </c>
    </row>
    <row r="4579" spans="6:8" x14ac:dyDescent="0.3">
      <c r="H4579" s="11">
        <v>1</v>
      </c>
    </row>
    <row r="4580" spans="6:8" x14ac:dyDescent="0.3">
      <c r="F4580" s="11">
        <v>6.7580559999999998</v>
      </c>
      <c r="G4580" s="11">
        <v>62.670833000000002</v>
      </c>
      <c r="H4580" s="11">
        <v>1</v>
      </c>
    </row>
    <row r="4581" spans="6:8" x14ac:dyDescent="0.3">
      <c r="F4581" s="11">
        <v>6.6588890000000003</v>
      </c>
      <c r="G4581" s="11">
        <v>62.683889000000001</v>
      </c>
      <c r="H4581" s="11">
        <v>1</v>
      </c>
    </row>
    <row r="4582" spans="6:8" x14ac:dyDescent="0.3">
      <c r="F4582" s="11">
        <v>6.7308329999999996</v>
      </c>
      <c r="G4582" s="11">
        <v>62.716943999999998</v>
      </c>
      <c r="H4582" s="11">
        <v>1</v>
      </c>
    </row>
    <row r="4583" spans="6:8" x14ac:dyDescent="0.3">
      <c r="F4583" s="11">
        <v>6.8891669999999996</v>
      </c>
      <c r="G4583" s="11">
        <v>62.7425</v>
      </c>
      <c r="H4583" s="11">
        <v>1</v>
      </c>
    </row>
    <row r="4584" spans="6:8" x14ac:dyDescent="0.3">
      <c r="H4584" s="11">
        <v>1</v>
      </c>
    </row>
    <row r="4585" spans="6:8" x14ac:dyDescent="0.3">
      <c r="F4585" s="11">
        <v>6.5125000000000002</v>
      </c>
      <c r="G4585" s="11">
        <v>62.640555999999997</v>
      </c>
      <c r="H4585" s="11">
        <v>1</v>
      </c>
    </row>
    <row r="4586" spans="6:8" x14ac:dyDescent="0.3">
      <c r="F4586" s="11">
        <v>6.6255559999999996</v>
      </c>
      <c r="G4586" s="11">
        <v>62.668889</v>
      </c>
      <c r="H4586" s="11">
        <v>1</v>
      </c>
    </row>
    <row r="4587" spans="6:8" x14ac:dyDescent="0.3">
      <c r="H4587" s="11">
        <v>1</v>
      </c>
    </row>
    <row r="4588" spans="6:8" x14ac:dyDescent="0.3">
      <c r="F4588" s="11">
        <v>6.4249999999999998</v>
      </c>
      <c r="G4588" s="11">
        <v>62.740833000000002</v>
      </c>
      <c r="H4588" s="11">
        <v>1</v>
      </c>
    </row>
    <row r="4589" spans="6:8" x14ac:dyDescent="0.3">
      <c r="H4589" s="11">
        <v>1</v>
      </c>
    </row>
    <row r="4590" spans="6:8" x14ac:dyDescent="0.3">
      <c r="F4590" s="11">
        <v>6.3986109999999998</v>
      </c>
      <c r="G4590" s="11">
        <v>62.695833</v>
      </c>
      <c r="H4590" s="11">
        <v>1</v>
      </c>
    </row>
    <row r="4591" spans="6:8" x14ac:dyDescent="0.3">
      <c r="H4591" s="11">
        <v>1</v>
      </c>
    </row>
    <row r="4592" spans="6:8" x14ac:dyDescent="0.3">
      <c r="F4592" s="11">
        <v>6.2336109999999998</v>
      </c>
      <c r="G4592" s="11">
        <v>62.671388999999998</v>
      </c>
      <c r="H4592" s="11">
        <v>1</v>
      </c>
    </row>
    <row r="4593" spans="6:8" x14ac:dyDescent="0.3">
      <c r="F4593" s="11">
        <v>6.3391669999999998</v>
      </c>
      <c r="G4593" s="11">
        <v>62.66</v>
      </c>
      <c r="H4593" s="11">
        <v>1</v>
      </c>
    </row>
    <row r="4594" spans="6:8" x14ac:dyDescent="0.3">
      <c r="H4594" s="11">
        <v>1</v>
      </c>
    </row>
    <row r="4595" spans="6:8" x14ac:dyDescent="0.3">
      <c r="F4595" s="11">
        <v>6.1908329999999996</v>
      </c>
      <c r="G4595" s="11">
        <v>62.664999999999999</v>
      </c>
      <c r="H4595" s="11">
        <v>1</v>
      </c>
    </row>
    <row r="4596" spans="6:8" x14ac:dyDescent="0.3">
      <c r="H4596" s="11">
        <v>1</v>
      </c>
    </row>
    <row r="4597" spans="6:8" x14ac:dyDescent="0.3">
      <c r="F4597" s="11">
        <v>6.1294440000000003</v>
      </c>
      <c r="G4597" s="11">
        <v>62.623610999999997</v>
      </c>
      <c r="H4597" s="11">
        <v>1</v>
      </c>
    </row>
    <row r="4598" spans="6:8" x14ac:dyDescent="0.3">
      <c r="H4598" s="11">
        <v>1</v>
      </c>
    </row>
    <row r="4599" spans="6:8" x14ac:dyDescent="0.3">
      <c r="F4599" s="11">
        <v>6.0425000000000004</v>
      </c>
      <c r="G4599" s="11">
        <v>62.537778000000003</v>
      </c>
      <c r="H4599" s="11">
        <v>1</v>
      </c>
    </row>
    <row r="4600" spans="6:8" x14ac:dyDescent="0.3">
      <c r="F4600" s="11">
        <v>6.0547219999999999</v>
      </c>
      <c r="G4600" s="11">
        <v>62.57</v>
      </c>
      <c r="H4600" s="11">
        <v>1</v>
      </c>
    </row>
    <row r="4601" spans="6:8" x14ac:dyDescent="0.3">
      <c r="H4601" s="11">
        <v>1</v>
      </c>
    </row>
    <row r="4602" spans="6:8" x14ac:dyDescent="0.3">
      <c r="F4602" s="11">
        <v>6.1069440000000004</v>
      </c>
      <c r="G4602" s="11">
        <v>62.508889000000003</v>
      </c>
      <c r="H4602" s="11">
        <v>1</v>
      </c>
    </row>
    <row r="4603" spans="6:8" x14ac:dyDescent="0.3">
      <c r="H4603" s="11">
        <v>1</v>
      </c>
    </row>
    <row r="4604" spans="6:8" x14ac:dyDescent="0.3">
      <c r="F4604" s="11">
        <v>6.2166670000000002</v>
      </c>
      <c r="G4604" s="11">
        <v>62.487777999999999</v>
      </c>
      <c r="H4604" s="11">
        <v>1</v>
      </c>
    </row>
    <row r="4605" spans="6:8" x14ac:dyDescent="0.3">
      <c r="F4605" s="11">
        <v>6.2827780000000004</v>
      </c>
      <c r="G4605" s="11">
        <v>62.504722000000001</v>
      </c>
      <c r="H4605" s="11">
        <v>1</v>
      </c>
    </row>
    <row r="4606" spans="6:8" x14ac:dyDescent="0.3">
      <c r="F4606" s="11">
        <v>6.3849999999999998</v>
      </c>
      <c r="G4606" s="11">
        <v>62.497500000000002</v>
      </c>
      <c r="H4606" s="11">
        <v>1</v>
      </c>
    </row>
    <row r="4607" spans="6:8" x14ac:dyDescent="0.3">
      <c r="H4607" s="11">
        <v>1</v>
      </c>
    </row>
    <row r="4608" spans="6:8" x14ac:dyDescent="0.3">
      <c r="F4608" s="11">
        <v>6.1480560000000004</v>
      </c>
      <c r="G4608" s="11">
        <v>62.390555999999997</v>
      </c>
      <c r="H4608" s="11">
        <v>1</v>
      </c>
    </row>
    <row r="4609" spans="6:8" x14ac:dyDescent="0.3">
      <c r="F4609" s="11">
        <v>6.0230560000000004</v>
      </c>
      <c r="G4609" s="11">
        <v>62.435555999999998</v>
      </c>
      <c r="H4609" s="11">
        <v>1</v>
      </c>
    </row>
    <row r="4610" spans="6:8" x14ac:dyDescent="0.3">
      <c r="F4610" s="11">
        <v>6.2063889999999997</v>
      </c>
      <c r="G4610" s="11">
        <v>62.436110999999997</v>
      </c>
      <c r="H4610" s="11">
        <v>1</v>
      </c>
    </row>
    <row r="4611" spans="6:8" x14ac:dyDescent="0.3">
      <c r="F4611" s="11">
        <v>6.3174999999999999</v>
      </c>
      <c r="G4611" s="11">
        <v>62.402500000000003</v>
      </c>
      <c r="H4611" s="11">
        <v>1</v>
      </c>
    </row>
    <row r="4612" spans="6:8" x14ac:dyDescent="0.3">
      <c r="H4612" s="11">
        <v>1</v>
      </c>
    </row>
    <row r="4613" spans="6:8" x14ac:dyDescent="0.3">
      <c r="F4613" s="11">
        <v>5.9422220000000001</v>
      </c>
      <c r="G4613" s="11">
        <v>62.282221999999997</v>
      </c>
      <c r="H4613" s="11">
        <v>1</v>
      </c>
    </row>
    <row r="4614" spans="6:8" x14ac:dyDescent="0.3">
      <c r="F4614" s="11">
        <v>5.8122220000000002</v>
      </c>
      <c r="G4614" s="11">
        <v>62.24</v>
      </c>
      <c r="H4614" s="11">
        <v>1</v>
      </c>
    </row>
    <row r="4615" spans="6:8" x14ac:dyDescent="0.3">
      <c r="F4615" s="11">
        <v>5.8411109999999997</v>
      </c>
      <c r="G4615" s="11">
        <v>62.309722000000001</v>
      </c>
      <c r="H4615" s="11">
        <v>1</v>
      </c>
    </row>
    <row r="4616" spans="6:8" x14ac:dyDescent="0.3">
      <c r="F4616" s="11">
        <v>5.8197219999999996</v>
      </c>
      <c r="G4616" s="11">
        <v>62.381110999999997</v>
      </c>
      <c r="H4616" s="11">
        <v>1</v>
      </c>
    </row>
    <row r="4617" spans="6:8" x14ac:dyDescent="0.3">
      <c r="F4617" s="11">
        <v>5.9372220000000002</v>
      </c>
      <c r="G4617" s="11">
        <v>62.426943999999999</v>
      </c>
      <c r="H4617" s="11">
        <v>1</v>
      </c>
    </row>
    <row r="4618" spans="6:8" x14ac:dyDescent="0.3">
      <c r="F4618" s="11">
        <v>6.0094440000000002</v>
      </c>
      <c r="G4618" s="11">
        <v>62.358611000000003</v>
      </c>
      <c r="H4618" s="11">
        <v>1</v>
      </c>
    </row>
    <row r="4619" spans="6:8" x14ac:dyDescent="0.3">
      <c r="H4619" s="11">
        <v>1</v>
      </c>
    </row>
    <row r="4620" spans="6:8" x14ac:dyDescent="0.3">
      <c r="F4620" s="11">
        <v>5.7641669999999996</v>
      </c>
      <c r="G4620" s="11">
        <v>62.200277999999997</v>
      </c>
      <c r="H4620" s="11">
        <v>1</v>
      </c>
    </row>
    <row r="4621" spans="6:8" x14ac:dyDescent="0.3">
      <c r="F4621" s="11">
        <v>5.5811109999999999</v>
      </c>
      <c r="G4621" s="11">
        <v>62.185277999999997</v>
      </c>
      <c r="H4621" s="11">
        <v>1</v>
      </c>
    </row>
    <row r="4622" spans="6:8" x14ac:dyDescent="0.3">
      <c r="F4622" s="11">
        <v>5.5530559999999998</v>
      </c>
      <c r="G4622" s="11">
        <v>62.219444000000003</v>
      </c>
      <c r="H4622" s="11">
        <v>1</v>
      </c>
    </row>
    <row r="4623" spans="6:8" x14ac:dyDescent="0.3">
      <c r="F4623" s="11">
        <v>5.5169439999999996</v>
      </c>
      <c r="G4623" s="11">
        <v>62.246389000000001</v>
      </c>
      <c r="H4623" s="11">
        <v>1</v>
      </c>
    </row>
    <row r="4624" spans="6:8" x14ac:dyDescent="0.3">
      <c r="F4624" s="11">
        <v>5.6050000000000004</v>
      </c>
      <c r="G4624" s="11">
        <v>62.289721999999998</v>
      </c>
      <c r="H4624" s="11">
        <v>1</v>
      </c>
    </row>
    <row r="4625" spans="6:8" x14ac:dyDescent="0.3">
      <c r="F4625" s="11">
        <v>5.7730560000000004</v>
      </c>
      <c r="G4625" s="11">
        <v>62.278055999999999</v>
      </c>
      <c r="H4625" s="11">
        <v>1</v>
      </c>
    </row>
    <row r="4626" spans="6:8" x14ac:dyDescent="0.3">
      <c r="H4626" s="11">
        <v>1</v>
      </c>
    </row>
    <row r="4627" spans="6:8" x14ac:dyDescent="0.3">
      <c r="F4627" s="11">
        <v>5.3069439999999997</v>
      </c>
      <c r="G4627" s="11">
        <v>62.213611</v>
      </c>
      <c r="H4627" s="11">
        <v>1</v>
      </c>
    </row>
    <row r="4628" spans="6:8" x14ac:dyDescent="0.3">
      <c r="H4628" s="11">
        <v>1</v>
      </c>
    </row>
    <row r="4629" spans="6:8" x14ac:dyDescent="0.3">
      <c r="F4629" s="11">
        <v>5.947222</v>
      </c>
      <c r="G4629" s="11">
        <v>62.480556</v>
      </c>
      <c r="H4629" s="11">
        <v>1</v>
      </c>
    </row>
    <row r="4630" spans="6:8" x14ac:dyDescent="0.3">
      <c r="H4630" s="11">
        <v>1</v>
      </c>
    </row>
    <row r="4631" spans="6:8" x14ac:dyDescent="0.3">
      <c r="F4631" s="11">
        <v>6.11</v>
      </c>
      <c r="G4631" s="11">
        <v>62.453611000000002</v>
      </c>
      <c r="H4631" s="11">
        <v>1</v>
      </c>
    </row>
    <row r="4632" spans="6:8" x14ac:dyDescent="0.3">
      <c r="H4632" s="11">
        <v>1</v>
      </c>
    </row>
    <row r="4633" spans="6:8" x14ac:dyDescent="0.3">
      <c r="F4633" s="11">
        <v>5.8002779999999996</v>
      </c>
      <c r="G4633" s="11">
        <v>62.317500000000003</v>
      </c>
      <c r="H4633" s="11">
        <v>1</v>
      </c>
    </row>
    <row r="4634" spans="6:8" x14ac:dyDescent="0.3">
      <c r="H4634" s="11">
        <v>1</v>
      </c>
    </row>
    <row r="4635" spans="6:8" x14ac:dyDescent="0.3">
      <c r="F4635" s="11">
        <v>5.6322219999999996</v>
      </c>
      <c r="G4635" s="11">
        <v>62.395833000000003</v>
      </c>
      <c r="H4635" s="11">
        <v>1</v>
      </c>
    </row>
    <row r="4636" spans="6:8" x14ac:dyDescent="0.3">
      <c r="H4636" s="11">
        <v>1</v>
      </c>
    </row>
    <row r="4637" spans="6:8" x14ac:dyDescent="0.3">
      <c r="F4637" s="11">
        <v>5.5052779999999997</v>
      </c>
      <c r="G4637" s="11">
        <v>62.356110999999999</v>
      </c>
      <c r="H4637" s="11">
        <v>1</v>
      </c>
    </row>
    <row r="4638" spans="6:8" x14ac:dyDescent="0.3">
      <c r="H4638" s="11">
        <v>1</v>
      </c>
    </row>
    <row r="4639" spans="6:8" x14ac:dyDescent="0.3">
      <c r="F4639" s="11">
        <v>5.6333330000000004</v>
      </c>
      <c r="G4639" s="11">
        <v>62.324167000000003</v>
      </c>
      <c r="H4639" s="11">
        <v>1</v>
      </c>
    </row>
    <row r="4640" spans="6:8" x14ac:dyDescent="0.3">
      <c r="H4640" s="11">
        <v>1</v>
      </c>
    </row>
    <row r="4641" spans="6:8" x14ac:dyDescent="0.3">
      <c r="F4641" s="11">
        <v>5.4558330000000002</v>
      </c>
      <c r="G4641" s="11">
        <v>62.261389000000001</v>
      </c>
      <c r="H4641" s="11">
        <v>1</v>
      </c>
    </row>
    <row r="4642" spans="6:8" x14ac:dyDescent="0.3">
      <c r="H4642" s="11">
        <v>1</v>
      </c>
    </row>
    <row r="4643" spans="6:8" x14ac:dyDescent="0.3">
      <c r="F4643" s="11">
        <v>5.0480559999999999</v>
      </c>
      <c r="G4643" s="11">
        <v>61.928888999999998</v>
      </c>
      <c r="H4643" s="11">
        <v>1</v>
      </c>
    </row>
    <row r="4644" spans="6:8" x14ac:dyDescent="0.3">
      <c r="F4644" s="11">
        <v>5.0444440000000004</v>
      </c>
      <c r="G4644" s="11">
        <v>61.960555999999997</v>
      </c>
      <c r="H4644" s="11">
        <v>1</v>
      </c>
    </row>
    <row r="4645" spans="6:8" x14ac:dyDescent="0.3">
      <c r="F4645" s="11">
        <v>4.9588890000000001</v>
      </c>
      <c r="G4645" s="11">
        <v>62.020555999999999</v>
      </c>
      <c r="H4645" s="11">
        <v>1</v>
      </c>
    </row>
    <row r="4646" spans="6:8" x14ac:dyDescent="0.3">
      <c r="F4646" s="11">
        <v>5.0674999999999999</v>
      </c>
      <c r="G4646" s="11">
        <v>61.999443999999997</v>
      </c>
      <c r="H4646" s="11">
        <v>1</v>
      </c>
    </row>
    <row r="4647" spans="6:8" x14ac:dyDescent="0.3">
      <c r="H4647" s="11">
        <v>1</v>
      </c>
    </row>
    <row r="4648" spans="6:8" x14ac:dyDescent="0.3">
      <c r="F4648" s="11">
        <v>5.0538889999999999</v>
      </c>
      <c r="G4648" s="11">
        <v>61.905278000000003</v>
      </c>
      <c r="H4648" s="11">
        <v>1</v>
      </c>
    </row>
    <row r="4649" spans="6:8" x14ac:dyDescent="0.3">
      <c r="H4649" s="11">
        <v>1</v>
      </c>
    </row>
    <row r="4650" spans="6:8" x14ac:dyDescent="0.3">
      <c r="F4650" s="11">
        <v>5.2405559999999998</v>
      </c>
      <c r="G4650" s="11">
        <v>61.877499999999998</v>
      </c>
      <c r="H4650" s="11">
        <v>1</v>
      </c>
    </row>
    <row r="4651" spans="6:8" x14ac:dyDescent="0.3">
      <c r="H4651" s="11">
        <v>1</v>
      </c>
    </row>
    <row r="4652" spans="6:8" x14ac:dyDescent="0.3">
      <c r="F4652" s="11">
        <v>5.1316670000000002</v>
      </c>
      <c r="G4652" s="11">
        <v>61.826943999999997</v>
      </c>
      <c r="H4652" s="11">
        <v>1</v>
      </c>
    </row>
    <row r="4653" spans="6:8" x14ac:dyDescent="0.3">
      <c r="F4653" s="11">
        <v>5.0605560000000001</v>
      </c>
      <c r="G4653" s="11">
        <v>61.810277999999997</v>
      </c>
      <c r="H4653" s="11">
        <v>1</v>
      </c>
    </row>
    <row r="4654" spans="6:8" x14ac:dyDescent="0.3">
      <c r="F4654" s="11">
        <v>4.9225000000000003</v>
      </c>
      <c r="G4654" s="11">
        <v>61.773055999999997</v>
      </c>
      <c r="H4654" s="11">
        <v>1</v>
      </c>
    </row>
    <row r="4655" spans="6:8" x14ac:dyDescent="0.3">
      <c r="F4655" s="11">
        <v>4.9136110000000004</v>
      </c>
      <c r="G4655" s="11">
        <v>61.815832999999998</v>
      </c>
      <c r="H4655" s="11">
        <v>1</v>
      </c>
    </row>
    <row r="4656" spans="6:8" x14ac:dyDescent="0.3">
      <c r="F4656" s="11">
        <v>4.816389</v>
      </c>
      <c r="G4656" s="11">
        <v>61.848889</v>
      </c>
      <c r="H4656" s="11">
        <v>1</v>
      </c>
    </row>
    <row r="4657" spans="6:8" x14ac:dyDescent="0.3">
      <c r="F4657" s="11">
        <v>4.9261109999999997</v>
      </c>
      <c r="G4657" s="11">
        <v>61.898888999999997</v>
      </c>
      <c r="H4657" s="11">
        <v>1</v>
      </c>
    </row>
    <row r="4658" spans="6:8" x14ac:dyDescent="0.3">
      <c r="F4658" s="11">
        <v>5.0880559999999999</v>
      </c>
      <c r="G4658" s="11">
        <v>61.870277999999999</v>
      </c>
      <c r="H4658" s="11">
        <v>1</v>
      </c>
    </row>
    <row r="4659" spans="6:8" x14ac:dyDescent="0.3">
      <c r="H4659" s="11">
        <v>1</v>
      </c>
    </row>
    <row r="4660" spans="6:8" x14ac:dyDescent="0.3">
      <c r="F4660" s="11">
        <v>4.8011109999999997</v>
      </c>
      <c r="G4660" s="11">
        <v>61.791111000000001</v>
      </c>
      <c r="H4660" s="11">
        <v>1</v>
      </c>
    </row>
    <row r="4661" spans="6:8" x14ac:dyDescent="0.3">
      <c r="H4661" s="11">
        <v>1</v>
      </c>
    </row>
    <row r="4662" spans="6:8" x14ac:dyDescent="0.3">
      <c r="F4662" s="11">
        <v>4.8316670000000004</v>
      </c>
      <c r="G4662" s="11">
        <v>61.690832999999998</v>
      </c>
      <c r="H4662" s="11">
        <v>1</v>
      </c>
    </row>
    <row r="4663" spans="6:8" x14ac:dyDescent="0.3">
      <c r="H4663" s="11">
        <v>1</v>
      </c>
    </row>
    <row r="4664" spans="6:8" x14ac:dyDescent="0.3">
      <c r="F4664" s="11">
        <v>4.9866669999999997</v>
      </c>
      <c r="G4664" s="11">
        <v>61.594999999999999</v>
      </c>
      <c r="H4664" s="11">
        <v>1</v>
      </c>
    </row>
    <row r="4665" spans="6:8" x14ac:dyDescent="0.3">
      <c r="H4665" s="11">
        <v>1</v>
      </c>
    </row>
    <row r="4666" spans="6:8" x14ac:dyDescent="0.3">
      <c r="F4666" s="11">
        <v>5.104444</v>
      </c>
      <c r="G4666" s="11">
        <v>61.561388999999998</v>
      </c>
      <c r="H4666" s="11">
        <v>1</v>
      </c>
    </row>
    <row r="4667" spans="6:8" x14ac:dyDescent="0.3">
      <c r="H4667" s="11">
        <v>1</v>
      </c>
    </row>
    <row r="4668" spans="6:8" x14ac:dyDescent="0.3">
      <c r="F4668" s="11">
        <v>4.8277780000000003</v>
      </c>
      <c r="G4668" s="11">
        <v>61.603332999999999</v>
      </c>
      <c r="H4668" s="11">
        <v>1</v>
      </c>
    </row>
    <row r="4669" spans="6:8" x14ac:dyDescent="0.3">
      <c r="H4669" s="11">
        <v>1</v>
      </c>
    </row>
    <row r="4670" spans="6:8" x14ac:dyDescent="0.3">
      <c r="F4670" s="11">
        <v>4.8386110000000002</v>
      </c>
      <c r="G4670" s="11">
        <v>61.568055999999999</v>
      </c>
      <c r="H4670" s="11">
        <v>1</v>
      </c>
    </row>
    <row r="4671" spans="6:8" x14ac:dyDescent="0.3">
      <c r="H4671" s="11">
        <v>1</v>
      </c>
    </row>
    <row r="4672" spans="6:8" x14ac:dyDescent="0.3">
      <c r="F4672" s="11">
        <v>4.9152779999999998</v>
      </c>
      <c r="G4672" s="11">
        <v>61.520833000000003</v>
      </c>
      <c r="H4672" s="11">
        <v>1</v>
      </c>
    </row>
    <row r="4673" spans="6:8" x14ac:dyDescent="0.3">
      <c r="H4673" s="11">
        <v>1</v>
      </c>
    </row>
    <row r="4674" spans="6:8" x14ac:dyDescent="0.3">
      <c r="F4674" s="11">
        <v>5.0274999999999999</v>
      </c>
      <c r="G4674" s="11">
        <v>61.490833000000002</v>
      </c>
      <c r="H4674" s="11">
        <v>1</v>
      </c>
    </row>
    <row r="4675" spans="6:8" x14ac:dyDescent="0.3">
      <c r="H4675" s="11">
        <v>1</v>
      </c>
    </row>
    <row r="4676" spans="6:8" x14ac:dyDescent="0.3">
      <c r="F4676" s="11">
        <v>4.9091670000000001</v>
      </c>
      <c r="G4676" s="11">
        <v>61.306111000000001</v>
      </c>
      <c r="H4676" s="11">
        <v>1</v>
      </c>
    </row>
    <row r="4677" spans="6:8" x14ac:dyDescent="0.3">
      <c r="F4677" s="11">
        <v>4.8724999999999996</v>
      </c>
      <c r="G4677" s="11">
        <v>61.367221999999998</v>
      </c>
      <c r="H4677" s="11">
        <v>1</v>
      </c>
    </row>
    <row r="4678" spans="6:8" x14ac:dyDescent="0.3">
      <c r="H4678" s="11">
        <v>1</v>
      </c>
    </row>
    <row r="4679" spans="6:8" x14ac:dyDescent="0.3">
      <c r="F4679" s="11">
        <v>5.0022219999999997</v>
      </c>
      <c r="G4679" s="11">
        <v>61.151111</v>
      </c>
      <c r="H4679" s="11">
        <v>1</v>
      </c>
    </row>
    <row r="4680" spans="6:8" x14ac:dyDescent="0.3">
      <c r="H4680" s="11">
        <v>1</v>
      </c>
    </row>
    <row r="4681" spans="6:8" x14ac:dyDescent="0.3">
      <c r="F4681" s="11">
        <v>4.7172219999999996</v>
      </c>
      <c r="G4681" s="11">
        <v>61.287222</v>
      </c>
      <c r="H4681" s="11">
        <v>1</v>
      </c>
    </row>
    <row r="4682" spans="6:8" x14ac:dyDescent="0.3">
      <c r="H4682" s="11">
        <v>1</v>
      </c>
    </row>
    <row r="4683" spans="6:8" x14ac:dyDescent="0.3">
      <c r="F4683" s="11">
        <v>4.983333</v>
      </c>
      <c r="G4683" s="11">
        <v>61.098889</v>
      </c>
      <c r="H4683" s="11">
        <v>1</v>
      </c>
    </row>
    <row r="4684" spans="6:8" x14ac:dyDescent="0.3">
      <c r="F4684" s="11">
        <v>4.8905560000000001</v>
      </c>
      <c r="G4684" s="11">
        <v>61.051389</v>
      </c>
      <c r="H4684" s="11">
        <v>1</v>
      </c>
    </row>
    <row r="4685" spans="6:8" x14ac:dyDescent="0.3">
      <c r="F4685" s="11">
        <v>4.8177779999999997</v>
      </c>
      <c r="G4685" s="11">
        <v>61.071666999999998</v>
      </c>
      <c r="H4685" s="11">
        <v>1</v>
      </c>
    </row>
    <row r="4686" spans="6:8" x14ac:dyDescent="0.3">
      <c r="F4686" s="11">
        <v>4.8013890000000004</v>
      </c>
      <c r="G4686" s="11">
        <v>61.105556</v>
      </c>
      <c r="H4686" s="11">
        <v>1</v>
      </c>
    </row>
    <row r="4687" spans="6:8" x14ac:dyDescent="0.3">
      <c r="F4687" s="11">
        <v>4.8363889999999996</v>
      </c>
      <c r="G4687" s="11">
        <v>61.147221999999999</v>
      </c>
      <c r="H4687" s="11">
        <v>1</v>
      </c>
    </row>
    <row r="4688" spans="6:8" x14ac:dyDescent="0.3">
      <c r="F4688" s="11">
        <v>4.8574999999999999</v>
      </c>
      <c r="G4688" s="11">
        <v>61.163333000000002</v>
      </c>
      <c r="H4688" s="11">
        <v>1</v>
      </c>
    </row>
    <row r="4689" spans="6:8" x14ac:dyDescent="0.3">
      <c r="F4689" s="11">
        <v>4.8827780000000001</v>
      </c>
      <c r="G4689" s="11">
        <v>61.157499999999999</v>
      </c>
      <c r="H4689" s="11">
        <v>1</v>
      </c>
    </row>
    <row r="4690" spans="6:8" x14ac:dyDescent="0.3">
      <c r="F4690" s="11">
        <v>4.9297219999999999</v>
      </c>
      <c r="G4690" s="11">
        <v>61.176110999999999</v>
      </c>
      <c r="H4690" s="11">
        <v>1</v>
      </c>
    </row>
    <row r="4691" spans="6:8" x14ac:dyDescent="0.3">
      <c r="H4691" s="11">
        <v>1</v>
      </c>
    </row>
    <row r="4692" spans="6:8" x14ac:dyDescent="0.3">
      <c r="F4692" s="11">
        <v>4.7316669999999998</v>
      </c>
      <c r="G4692" s="11">
        <v>61.059722000000001</v>
      </c>
      <c r="H4692" s="11">
        <v>1</v>
      </c>
    </row>
    <row r="4693" spans="6:8" x14ac:dyDescent="0.3">
      <c r="H4693" s="11">
        <v>1</v>
      </c>
    </row>
    <row r="4694" spans="6:8" x14ac:dyDescent="0.3">
      <c r="F4694" s="11">
        <v>4.719722</v>
      </c>
      <c r="G4694" s="11">
        <v>60.996667000000002</v>
      </c>
      <c r="H4694" s="11">
        <v>1</v>
      </c>
    </row>
    <row r="4695" spans="6:8" x14ac:dyDescent="0.3">
      <c r="F4695" s="11">
        <v>4.6375000000000002</v>
      </c>
      <c r="G4695" s="11">
        <v>61.003056000000001</v>
      </c>
      <c r="H4695" s="11">
        <v>1</v>
      </c>
    </row>
    <row r="4696" spans="6:8" x14ac:dyDescent="0.3">
      <c r="F4696" s="11">
        <v>4.6624999999999996</v>
      </c>
      <c r="G4696" s="11">
        <v>61.072221999999996</v>
      </c>
      <c r="H4696" s="11">
        <v>1</v>
      </c>
    </row>
    <row r="4697" spans="6:8" x14ac:dyDescent="0.3">
      <c r="H4697" s="11">
        <v>1</v>
      </c>
    </row>
    <row r="4698" spans="6:8" x14ac:dyDescent="0.3">
      <c r="F4698" s="11">
        <v>4.9452780000000001</v>
      </c>
      <c r="G4698" s="11">
        <v>60.971389000000002</v>
      </c>
      <c r="H4698" s="11">
        <v>1</v>
      </c>
    </row>
    <row r="4699" spans="6:8" x14ac:dyDescent="0.3">
      <c r="H4699" s="11">
        <v>1</v>
      </c>
    </row>
    <row r="4700" spans="6:8" x14ac:dyDescent="0.3">
      <c r="F4700" s="11">
        <v>4.994167</v>
      </c>
      <c r="G4700" s="11">
        <v>60.846111000000001</v>
      </c>
      <c r="H4700" s="11">
        <v>1</v>
      </c>
    </row>
    <row r="4701" spans="6:8" x14ac:dyDescent="0.3">
      <c r="F4701" s="11">
        <v>4.9375</v>
      </c>
      <c r="G4701" s="11">
        <v>60.914999999999999</v>
      </c>
      <c r="H4701" s="11">
        <v>1</v>
      </c>
    </row>
    <row r="4702" spans="6:8" x14ac:dyDescent="0.3">
      <c r="H4702" s="11">
        <v>1</v>
      </c>
    </row>
    <row r="4703" spans="6:8" x14ac:dyDescent="0.3">
      <c r="F4703" s="11">
        <v>5.6830559999999997</v>
      </c>
      <c r="G4703" s="11">
        <v>60.587221999999997</v>
      </c>
      <c r="H4703" s="11">
        <v>1</v>
      </c>
    </row>
    <row r="4704" spans="6:8" x14ac:dyDescent="0.3">
      <c r="F4704" s="11">
        <v>5.677778</v>
      </c>
      <c r="G4704" s="11">
        <v>60.490833000000002</v>
      </c>
      <c r="H4704" s="11">
        <v>1</v>
      </c>
    </row>
    <row r="4705" spans="6:8" x14ac:dyDescent="0.3">
      <c r="F4705" s="11">
        <v>5.5922219999999996</v>
      </c>
      <c r="G4705" s="11">
        <v>60.4375</v>
      </c>
      <c r="H4705" s="11">
        <v>1</v>
      </c>
    </row>
    <row r="4706" spans="6:8" x14ac:dyDescent="0.3">
      <c r="F4706" s="11">
        <v>5.4597220000000002</v>
      </c>
      <c r="G4706" s="11">
        <v>60.457777999999998</v>
      </c>
      <c r="H4706" s="11">
        <v>1</v>
      </c>
    </row>
    <row r="4707" spans="6:8" x14ac:dyDescent="0.3">
      <c r="F4707" s="11">
        <v>5.3733329999999997</v>
      </c>
      <c r="G4707" s="11">
        <v>60.516666999999998</v>
      </c>
      <c r="H4707" s="11">
        <v>1</v>
      </c>
    </row>
    <row r="4708" spans="6:8" x14ac:dyDescent="0.3">
      <c r="F4708" s="11">
        <v>5.4038890000000004</v>
      </c>
      <c r="G4708" s="11">
        <v>60.549166999999997</v>
      </c>
      <c r="H4708" s="11">
        <v>1</v>
      </c>
    </row>
    <row r="4709" spans="6:8" x14ac:dyDescent="0.3">
      <c r="F4709" s="11">
        <v>5.4977780000000003</v>
      </c>
      <c r="G4709" s="11">
        <v>60.601111000000003</v>
      </c>
      <c r="H4709" s="11">
        <v>1</v>
      </c>
    </row>
    <row r="4710" spans="6:8" x14ac:dyDescent="0.3">
      <c r="F4710" s="11">
        <v>5.5908329999999999</v>
      </c>
      <c r="G4710" s="11">
        <v>60.659166999999997</v>
      </c>
      <c r="H4710" s="11">
        <v>1</v>
      </c>
    </row>
    <row r="4711" spans="6:8" x14ac:dyDescent="0.3">
      <c r="F4711" s="11">
        <v>5.6891670000000003</v>
      </c>
      <c r="G4711" s="11">
        <v>60.674444000000001</v>
      </c>
      <c r="H4711" s="11">
        <v>1</v>
      </c>
    </row>
    <row r="4712" spans="6:8" x14ac:dyDescent="0.3">
      <c r="H4712" s="11">
        <v>1</v>
      </c>
    </row>
    <row r="4713" spans="6:8" x14ac:dyDescent="0.3">
      <c r="F4713" s="11">
        <v>4.862222</v>
      </c>
      <c r="G4713" s="11">
        <v>60.863056</v>
      </c>
      <c r="H4713" s="11">
        <v>1</v>
      </c>
    </row>
    <row r="4714" spans="6:8" x14ac:dyDescent="0.3">
      <c r="H4714" s="11">
        <v>1</v>
      </c>
    </row>
    <row r="4715" spans="6:8" x14ac:dyDescent="0.3">
      <c r="F4715" s="11">
        <v>4.8730560000000001</v>
      </c>
      <c r="G4715" s="11">
        <v>60.924999999999997</v>
      </c>
      <c r="H4715" s="11">
        <v>1</v>
      </c>
    </row>
    <row r="4716" spans="6:8" x14ac:dyDescent="0.3">
      <c r="H4716" s="11">
        <v>1</v>
      </c>
    </row>
    <row r="4717" spans="6:8" x14ac:dyDescent="0.3">
      <c r="F4717" s="11">
        <v>4.6677780000000002</v>
      </c>
      <c r="G4717" s="11">
        <v>60.772778000000002</v>
      </c>
      <c r="H4717" s="11">
        <v>1</v>
      </c>
    </row>
    <row r="4718" spans="6:8" x14ac:dyDescent="0.3">
      <c r="H4718" s="11">
        <v>1</v>
      </c>
    </row>
    <row r="4719" spans="6:8" x14ac:dyDescent="0.3">
      <c r="F4719" s="11">
        <v>4.9155559999999996</v>
      </c>
      <c r="G4719" s="11">
        <v>60.741943999999997</v>
      </c>
      <c r="H4719" s="11">
        <v>1</v>
      </c>
    </row>
    <row r="4720" spans="6:8" x14ac:dyDescent="0.3">
      <c r="F4720" s="11">
        <v>4.8547219999999998</v>
      </c>
      <c r="G4720" s="11">
        <v>60.783889000000002</v>
      </c>
      <c r="H4720" s="11">
        <v>1</v>
      </c>
    </row>
    <row r="4721" spans="6:8" x14ac:dyDescent="0.3">
      <c r="H4721" s="11">
        <v>1</v>
      </c>
    </row>
    <row r="4722" spans="6:8" x14ac:dyDescent="0.3">
      <c r="F4722" s="11">
        <v>5.0025000000000004</v>
      </c>
      <c r="G4722" s="11">
        <v>60.691667000000002</v>
      </c>
      <c r="H4722" s="11">
        <v>1</v>
      </c>
    </row>
    <row r="4723" spans="6:8" x14ac:dyDescent="0.3">
      <c r="F4723" s="11">
        <v>5.0930559999999998</v>
      </c>
      <c r="G4723" s="11">
        <v>60.633056000000003</v>
      </c>
      <c r="H4723" s="11">
        <v>1</v>
      </c>
    </row>
    <row r="4724" spans="6:8" x14ac:dyDescent="0.3">
      <c r="F4724" s="11">
        <v>5.1413890000000002</v>
      </c>
      <c r="G4724" s="11">
        <v>60.580556000000001</v>
      </c>
      <c r="H4724" s="11">
        <v>1</v>
      </c>
    </row>
    <row r="4725" spans="6:8" x14ac:dyDescent="0.3">
      <c r="F4725" s="11">
        <v>5.0175000000000001</v>
      </c>
      <c r="G4725" s="11">
        <v>60.617778000000001</v>
      </c>
      <c r="H4725" s="11">
        <v>1</v>
      </c>
    </row>
    <row r="4726" spans="6:8" x14ac:dyDescent="0.3">
      <c r="F4726" s="11">
        <v>4.916944</v>
      </c>
      <c r="G4726" s="11">
        <v>60.671666999999999</v>
      </c>
      <c r="H4726" s="11">
        <v>1</v>
      </c>
    </row>
    <row r="4727" spans="6:8" x14ac:dyDescent="0.3">
      <c r="F4727" s="11">
        <v>4.8680560000000002</v>
      </c>
      <c r="G4727" s="11">
        <v>60.725278000000003</v>
      </c>
      <c r="H4727" s="11">
        <v>1</v>
      </c>
    </row>
    <row r="4728" spans="6:8" x14ac:dyDescent="0.3">
      <c r="H4728" s="11">
        <v>1</v>
      </c>
    </row>
    <row r="4729" spans="6:8" x14ac:dyDescent="0.3">
      <c r="F4729" s="11">
        <v>4.8769439999999999</v>
      </c>
      <c r="G4729" s="11">
        <v>60.662500000000001</v>
      </c>
      <c r="H4729" s="11">
        <v>1</v>
      </c>
    </row>
    <row r="4730" spans="6:8" x14ac:dyDescent="0.3">
      <c r="H4730" s="11">
        <v>1</v>
      </c>
    </row>
    <row r="4731" spans="6:8" x14ac:dyDescent="0.3">
      <c r="F4731" s="11">
        <v>4.7633330000000003</v>
      </c>
      <c r="G4731" s="11">
        <v>60.589167000000003</v>
      </c>
      <c r="H4731" s="11">
        <v>1</v>
      </c>
    </row>
    <row r="4732" spans="6:8" x14ac:dyDescent="0.3">
      <c r="H4732" s="11">
        <v>1</v>
      </c>
    </row>
    <row r="4733" spans="6:8" x14ac:dyDescent="0.3">
      <c r="F4733" s="11">
        <v>4.835</v>
      </c>
      <c r="G4733" s="11">
        <v>60.546111000000003</v>
      </c>
      <c r="H4733" s="11">
        <v>1</v>
      </c>
    </row>
    <row r="4734" spans="6:8" x14ac:dyDescent="0.3">
      <c r="H4734" s="11">
        <v>1</v>
      </c>
    </row>
    <row r="4735" spans="6:8" x14ac:dyDescent="0.3">
      <c r="F4735" s="11">
        <v>5.0911109999999997</v>
      </c>
      <c r="G4735" s="11">
        <v>60.584167000000001</v>
      </c>
      <c r="H4735" s="11">
        <v>1</v>
      </c>
    </row>
    <row r="4736" spans="6:8" x14ac:dyDescent="0.3">
      <c r="F4736" s="11">
        <v>5.1969440000000002</v>
      </c>
      <c r="G4736" s="11">
        <v>60.532778</v>
      </c>
      <c r="H4736" s="11">
        <v>1</v>
      </c>
    </row>
    <row r="4737" spans="6:8" x14ac:dyDescent="0.3">
      <c r="F4737" s="11">
        <v>5.101667</v>
      </c>
      <c r="G4737" s="11">
        <v>60.533056000000002</v>
      </c>
      <c r="H4737" s="11">
        <v>1</v>
      </c>
    </row>
    <row r="4738" spans="6:8" x14ac:dyDescent="0.3">
      <c r="F4738" s="11">
        <v>4.9769439999999996</v>
      </c>
      <c r="G4738" s="11">
        <v>60.576388999999999</v>
      </c>
      <c r="H4738" s="11">
        <v>1</v>
      </c>
    </row>
    <row r="4739" spans="6:8" x14ac:dyDescent="0.3">
      <c r="H4739" s="11">
        <v>1</v>
      </c>
    </row>
    <row r="4740" spans="6:8" x14ac:dyDescent="0.3">
      <c r="F4740" s="11">
        <v>4.914167</v>
      </c>
      <c r="G4740" s="11">
        <v>60.489167000000002</v>
      </c>
      <c r="H4740" s="11">
        <v>1</v>
      </c>
    </row>
    <row r="4741" spans="6:8" x14ac:dyDescent="0.3">
      <c r="H4741" s="11">
        <v>1</v>
      </c>
    </row>
    <row r="4742" spans="6:8" x14ac:dyDescent="0.3">
      <c r="F4742" s="11">
        <v>5.056667</v>
      </c>
      <c r="G4742" s="11">
        <v>60.357500000000002</v>
      </c>
      <c r="H4742" s="11">
        <v>1</v>
      </c>
    </row>
    <row r="4743" spans="6:8" x14ac:dyDescent="0.3">
      <c r="F4743" s="11">
        <v>5.0975000000000001</v>
      </c>
      <c r="G4743" s="11">
        <v>60.279167000000001</v>
      </c>
      <c r="H4743" s="11">
        <v>1</v>
      </c>
    </row>
    <row r="4744" spans="6:8" x14ac:dyDescent="0.3">
      <c r="F4744" s="11">
        <v>5.1008329999999997</v>
      </c>
      <c r="G4744" s="11">
        <v>60.244444000000001</v>
      </c>
      <c r="H4744" s="11">
        <v>1</v>
      </c>
    </row>
    <row r="4745" spans="6:8" x14ac:dyDescent="0.3">
      <c r="F4745" s="11">
        <v>5.0636109999999999</v>
      </c>
      <c r="G4745" s="11">
        <v>60.184722000000001</v>
      </c>
      <c r="H4745" s="11">
        <v>1</v>
      </c>
    </row>
    <row r="4746" spans="6:8" x14ac:dyDescent="0.3">
      <c r="F4746" s="11">
        <v>5.0216669999999999</v>
      </c>
      <c r="G4746" s="11">
        <v>60.221111000000001</v>
      </c>
      <c r="H4746" s="11">
        <v>1</v>
      </c>
    </row>
    <row r="4747" spans="6:8" x14ac:dyDescent="0.3">
      <c r="F4747" s="11">
        <v>4.9386109999999999</v>
      </c>
      <c r="G4747" s="11">
        <v>60.271943999999998</v>
      </c>
      <c r="H4747" s="11">
        <v>1</v>
      </c>
    </row>
    <row r="4748" spans="6:8" x14ac:dyDescent="0.3">
      <c r="F4748" s="11">
        <v>5.0272220000000001</v>
      </c>
      <c r="G4748" s="11">
        <v>60.287778000000003</v>
      </c>
      <c r="H4748" s="11">
        <v>1</v>
      </c>
    </row>
    <row r="4749" spans="6:8" x14ac:dyDescent="0.3">
      <c r="F4749" s="11">
        <v>4.9691669999999997</v>
      </c>
      <c r="G4749" s="11">
        <v>60.336944000000003</v>
      </c>
      <c r="H4749" s="11">
        <v>1</v>
      </c>
    </row>
    <row r="4750" spans="6:8" x14ac:dyDescent="0.3">
      <c r="F4750" s="11">
        <v>4.943333</v>
      </c>
      <c r="G4750" s="11">
        <v>60.415832999999999</v>
      </c>
      <c r="H4750" s="11">
        <v>1</v>
      </c>
    </row>
    <row r="4751" spans="6:8" x14ac:dyDescent="0.3">
      <c r="H4751" s="11">
        <v>1</v>
      </c>
    </row>
    <row r="4752" spans="6:8" x14ac:dyDescent="0.3">
      <c r="F4752" s="11">
        <v>5.0338890000000003</v>
      </c>
      <c r="G4752" s="11">
        <v>60.196666999999998</v>
      </c>
      <c r="H4752" s="11">
        <v>1</v>
      </c>
    </row>
    <row r="4753" spans="6:8" x14ac:dyDescent="0.3">
      <c r="H4753" s="11">
        <v>1</v>
      </c>
    </row>
    <row r="4754" spans="6:8" x14ac:dyDescent="0.3">
      <c r="F4754" s="11">
        <v>5.0891669999999998</v>
      </c>
      <c r="G4754" s="11">
        <v>60.130555999999999</v>
      </c>
      <c r="H4754" s="11">
        <v>1</v>
      </c>
    </row>
    <row r="4755" spans="6:8" x14ac:dyDescent="0.3">
      <c r="H4755" s="11">
        <v>1</v>
      </c>
    </row>
    <row r="4756" spans="6:8" x14ac:dyDescent="0.3">
      <c r="F4756" s="11">
        <v>5.2633330000000003</v>
      </c>
      <c r="G4756" s="11">
        <v>60.055833</v>
      </c>
      <c r="H4756" s="11">
        <v>1</v>
      </c>
    </row>
    <row r="4757" spans="6:8" x14ac:dyDescent="0.3">
      <c r="F4757" s="11">
        <v>5.2230559999999997</v>
      </c>
      <c r="G4757" s="11">
        <v>60.011944</v>
      </c>
      <c r="H4757" s="11">
        <v>1</v>
      </c>
    </row>
    <row r="4758" spans="6:8" x14ac:dyDescent="0.3">
      <c r="F4758" s="11">
        <v>5.1627780000000003</v>
      </c>
      <c r="G4758" s="11">
        <v>60.074167000000003</v>
      </c>
      <c r="H4758" s="11">
        <v>1</v>
      </c>
    </row>
    <row r="4759" spans="6:8" x14ac:dyDescent="0.3">
      <c r="F4759" s="11">
        <v>5.1938890000000004</v>
      </c>
      <c r="G4759" s="11">
        <v>60.068888999999999</v>
      </c>
      <c r="H4759" s="11">
        <v>1</v>
      </c>
    </row>
    <row r="4760" spans="6:8" x14ac:dyDescent="0.3">
      <c r="H4760" s="11">
        <v>1</v>
      </c>
    </row>
    <row r="4761" spans="6:8" x14ac:dyDescent="0.3">
      <c r="F4761" s="11">
        <v>5.0247219999999997</v>
      </c>
      <c r="G4761" s="11">
        <v>60.007778000000002</v>
      </c>
      <c r="H4761" s="11">
        <v>1</v>
      </c>
    </row>
    <row r="4762" spans="6:8" x14ac:dyDescent="0.3">
      <c r="H4762" s="11">
        <v>1</v>
      </c>
    </row>
    <row r="4763" spans="6:8" x14ac:dyDescent="0.3">
      <c r="F4763" s="11">
        <v>5.0991669999999996</v>
      </c>
      <c r="G4763" s="11">
        <v>59.969166999999999</v>
      </c>
      <c r="H4763" s="11">
        <v>1</v>
      </c>
    </row>
    <row r="4764" spans="6:8" x14ac:dyDescent="0.3">
      <c r="F4764" s="11">
        <v>5.1425000000000001</v>
      </c>
      <c r="G4764" s="11">
        <v>60.019444</v>
      </c>
      <c r="H4764" s="11">
        <v>1</v>
      </c>
    </row>
    <row r="4765" spans="6:8" x14ac:dyDescent="0.3">
      <c r="H4765" s="11">
        <v>1</v>
      </c>
    </row>
    <row r="4766" spans="6:8" x14ac:dyDescent="0.3">
      <c r="F4766" s="11">
        <v>5.2452779999999999</v>
      </c>
      <c r="G4766" s="11">
        <v>59.953611000000002</v>
      </c>
      <c r="H4766" s="11">
        <v>1</v>
      </c>
    </row>
    <row r="4767" spans="6:8" x14ac:dyDescent="0.3">
      <c r="H4767" s="11">
        <v>1</v>
      </c>
    </row>
    <row r="4768" spans="6:8" x14ac:dyDescent="0.3">
      <c r="F4768" s="11">
        <v>5.0930559999999998</v>
      </c>
      <c r="G4768" s="11">
        <v>60.509721999999996</v>
      </c>
      <c r="H4768" s="11">
        <v>1</v>
      </c>
    </row>
    <row r="4769" spans="6:8" x14ac:dyDescent="0.3">
      <c r="F4769" s="11">
        <v>5.2016669999999996</v>
      </c>
      <c r="G4769" s="11">
        <v>60.459721999999999</v>
      </c>
      <c r="H4769" s="11">
        <v>1</v>
      </c>
    </row>
    <row r="4770" spans="6:8" x14ac:dyDescent="0.3">
      <c r="F4770" s="11">
        <v>5.138611</v>
      </c>
      <c r="G4770" s="11">
        <v>60.396110999999998</v>
      </c>
      <c r="H4770" s="11">
        <v>1</v>
      </c>
    </row>
    <row r="4771" spans="6:8" x14ac:dyDescent="0.3">
      <c r="F4771" s="11">
        <v>5.0808330000000002</v>
      </c>
      <c r="G4771" s="11">
        <v>60.449444</v>
      </c>
      <c r="H4771" s="11">
        <v>1</v>
      </c>
    </row>
    <row r="4772" spans="6:8" x14ac:dyDescent="0.3">
      <c r="F4772" s="11">
        <v>5.0266669999999998</v>
      </c>
      <c r="G4772" s="11">
        <v>60.496389000000001</v>
      </c>
      <c r="H4772" s="11">
        <v>1</v>
      </c>
    </row>
    <row r="4773" spans="6:8" x14ac:dyDescent="0.3">
      <c r="F4773" s="11">
        <v>4.9588890000000001</v>
      </c>
      <c r="G4773" s="11">
        <v>60.554443999999997</v>
      </c>
      <c r="H4773" s="11">
        <v>1</v>
      </c>
    </row>
    <row r="4774" spans="6:8" x14ac:dyDescent="0.3">
      <c r="H4774" s="11">
        <v>1</v>
      </c>
    </row>
    <row r="4775" spans="6:8" x14ac:dyDescent="0.3">
      <c r="F4775" s="11">
        <v>5.1052780000000002</v>
      </c>
      <c r="G4775" s="11">
        <v>60.336666999999998</v>
      </c>
      <c r="H4775" s="11">
        <v>1</v>
      </c>
    </row>
    <row r="4776" spans="6:8" x14ac:dyDescent="0.3">
      <c r="H4776" s="11">
        <v>1</v>
      </c>
    </row>
    <row r="4777" spans="6:8" x14ac:dyDescent="0.3">
      <c r="F4777" s="11">
        <v>6.1516669999999998</v>
      </c>
      <c r="G4777" s="11">
        <v>62.467778000000003</v>
      </c>
      <c r="H4777" s="11">
        <v>1</v>
      </c>
    </row>
    <row r="4778" spans="6:8" x14ac:dyDescent="0.3">
      <c r="H4778" s="11">
        <v>1</v>
      </c>
    </row>
    <row r="4779" spans="6:8" x14ac:dyDescent="0.3">
      <c r="F4779" s="11">
        <v>5.3969440000000004</v>
      </c>
      <c r="G4779" s="11">
        <v>60.015000000000001</v>
      </c>
      <c r="H4779" s="11">
        <v>1</v>
      </c>
    </row>
    <row r="4780" spans="6:8" x14ac:dyDescent="0.3">
      <c r="F4780" s="11">
        <v>5.3402779999999996</v>
      </c>
      <c r="G4780" s="11">
        <v>60.049722000000003</v>
      </c>
      <c r="H4780" s="11">
        <v>1</v>
      </c>
    </row>
    <row r="4781" spans="6:8" x14ac:dyDescent="0.3">
      <c r="H4781" s="11">
        <v>1</v>
      </c>
    </row>
    <row r="4782" spans="6:8" x14ac:dyDescent="0.3">
      <c r="F4782" s="11">
        <v>5.6408329999999998</v>
      </c>
      <c r="G4782" s="11">
        <v>59.982778000000003</v>
      </c>
      <c r="H4782" s="11">
        <v>1</v>
      </c>
    </row>
    <row r="4783" spans="6:8" x14ac:dyDescent="0.3">
      <c r="F4783" s="11">
        <v>5.6355560000000002</v>
      </c>
      <c r="G4783" s="11">
        <v>59.918056</v>
      </c>
      <c r="H4783" s="11">
        <v>1</v>
      </c>
    </row>
    <row r="4784" spans="6:8" x14ac:dyDescent="0.3">
      <c r="F4784" s="11">
        <v>5.5522220000000004</v>
      </c>
      <c r="G4784" s="11">
        <v>59.907499999999999</v>
      </c>
      <c r="H4784" s="11">
        <v>1</v>
      </c>
    </row>
    <row r="4785" spans="6:8" x14ac:dyDescent="0.3">
      <c r="F4785" s="11">
        <v>5.4838889999999996</v>
      </c>
      <c r="G4785" s="11">
        <v>59.945833</v>
      </c>
      <c r="H4785" s="11">
        <v>1</v>
      </c>
    </row>
    <row r="4786" spans="6:8" x14ac:dyDescent="0.3">
      <c r="F4786" s="11">
        <v>5.387778</v>
      </c>
      <c r="G4786" s="11">
        <v>59.967778000000003</v>
      </c>
      <c r="H4786" s="11">
        <v>1</v>
      </c>
    </row>
    <row r="4787" spans="6:8" x14ac:dyDescent="0.3">
      <c r="F4787" s="11">
        <v>5.4494439999999997</v>
      </c>
      <c r="G4787" s="11">
        <v>59.998888999999998</v>
      </c>
      <c r="H4787" s="11">
        <v>1</v>
      </c>
    </row>
    <row r="4788" spans="6:8" x14ac:dyDescent="0.3">
      <c r="F4788" s="11">
        <v>5.5061109999999998</v>
      </c>
      <c r="G4788" s="11">
        <v>60.055556000000003</v>
      </c>
      <c r="H4788" s="11">
        <v>1</v>
      </c>
    </row>
    <row r="4789" spans="6:8" x14ac:dyDescent="0.3">
      <c r="F4789" s="11">
        <v>5.6580560000000002</v>
      </c>
      <c r="G4789" s="11">
        <v>60.075277999999997</v>
      </c>
      <c r="H4789" s="11">
        <v>1</v>
      </c>
    </row>
    <row r="4790" spans="6:8" x14ac:dyDescent="0.3">
      <c r="H4790" s="11">
        <v>1</v>
      </c>
    </row>
    <row r="4791" spans="6:8" x14ac:dyDescent="0.3">
      <c r="F4791" s="11">
        <v>5.9988890000000001</v>
      </c>
      <c r="G4791" s="11">
        <v>60.101666999999999</v>
      </c>
      <c r="H4791" s="11">
        <v>1</v>
      </c>
    </row>
    <row r="4792" spans="6:8" x14ac:dyDescent="0.3">
      <c r="F4792" s="11">
        <v>5.915</v>
      </c>
      <c r="G4792" s="11">
        <v>60.106943999999999</v>
      </c>
      <c r="H4792" s="11">
        <v>1</v>
      </c>
    </row>
    <row r="4793" spans="6:8" x14ac:dyDescent="0.3">
      <c r="H4793" s="11">
        <v>1</v>
      </c>
    </row>
    <row r="4794" spans="6:8" x14ac:dyDescent="0.3">
      <c r="F4794" s="11">
        <v>5.82</v>
      </c>
      <c r="G4794" s="11">
        <v>59.952778000000002</v>
      </c>
      <c r="H4794" s="11">
        <v>1</v>
      </c>
    </row>
    <row r="4795" spans="6:8" x14ac:dyDescent="0.3">
      <c r="H4795" s="11">
        <v>1</v>
      </c>
    </row>
    <row r="4796" spans="6:8" x14ac:dyDescent="0.3">
      <c r="F4796" s="11">
        <v>5.588889</v>
      </c>
      <c r="G4796" s="11">
        <v>59.902500000000003</v>
      </c>
      <c r="H4796" s="11">
        <v>1</v>
      </c>
    </row>
    <row r="4797" spans="6:8" x14ac:dyDescent="0.3">
      <c r="H4797" s="11">
        <v>1</v>
      </c>
    </row>
    <row r="4798" spans="6:8" x14ac:dyDescent="0.3">
      <c r="F4798" s="11">
        <v>5.7630559999999997</v>
      </c>
      <c r="G4798" s="11">
        <v>59.754167000000002</v>
      </c>
      <c r="H4798" s="11">
        <v>1</v>
      </c>
    </row>
    <row r="4799" spans="6:8" x14ac:dyDescent="0.3">
      <c r="F4799" s="11">
        <v>5.706944</v>
      </c>
      <c r="G4799" s="11">
        <v>59.754167000000002</v>
      </c>
      <c r="H4799" s="11">
        <v>1</v>
      </c>
    </row>
    <row r="4800" spans="6:8" x14ac:dyDescent="0.3">
      <c r="F4800" s="11">
        <v>5.6116669999999997</v>
      </c>
      <c r="G4800" s="11">
        <v>59.794722</v>
      </c>
      <c r="H4800" s="11">
        <v>1</v>
      </c>
    </row>
    <row r="4801" spans="6:8" x14ac:dyDescent="0.3">
      <c r="F4801" s="11">
        <v>5.6863890000000001</v>
      </c>
      <c r="G4801" s="11">
        <v>59.804167</v>
      </c>
      <c r="H4801" s="11">
        <v>1</v>
      </c>
    </row>
    <row r="4802" spans="6:8" x14ac:dyDescent="0.3">
      <c r="H4802" s="11">
        <v>1</v>
      </c>
    </row>
    <row r="4803" spans="6:8" x14ac:dyDescent="0.3">
      <c r="F4803" s="11">
        <v>5.6255559999999996</v>
      </c>
      <c r="G4803" s="11">
        <v>59.711111000000002</v>
      </c>
      <c r="H4803" s="11">
        <v>1</v>
      </c>
    </row>
    <row r="4804" spans="6:8" x14ac:dyDescent="0.3">
      <c r="H4804" s="11">
        <v>1</v>
      </c>
    </row>
    <row r="4805" spans="6:8" x14ac:dyDescent="0.3">
      <c r="F4805" s="11">
        <v>5.5355559999999997</v>
      </c>
      <c r="G4805" s="11">
        <v>59.836111000000002</v>
      </c>
      <c r="H4805" s="11">
        <v>1</v>
      </c>
    </row>
    <row r="4806" spans="6:8" x14ac:dyDescent="0.3">
      <c r="H4806" s="11">
        <v>1</v>
      </c>
    </row>
    <row r="4807" spans="6:8" x14ac:dyDescent="0.3">
      <c r="F4807" s="11">
        <v>5.3247220000000004</v>
      </c>
      <c r="G4807" s="11">
        <v>59.321389000000003</v>
      </c>
      <c r="H4807" s="11">
        <v>1</v>
      </c>
    </row>
    <row r="4808" spans="6:8" x14ac:dyDescent="0.3">
      <c r="H4808" s="11">
        <v>1</v>
      </c>
    </row>
    <row r="4809" spans="6:8" x14ac:dyDescent="0.3">
      <c r="F4809" s="11">
        <v>6.0030559999999999</v>
      </c>
      <c r="G4809" s="11">
        <v>59.236111000000001</v>
      </c>
      <c r="H4809" s="11">
        <v>1</v>
      </c>
    </row>
    <row r="4810" spans="6:8" x14ac:dyDescent="0.3">
      <c r="F4810" s="11">
        <v>5.9033329999999999</v>
      </c>
      <c r="G4810" s="11">
        <v>59.263055999999999</v>
      </c>
      <c r="H4810" s="11">
        <v>1</v>
      </c>
    </row>
    <row r="4811" spans="6:8" x14ac:dyDescent="0.3">
      <c r="F4811" s="11">
        <v>6.0291670000000002</v>
      </c>
      <c r="G4811" s="11">
        <v>59.286389</v>
      </c>
      <c r="H4811" s="11">
        <v>1</v>
      </c>
    </row>
    <row r="4812" spans="6:8" x14ac:dyDescent="0.3">
      <c r="H4812" s="11">
        <v>1</v>
      </c>
    </row>
    <row r="4813" spans="6:8" x14ac:dyDescent="0.3">
      <c r="F4813" s="11">
        <v>5.9791670000000003</v>
      </c>
      <c r="G4813" s="11">
        <v>59.193333000000003</v>
      </c>
      <c r="H4813" s="11">
        <v>1</v>
      </c>
    </row>
    <row r="4814" spans="6:8" x14ac:dyDescent="0.3">
      <c r="H4814" s="11">
        <v>1</v>
      </c>
    </row>
    <row r="4815" spans="6:8" x14ac:dyDescent="0.3">
      <c r="F4815" s="11">
        <v>5.9233330000000004</v>
      </c>
      <c r="G4815" s="11">
        <v>59.2</v>
      </c>
      <c r="H4815" s="11">
        <v>1</v>
      </c>
    </row>
    <row r="4816" spans="6:8" x14ac:dyDescent="0.3">
      <c r="H4816" s="11">
        <v>1</v>
      </c>
    </row>
    <row r="4817" spans="6:8" x14ac:dyDescent="0.3">
      <c r="F4817" s="11">
        <v>5.8525</v>
      </c>
      <c r="G4817" s="11">
        <v>59.127499999999998</v>
      </c>
      <c r="H4817" s="11">
        <v>1</v>
      </c>
    </row>
    <row r="4818" spans="6:8" x14ac:dyDescent="0.3">
      <c r="H4818" s="11">
        <v>1</v>
      </c>
    </row>
    <row r="4819" spans="6:8" x14ac:dyDescent="0.3">
      <c r="F4819" s="11">
        <v>5.1833330000000002</v>
      </c>
      <c r="G4819" s="11">
        <v>59.891388999999997</v>
      </c>
      <c r="H4819" s="11">
        <v>1</v>
      </c>
    </row>
    <row r="4820" spans="6:8" x14ac:dyDescent="0.3">
      <c r="H4820" s="11">
        <v>1</v>
      </c>
    </row>
    <row r="4821" spans="6:8" x14ac:dyDescent="0.3">
      <c r="F4821" s="11">
        <v>5.0244439999999999</v>
      </c>
      <c r="G4821" s="11">
        <v>59.852221999999998</v>
      </c>
      <c r="H4821" s="11">
        <v>1</v>
      </c>
    </row>
    <row r="4822" spans="6:8" x14ac:dyDescent="0.3">
      <c r="H4822" s="11">
        <v>1</v>
      </c>
    </row>
    <row r="4823" spans="6:8" x14ac:dyDescent="0.3">
      <c r="F4823" s="11">
        <v>5.4458330000000004</v>
      </c>
      <c r="G4823" s="11">
        <v>59.916389000000002</v>
      </c>
      <c r="H4823" s="11">
        <v>1</v>
      </c>
    </row>
    <row r="4824" spans="6:8" x14ac:dyDescent="0.3">
      <c r="F4824" s="11">
        <v>5.4933329999999998</v>
      </c>
      <c r="G4824" s="11">
        <v>59.838332999999999</v>
      </c>
      <c r="H4824" s="11">
        <v>1</v>
      </c>
    </row>
    <row r="4825" spans="6:8" x14ac:dyDescent="0.3">
      <c r="F4825" s="11">
        <v>5.4424999999999999</v>
      </c>
      <c r="G4825" s="11">
        <v>59.764167</v>
      </c>
      <c r="H4825" s="11">
        <v>1</v>
      </c>
    </row>
    <row r="4826" spans="6:8" x14ac:dyDescent="0.3">
      <c r="F4826" s="11">
        <v>5.4033329999999999</v>
      </c>
      <c r="G4826" s="11">
        <v>59.771110999999998</v>
      </c>
      <c r="H4826" s="11">
        <v>1</v>
      </c>
    </row>
    <row r="4827" spans="6:8" x14ac:dyDescent="0.3">
      <c r="F4827" s="11">
        <v>5.3052780000000004</v>
      </c>
      <c r="G4827" s="11">
        <v>59.793056</v>
      </c>
      <c r="H4827" s="11">
        <v>1</v>
      </c>
    </row>
    <row r="4828" spans="6:8" x14ac:dyDescent="0.3">
      <c r="F4828" s="11">
        <v>5.2586110000000001</v>
      </c>
      <c r="G4828" s="11">
        <v>59.870832999999998</v>
      </c>
      <c r="H4828" s="11">
        <v>1</v>
      </c>
    </row>
    <row r="4829" spans="6:8" x14ac:dyDescent="0.3">
      <c r="F4829" s="11">
        <v>5.2980559999999999</v>
      </c>
      <c r="G4829" s="11">
        <v>59.941110999999999</v>
      </c>
      <c r="H4829" s="11">
        <v>1</v>
      </c>
    </row>
    <row r="4830" spans="6:8" x14ac:dyDescent="0.3">
      <c r="F4830" s="11">
        <v>5.3449999999999998</v>
      </c>
      <c r="G4830" s="11">
        <v>59.962221999999997</v>
      </c>
      <c r="H4830" s="11">
        <v>1</v>
      </c>
    </row>
    <row r="4831" spans="6:8" x14ac:dyDescent="0.3">
      <c r="H4831" s="11">
        <v>1</v>
      </c>
    </row>
    <row r="4832" spans="6:8" x14ac:dyDescent="0.3">
      <c r="F4832" s="11">
        <v>5.2230559999999997</v>
      </c>
      <c r="G4832" s="11">
        <v>59.810277999999997</v>
      </c>
      <c r="H4832" s="11">
        <v>1</v>
      </c>
    </row>
    <row r="4833" spans="6:8" x14ac:dyDescent="0.3">
      <c r="F4833" s="11">
        <v>5.3091670000000004</v>
      </c>
      <c r="G4833" s="11">
        <v>59.753610999999999</v>
      </c>
      <c r="H4833" s="11">
        <v>1</v>
      </c>
    </row>
    <row r="4834" spans="6:8" x14ac:dyDescent="0.3">
      <c r="F4834" s="11">
        <v>5.3113890000000001</v>
      </c>
      <c r="G4834" s="11">
        <v>59.686943999999997</v>
      </c>
      <c r="H4834" s="11">
        <v>1</v>
      </c>
    </row>
    <row r="4835" spans="6:8" x14ac:dyDescent="0.3">
      <c r="F4835" s="11">
        <v>5.2975000000000003</v>
      </c>
      <c r="G4835" s="11">
        <v>59.721666999999997</v>
      </c>
      <c r="H4835" s="11">
        <v>1</v>
      </c>
    </row>
    <row r="4836" spans="6:8" x14ac:dyDescent="0.3">
      <c r="F4836" s="11">
        <v>5.233333</v>
      </c>
      <c r="G4836" s="11">
        <v>59.743333</v>
      </c>
      <c r="H4836" s="11">
        <v>1</v>
      </c>
    </row>
    <row r="4837" spans="6:8" x14ac:dyDescent="0.3">
      <c r="F4837" s="11">
        <v>5.1825000000000001</v>
      </c>
      <c r="G4837" s="11">
        <v>59.696666999999998</v>
      </c>
      <c r="H4837" s="11">
        <v>1</v>
      </c>
    </row>
    <row r="4838" spans="6:8" x14ac:dyDescent="0.3">
      <c r="F4838" s="11">
        <v>5.1905559999999999</v>
      </c>
      <c r="G4838" s="11">
        <v>59.673889000000003</v>
      </c>
      <c r="H4838" s="11">
        <v>1</v>
      </c>
    </row>
    <row r="4839" spans="6:8" x14ac:dyDescent="0.3">
      <c r="F4839" s="11">
        <v>5.1994439999999997</v>
      </c>
      <c r="G4839" s="11">
        <v>59.607778000000003</v>
      </c>
      <c r="H4839" s="11">
        <v>1</v>
      </c>
    </row>
    <row r="4840" spans="6:8" x14ac:dyDescent="0.3">
      <c r="F4840" s="11">
        <v>5.1266670000000003</v>
      </c>
      <c r="G4840" s="11">
        <v>59.617221999999998</v>
      </c>
      <c r="H4840" s="11">
        <v>1</v>
      </c>
    </row>
    <row r="4841" spans="6:8" x14ac:dyDescent="0.3">
      <c r="F4841" s="11">
        <v>5.1236110000000004</v>
      </c>
      <c r="G4841" s="11">
        <v>59.694167</v>
      </c>
      <c r="H4841" s="11">
        <v>1</v>
      </c>
    </row>
    <row r="4842" spans="6:8" x14ac:dyDescent="0.3">
      <c r="F4842" s="11">
        <v>5.1730559999999999</v>
      </c>
      <c r="G4842" s="11">
        <v>59.758889000000003</v>
      </c>
      <c r="H4842" s="11">
        <v>1</v>
      </c>
    </row>
    <row r="4843" spans="6:8" x14ac:dyDescent="0.3">
      <c r="F4843" s="11">
        <v>5.076111</v>
      </c>
      <c r="G4843" s="11">
        <v>59.763333000000003</v>
      </c>
      <c r="H4843" s="11">
        <v>1</v>
      </c>
    </row>
    <row r="4844" spans="6:8" x14ac:dyDescent="0.3">
      <c r="F4844" s="11">
        <v>5.1180560000000002</v>
      </c>
      <c r="G4844" s="11">
        <v>59.818888999999999</v>
      </c>
      <c r="H4844" s="11">
        <v>1</v>
      </c>
    </row>
    <row r="4845" spans="6:8" x14ac:dyDescent="0.3">
      <c r="F4845" s="11">
        <v>5.1188890000000002</v>
      </c>
      <c r="G4845" s="11">
        <v>59.872500000000002</v>
      </c>
      <c r="H4845" s="11">
        <v>1</v>
      </c>
    </row>
    <row r="4846" spans="6:8" x14ac:dyDescent="0.3">
      <c r="H4846" s="11">
        <v>1</v>
      </c>
    </row>
    <row r="4847" spans="6:8" x14ac:dyDescent="0.3">
      <c r="F4847" s="11">
        <v>5.2586110000000001</v>
      </c>
      <c r="G4847" s="11">
        <v>59.341667000000001</v>
      </c>
      <c r="H4847" s="11">
        <v>1</v>
      </c>
    </row>
    <row r="4848" spans="6:8" x14ac:dyDescent="0.3">
      <c r="F4848" s="11">
        <v>5.2913889999999997</v>
      </c>
      <c r="G4848" s="11">
        <v>59.269722000000002</v>
      </c>
      <c r="H4848" s="11">
        <v>1</v>
      </c>
    </row>
    <row r="4849" spans="6:8" x14ac:dyDescent="0.3">
      <c r="F4849" s="11">
        <v>5.2688889999999997</v>
      </c>
      <c r="G4849" s="11">
        <v>59.178610999999997</v>
      </c>
      <c r="H4849" s="11">
        <v>1</v>
      </c>
    </row>
    <row r="4850" spans="6:8" x14ac:dyDescent="0.3">
      <c r="F4850" s="11">
        <v>5.1605559999999997</v>
      </c>
      <c r="G4850" s="11">
        <v>59.142778</v>
      </c>
      <c r="H4850" s="11">
        <v>1</v>
      </c>
    </row>
    <row r="4851" spans="6:8" x14ac:dyDescent="0.3">
      <c r="F4851" s="11">
        <v>5.1336110000000001</v>
      </c>
      <c r="G4851" s="11">
        <v>59.226944000000003</v>
      </c>
      <c r="H4851" s="11">
        <v>1</v>
      </c>
    </row>
    <row r="4852" spans="6:8" x14ac:dyDescent="0.3">
      <c r="F4852" s="11">
        <v>5.1983329999999999</v>
      </c>
      <c r="G4852" s="11">
        <v>59.287222</v>
      </c>
      <c r="H4852" s="11">
        <v>1</v>
      </c>
    </row>
    <row r="4853" spans="6:8" x14ac:dyDescent="0.3">
      <c r="F4853" s="11">
        <v>5.1702779999999997</v>
      </c>
      <c r="G4853" s="11">
        <v>59.333610999999998</v>
      </c>
      <c r="H4853" s="11">
        <v>1</v>
      </c>
    </row>
    <row r="4854" spans="6:8" x14ac:dyDescent="0.3">
      <c r="F4854" s="11">
        <v>5.1775000000000002</v>
      </c>
      <c r="G4854" s="11">
        <v>59.401111</v>
      </c>
      <c r="H4854" s="11">
        <v>1</v>
      </c>
    </row>
    <row r="4855" spans="6:8" x14ac:dyDescent="0.3">
      <c r="H4855" s="11">
        <v>1</v>
      </c>
    </row>
    <row r="4856" spans="6:8" x14ac:dyDescent="0.3">
      <c r="F4856" s="11">
        <v>5.4191669999999998</v>
      </c>
      <c r="G4856" s="11">
        <v>59.176389</v>
      </c>
      <c r="H4856" s="11">
        <v>1</v>
      </c>
    </row>
    <row r="4857" spans="6:8" x14ac:dyDescent="0.3">
      <c r="F4857" s="11">
        <v>5.3430559999999998</v>
      </c>
      <c r="G4857" s="11">
        <v>59.182777999999999</v>
      </c>
      <c r="H4857" s="11">
        <v>1</v>
      </c>
    </row>
    <row r="4858" spans="6:8" x14ac:dyDescent="0.3">
      <c r="H4858" s="11">
        <v>1</v>
      </c>
    </row>
    <row r="4859" spans="6:8" x14ac:dyDescent="0.3">
      <c r="F4859" s="11">
        <v>5.4430560000000003</v>
      </c>
      <c r="G4859" s="11">
        <v>59.246110999999999</v>
      </c>
      <c r="H4859" s="11">
        <v>1</v>
      </c>
    </row>
    <row r="4860" spans="6:8" x14ac:dyDescent="0.3">
      <c r="H4860" s="11">
        <v>1</v>
      </c>
    </row>
    <row r="4861" spans="6:8" x14ac:dyDescent="0.3">
      <c r="F4861" s="11">
        <v>5.7852779999999999</v>
      </c>
      <c r="G4861" s="11">
        <v>59.141944000000002</v>
      </c>
      <c r="H4861" s="11">
        <v>1</v>
      </c>
    </row>
    <row r="4862" spans="6:8" x14ac:dyDescent="0.3">
      <c r="F4862" s="11">
        <v>5.770556</v>
      </c>
      <c r="G4862" s="11">
        <v>59.190556000000001</v>
      </c>
      <c r="H4862" s="11">
        <v>1</v>
      </c>
    </row>
    <row r="4863" spans="6:8" x14ac:dyDescent="0.3">
      <c r="H4863" s="11">
        <v>1</v>
      </c>
    </row>
    <row r="4864" spans="6:8" x14ac:dyDescent="0.3">
      <c r="F4864" s="11">
        <v>5.7324999999999999</v>
      </c>
      <c r="G4864" s="11">
        <v>59.103332999999999</v>
      </c>
      <c r="H4864" s="11">
        <v>1</v>
      </c>
    </row>
    <row r="4865" spans="6:8" x14ac:dyDescent="0.3">
      <c r="F4865" s="11">
        <v>5.6369439999999997</v>
      </c>
      <c r="G4865" s="11">
        <v>59.099722</v>
      </c>
      <c r="H4865" s="11">
        <v>1</v>
      </c>
    </row>
    <row r="4866" spans="6:8" x14ac:dyDescent="0.3">
      <c r="F4866" s="11">
        <v>5.5733329999999999</v>
      </c>
      <c r="G4866" s="11">
        <v>59.141111000000002</v>
      </c>
      <c r="H4866" s="11">
        <v>1</v>
      </c>
    </row>
    <row r="4867" spans="6:8" x14ac:dyDescent="0.3">
      <c r="H4867" s="11">
        <v>1</v>
      </c>
    </row>
    <row r="4868" spans="6:8" x14ac:dyDescent="0.3">
      <c r="F4868" s="11">
        <v>5.6516669999999998</v>
      </c>
      <c r="G4868" s="11">
        <v>59.064444000000002</v>
      </c>
      <c r="H4868" s="11">
        <v>1</v>
      </c>
    </row>
    <row r="4869" spans="6:8" x14ac:dyDescent="0.3">
      <c r="H4869" s="11">
        <v>1</v>
      </c>
    </row>
    <row r="4870" spans="6:8" x14ac:dyDescent="0.3">
      <c r="F4870" s="11">
        <v>5.9236110000000002</v>
      </c>
      <c r="G4870" s="11">
        <v>58.418332999999997</v>
      </c>
      <c r="H4870" s="11">
        <v>1</v>
      </c>
    </row>
    <row r="4871" spans="6:8" x14ac:dyDescent="0.3">
      <c r="F4871" s="11">
        <v>5.855556</v>
      </c>
      <c r="G4871" s="11">
        <v>58.437778000000002</v>
      </c>
      <c r="H4871" s="11">
        <v>1</v>
      </c>
    </row>
    <row r="4872" spans="6:8" x14ac:dyDescent="0.3">
      <c r="H4872" s="11">
        <v>1</v>
      </c>
    </row>
    <row r="4873" spans="6:8" x14ac:dyDescent="0.3">
      <c r="F4873" s="11">
        <v>6.5713889999999999</v>
      </c>
      <c r="G4873" s="11">
        <v>58.201667</v>
      </c>
      <c r="H4873" s="11">
        <v>1</v>
      </c>
    </row>
    <row r="4874" spans="6:8" x14ac:dyDescent="0.3">
      <c r="F4874" s="11">
        <v>6.4838889999999996</v>
      </c>
      <c r="G4874" s="11">
        <v>58.228332999999999</v>
      </c>
      <c r="H4874" s="11">
        <v>1</v>
      </c>
    </row>
    <row r="4875" spans="6:8" x14ac:dyDescent="0.3">
      <c r="H4875" s="11">
        <v>1</v>
      </c>
    </row>
    <row r="4876" spans="6:8" x14ac:dyDescent="0.3">
      <c r="F4876" s="11">
        <v>8.3519439999999996</v>
      </c>
      <c r="G4876" s="11">
        <v>58.205832999999998</v>
      </c>
      <c r="H4876" s="11">
        <v>1</v>
      </c>
    </row>
    <row r="4877" spans="6:8" x14ac:dyDescent="0.3">
      <c r="H4877" s="11">
        <v>1</v>
      </c>
    </row>
    <row r="4878" spans="6:8" x14ac:dyDescent="0.3">
      <c r="F4878" s="11">
        <v>8.7613889999999994</v>
      </c>
      <c r="G4878" s="11">
        <v>58.436667</v>
      </c>
      <c r="H4878" s="11">
        <v>1</v>
      </c>
    </row>
    <row r="4879" spans="6:8" x14ac:dyDescent="0.3">
      <c r="H4879" s="11">
        <v>1</v>
      </c>
    </row>
    <row r="4880" spans="6:8" x14ac:dyDescent="0.3">
      <c r="F4880" s="11">
        <v>8.8180560000000003</v>
      </c>
      <c r="G4880" s="11">
        <v>58.429167</v>
      </c>
      <c r="H4880" s="11">
        <v>1</v>
      </c>
    </row>
    <row r="4881" spans="6:8" x14ac:dyDescent="0.3">
      <c r="F4881" s="11">
        <v>8.8175000000000008</v>
      </c>
      <c r="G4881" s="11">
        <v>58.462778</v>
      </c>
      <c r="H4881" s="11">
        <v>1</v>
      </c>
    </row>
    <row r="4882" spans="6:8" x14ac:dyDescent="0.3">
      <c r="H4882" s="11">
        <v>1</v>
      </c>
    </row>
    <row r="4883" spans="6:8" x14ac:dyDescent="0.3">
      <c r="F4883" s="11">
        <v>8.9444440000000007</v>
      </c>
      <c r="G4883" s="11">
        <v>58.532778</v>
      </c>
      <c r="H4883" s="11">
        <v>1</v>
      </c>
    </row>
    <row r="4884" spans="6:8" x14ac:dyDescent="0.3">
      <c r="H4884" s="11">
        <v>1</v>
      </c>
    </row>
    <row r="4885" spans="6:8" x14ac:dyDescent="0.3">
      <c r="F4885" s="11">
        <v>5.6694440000000004</v>
      </c>
      <c r="G4885" s="11">
        <v>62.330278</v>
      </c>
      <c r="H4885" s="11">
        <v>1</v>
      </c>
    </row>
    <row r="4886" spans="6:8" x14ac:dyDescent="0.3">
      <c r="H4886" s="11">
        <v>1</v>
      </c>
    </row>
    <row r="4887" spans="6:8" x14ac:dyDescent="0.3">
      <c r="F4887" s="11">
        <v>-6.8055560000000002</v>
      </c>
      <c r="G4887" s="11">
        <v>61.583610999999998</v>
      </c>
      <c r="H4887" s="11">
        <v>1</v>
      </c>
    </row>
    <row r="4888" spans="6:8" x14ac:dyDescent="0.3">
      <c r="F4888" s="11">
        <v>-6.9061110000000001</v>
      </c>
      <c r="G4888" s="11">
        <v>61.590277999999998</v>
      </c>
      <c r="H4888" s="11">
        <v>1</v>
      </c>
    </row>
    <row r="4889" spans="6:8" x14ac:dyDescent="0.3">
      <c r="F4889" s="11">
        <v>-6.8811109999999998</v>
      </c>
      <c r="G4889" s="11">
        <v>61.621110999999999</v>
      </c>
      <c r="H4889" s="11">
        <v>1</v>
      </c>
    </row>
    <row r="4890" spans="6:8" x14ac:dyDescent="0.3">
      <c r="F4890" s="11">
        <v>-6.9122219999999999</v>
      </c>
      <c r="G4890" s="11">
        <v>61.643611</v>
      </c>
      <c r="H4890" s="11">
        <v>1</v>
      </c>
    </row>
    <row r="4891" spans="6:8" x14ac:dyDescent="0.3">
      <c r="F4891" s="11">
        <v>-6.9533329999999998</v>
      </c>
      <c r="G4891" s="11">
        <v>61.61</v>
      </c>
      <c r="H4891" s="11">
        <v>1</v>
      </c>
    </row>
    <row r="4892" spans="6:8" x14ac:dyDescent="0.3">
      <c r="F4892" s="11">
        <v>-6.924722</v>
      </c>
      <c r="G4892" s="11">
        <v>61.566667000000002</v>
      </c>
      <c r="H4892" s="11">
        <v>1</v>
      </c>
    </row>
    <row r="4893" spans="6:8" x14ac:dyDescent="0.3">
      <c r="F4893" s="11">
        <v>-6.8677780000000004</v>
      </c>
      <c r="G4893" s="11">
        <v>61.525278</v>
      </c>
      <c r="H4893" s="11">
        <v>1</v>
      </c>
    </row>
    <row r="4894" spans="6:8" x14ac:dyDescent="0.3">
      <c r="F4894" s="11">
        <v>-6.8480559999999997</v>
      </c>
      <c r="G4894" s="11">
        <v>61.475555999999997</v>
      </c>
      <c r="H4894" s="11">
        <v>1</v>
      </c>
    </row>
    <row r="4895" spans="6:8" x14ac:dyDescent="0.3">
      <c r="F4895" s="11">
        <v>-6.7755559999999999</v>
      </c>
      <c r="G4895" s="11">
        <v>61.440556000000001</v>
      </c>
      <c r="H4895" s="11">
        <v>1</v>
      </c>
    </row>
    <row r="4896" spans="6:8" x14ac:dyDescent="0.3">
      <c r="F4896" s="11">
        <v>-6.7050000000000001</v>
      </c>
      <c r="G4896" s="11">
        <v>61.404443999999998</v>
      </c>
      <c r="H4896" s="11">
        <v>1</v>
      </c>
    </row>
    <row r="4897" spans="6:8" x14ac:dyDescent="0.3">
      <c r="F4897" s="11">
        <v>-6.6461110000000003</v>
      </c>
      <c r="G4897" s="11">
        <v>61.407778</v>
      </c>
      <c r="H4897" s="11">
        <v>1</v>
      </c>
    </row>
    <row r="4898" spans="6:8" x14ac:dyDescent="0.3">
      <c r="F4898" s="11">
        <v>-6.6855560000000001</v>
      </c>
      <c r="G4898" s="11">
        <v>61.448332999999998</v>
      </c>
      <c r="H4898" s="11">
        <v>1</v>
      </c>
    </row>
    <row r="4899" spans="6:8" x14ac:dyDescent="0.3">
      <c r="F4899" s="11">
        <v>-6.7549999999999999</v>
      </c>
      <c r="G4899" s="11">
        <v>61.453055999999997</v>
      </c>
      <c r="H4899" s="11">
        <v>1</v>
      </c>
    </row>
    <row r="4900" spans="6:8" x14ac:dyDescent="0.3">
      <c r="F4900" s="11">
        <v>-6.7244440000000001</v>
      </c>
      <c r="G4900" s="11">
        <v>61.470556000000002</v>
      </c>
      <c r="H4900" s="11">
        <v>1</v>
      </c>
    </row>
    <row r="4901" spans="6:8" x14ac:dyDescent="0.3">
      <c r="F4901" s="11">
        <v>-6.7111109999999998</v>
      </c>
      <c r="G4901" s="11">
        <v>61.495556000000001</v>
      </c>
      <c r="H4901" s="11">
        <v>1</v>
      </c>
    </row>
    <row r="4902" spans="6:8" x14ac:dyDescent="0.3">
      <c r="F4902" s="11">
        <v>-6.7544440000000003</v>
      </c>
      <c r="G4902" s="11">
        <v>61.525832999999999</v>
      </c>
      <c r="H4902" s="11">
        <v>1</v>
      </c>
    </row>
    <row r="4903" spans="6:8" x14ac:dyDescent="0.3">
      <c r="F4903" s="11">
        <v>-6.7913889999999997</v>
      </c>
      <c r="G4903" s="11">
        <v>61.559722000000001</v>
      </c>
      <c r="H4903" s="11">
        <v>1</v>
      </c>
    </row>
    <row r="4904" spans="6:8" x14ac:dyDescent="0.3">
      <c r="F4904" s="11">
        <v>-6.7094440000000004</v>
      </c>
      <c r="G4904" s="11">
        <v>61.558332999999998</v>
      </c>
      <c r="H4904" s="11">
        <v>1</v>
      </c>
    </row>
    <row r="4905" spans="6:8" x14ac:dyDescent="0.3">
      <c r="H4905" s="11">
        <v>1</v>
      </c>
    </row>
    <row r="4906" spans="6:8" x14ac:dyDescent="0.3">
      <c r="F4906" s="11">
        <v>-6.723611</v>
      </c>
      <c r="G4906" s="11">
        <v>61.696389000000003</v>
      </c>
      <c r="H4906" s="11">
        <v>1</v>
      </c>
    </row>
    <row r="4907" spans="6:8" x14ac:dyDescent="0.3">
      <c r="H4907" s="11">
        <v>1</v>
      </c>
    </row>
    <row r="4908" spans="6:8" x14ac:dyDescent="0.3">
      <c r="F4908" s="11">
        <v>-6.8280560000000001</v>
      </c>
      <c r="G4908" s="11">
        <v>61.763888999999999</v>
      </c>
      <c r="H4908" s="11">
        <v>1</v>
      </c>
    </row>
    <row r="4909" spans="6:8" x14ac:dyDescent="0.3">
      <c r="F4909" s="11">
        <v>-6.7677779999999998</v>
      </c>
      <c r="G4909" s="11">
        <v>61.750278000000002</v>
      </c>
      <c r="H4909" s="11">
        <v>1</v>
      </c>
    </row>
    <row r="4910" spans="6:8" x14ac:dyDescent="0.3">
      <c r="H4910" s="11">
        <v>1</v>
      </c>
    </row>
    <row r="4911" spans="6:8" x14ac:dyDescent="0.3">
      <c r="F4911" s="11">
        <v>-6.6502780000000001</v>
      </c>
      <c r="G4911" s="11">
        <v>61.850555999999997</v>
      </c>
      <c r="H4911" s="11">
        <v>1</v>
      </c>
    </row>
    <row r="4912" spans="6:8" x14ac:dyDescent="0.3">
      <c r="F4912" s="11">
        <v>-6.6208330000000002</v>
      </c>
      <c r="G4912" s="11">
        <v>61.810833000000002</v>
      </c>
      <c r="H4912" s="11">
        <v>1</v>
      </c>
    </row>
    <row r="4913" spans="6:8" x14ac:dyDescent="0.3">
      <c r="F4913" s="11">
        <v>-6.6327780000000001</v>
      </c>
      <c r="G4913" s="11">
        <v>61.7575</v>
      </c>
      <c r="H4913" s="11">
        <v>1</v>
      </c>
    </row>
    <row r="4914" spans="6:8" x14ac:dyDescent="0.3">
      <c r="F4914" s="11">
        <v>-6.6944439999999998</v>
      </c>
      <c r="G4914" s="11">
        <v>61.768889000000001</v>
      </c>
      <c r="H4914" s="11">
        <v>1</v>
      </c>
    </row>
    <row r="4915" spans="6:8" x14ac:dyDescent="0.3">
      <c r="F4915" s="11">
        <v>-6.7391670000000001</v>
      </c>
      <c r="G4915" s="11">
        <v>61.815277999999999</v>
      </c>
      <c r="H4915" s="11">
        <v>1</v>
      </c>
    </row>
    <row r="4916" spans="6:8" x14ac:dyDescent="0.3">
      <c r="F4916" s="11">
        <v>-6.8283329999999998</v>
      </c>
      <c r="G4916" s="11">
        <v>61.823332999999998</v>
      </c>
      <c r="H4916" s="11">
        <v>1</v>
      </c>
    </row>
    <row r="4917" spans="6:8" x14ac:dyDescent="0.3">
      <c r="F4917" s="11">
        <v>-6.875</v>
      </c>
      <c r="G4917" s="11">
        <v>61.854722000000002</v>
      </c>
      <c r="H4917" s="11">
        <v>1</v>
      </c>
    </row>
    <row r="4918" spans="6:8" x14ac:dyDescent="0.3">
      <c r="F4918" s="11">
        <v>-6.9083329999999998</v>
      </c>
      <c r="G4918" s="11">
        <v>61.904722</v>
      </c>
      <c r="H4918" s="11">
        <v>1</v>
      </c>
    </row>
    <row r="4919" spans="6:8" x14ac:dyDescent="0.3">
      <c r="F4919" s="11">
        <v>-6.8174999999999999</v>
      </c>
      <c r="G4919" s="11">
        <v>61.895555999999999</v>
      </c>
      <c r="H4919" s="11">
        <v>1</v>
      </c>
    </row>
    <row r="4920" spans="6:8" x14ac:dyDescent="0.3">
      <c r="H4920" s="11">
        <v>1</v>
      </c>
    </row>
    <row r="4921" spans="6:8" x14ac:dyDescent="0.3">
      <c r="F4921" s="11">
        <v>-6.6511110000000002</v>
      </c>
      <c r="G4921" s="11">
        <v>62.020277999999998</v>
      </c>
      <c r="H4921" s="11">
        <v>1</v>
      </c>
    </row>
    <row r="4922" spans="6:8" x14ac:dyDescent="0.3">
      <c r="F4922" s="11">
        <v>-6.6341669999999997</v>
      </c>
      <c r="G4922" s="11">
        <v>61.973056</v>
      </c>
      <c r="H4922" s="11">
        <v>1</v>
      </c>
    </row>
    <row r="4923" spans="6:8" x14ac:dyDescent="0.3">
      <c r="F4923" s="11">
        <v>-6.5797220000000003</v>
      </c>
      <c r="G4923" s="11">
        <v>61.957777999999998</v>
      </c>
      <c r="H4923" s="11">
        <v>1</v>
      </c>
    </row>
    <row r="4924" spans="6:8" x14ac:dyDescent="0.3">
      <c r="H4924" s="11">
        <v>1</v>
      </c>
    </row>
    <row r="4925" spans="6:8" x14ac:dyDescent="0.3">
      <c r="F4925" s="11">
        <v>-6.9611109999999998</v>
      </c>
      <c r="G4925" s="11">
        <v>62.331944</v>
      </c>
      <c r="H4925" s="11">
        <v>1</v>
      </c>
    </row>
    <row r="4926" spans="6:8" x14ac:dyDescent="0.3">
      <c r="F4926" s="11">
        <v>-7.0513890000000004</v>
      </c>
      <c r="G4926" s="11">
        <v>62.308610999999999</v>
      </c>
      <c r="H4926" s="11">
        <v>1</v>
      </c>
    </row>
    <row r="4927" spans="6:8" x14ac:dyDescent="0.3">
      <c r="F4927" s="11">
        <v>-7.0533330000000003</v>
      </c>
      <c r="G4927" s="11">
        <v>62.286667000000001</v>
      </c>
      <c r="H4927" s="11">
        <v>1</v>
      </c>
    </row>
    <row r="4928" spans="6:8" x14ac:dyDescent="0.3">
      <c r="F4928" s="11">
        <v>-7.0213890000000001</v>
      </c>
      <c r="G4928" s="11">
        <v>62.234999999999999</v>
      </c>
      <c r="H4928" s="11">
        <v>1</v>
      </c>
    </row>
    <row r="4929" spans="6:8" x14ac:dyDescent="0.3">
      <c r="F4929" s="11">
        <v>-6.9641669999999998</v>
      </c>
      <c r="G4929" s="11">
        <v>62.193333000000003</v>
      </c>
      <c r="H4929" s="11">
        <v>1</v>
      </c>
    </row>
    <row r="4930" spans="6:8" x14ac:dyDescent="0.3">
      <c r="F4930" s="11">
        <v>-6.8919439999999996</v>
      </c>
      <c r="G4930" s="11">
        <v>62.157499999999999</v>
      </c>
      <c r="H4930" s="11">
        <v>1</v>
      </c>
    </row>
    <row r="4931" spans="6:8" x14ac:dyDescent="0.3">
      <c r="F4931" s="11">
        <v>-6.8105560000000001</v>
      </c>
      <c r="G4931" s="11">
        <v>62.129722000000001</v>
      </c>
      <c r="H4931" s="11">
        <v>1</v>
      </c>
    </row>
    <row r="4932" spans="6:8" x14ac:dyDescent="0.3">
      <c r="F4932" s="11">
        <v>-6.7438890000000002</v>
      </c>
      <c r="G4932" s="11">
        <v>62.091943999999998</v>
      </c>
      <c r="H4932" s="11">
        <v>1</v>
      </c>
    </row>
    <row r="4933" spans="6:8" x14ac:dyDescent="0.3">
      <c r="F4933" s="11">
        <v>-6.7358330000000004</v>
      </c>
      <c r="G4933" s="11">
        <v>62.146388999999999</v>
      </c>
      <c r="H4933" s="11">
        <v>1</v>
      </c>
    </row>
    <row r="4934" spans="6:8" x14ac:dyDescent="0.3">
      <c r="F4934" s="11">
        <v>-6.8047219999999999</v>
      </c>
      <c r="G4934" s="11">
        <v>62.183332999999998</v>
      </c>
      <c r="H4934" s="11">
        <v>1</v>
      </c>
    </row>
    <row r="4935" spans="6:8" x14ac:dyDescent="0.3">
      <c r="F4935" s="11">
        <v>-6.7419440000000002</v>
      </c>
      <c r="G4935" s="11">
        <v>62.168056</v>
      </c>
      <c r="H4935" s="11">
        <v>1</v>
      </c>
    </row>
    <row r="4936" spans="6:8" x14ac:dyDescent="0.3">
      <c r="F4936" s="11">
        <v>-6.6966669999999997</v>
      </c>
      <c r="G4936" s="11">
        <v>62.121389000000001</v>
      </c>
      <c r="H4936" s="11">
        <v>1</v>
      </c>
    </row>
    <row r="4937" spans="6:8" x14ac:dyDescent="0.3">
      <c r="F4937" s="11">
        <v>-6.6944439999999998</v>
      </c>
      <c r="G4937" s="11">
        <v>62.070278000000002</v>
      </c>
      <c r="H4937" s="11">
        <v>1</v>
      </c>
    </row>
    <row r="4938" spans="6:8" x14ac:dyDescent="0.3">
      <c r="F4938" s="11">
        <v>-6.6494439999999999</v>
      </c>
      <c r="G4938" s="11">
        <v>62.082777999999998</v>
      </c>
      <c r="H4938" s="11">
        <v>1</v>
      </c>
    </row>
    <row r="4939" spans="6:8" x14ac:dyDescent="0.3">
      <c r="F4939" s="11">
        <v>-6.5922219999999996</v>
      </c>
      <c r="G4939" s="11">
        <v>62.106943999999999</v>
      </c>
      <c r="H4939" s="11">
        <v>1</v>
      </c>
    </row>
    <row r="4940" spans="6:8" x14ac:dyDescent="0.3">
      <c r="F4940" s="11">
        <v>-6.6663889999999997</v>
      </c>
      <c r="G4940" s="11">
        <v>62.141944000000002</v>
      </c>
      <c r="H4940" s="11">
        <v>1</v>
      </c>
    </row>
    <row r="4941" spans="6:8" x14ac:dyDescent="0.3">
      <c r="F4941" s="11">
        <v>-6.5672220000000001</v>
      </c>
      <c r="G4941" s="11">
        <v>62.135278</v>
      </c>
      <c r="H4941" s="11">
        <v>1</v>
      </c>
    </row>
    <row r="4942" spans="6:8" x14ac:dyDescent="0.3">
      <c r="F4942" s="11">
        <v>-6.6583329999999998</v>
      </c>
      <c r="G4942" s="11">
        <v>62.163611000000003</v>
      </c>
      <c r="H4942" s="11">
        <v>1</v>
      </c>
    </row>
    <row r="4943" spans="6:8" x14ac:dyDescent="0.3">
      <c r="F4943" s="11">
        <v>-6.7058330000000002</v>
      </c>
      <c r="G4943" s="11">
        <v>62.196111000000002</v>
      </c>
      <c r="H4943" s="11">
        <v>1</v>
      </c>
    </row>
    <row r="4944" spans="6:8" x14ac:dyDescent="0.3">
      <c r="F4944" s="11">
        <v>-6.5983330000000002</v>
      </c>
      <c r="G4944" s="11">
        <v>62.190277999999999</v>
      </c>
      <c r="H4944" s="11">
        <v>1</v>
      </c>
    </row>
    <row r="4945" spans="6:8" x14ac:dyDescent="0.3">
      <c r="F4945" s="11">
        <v>-6.6883330000000001</v>
      </c>
      <c r="G4945" s="11">
        <v>62.215833000000003</v>
      </c>
      <c r="H4945" s="11">
        <v>1</v>
      </c>
    </row>
    <row r="4946" spans="6:8" x14ac:dyDescent="0.3">
      <c r="F4946" s="11">
        <v>-6.7766669999999998</v>
      </c>
      <c r="G4946" s="11">
        <v>62.228332999999999</v>
      </c>
      <c r="H4946" s="11">
        <v>1</v>
      </c>
    </row>
    <row r="4947" spans="6:8" x14ac:dyDescent="0.3">
      <c r="F4947" s="11">
        <v>-6.7350000000000003</v>
      </c>
      <c r="G4947" s="11">
        <v>62.26</v>
      </c>
      <c r="H4947" s="11">
        <v>1</v>
      </c>
    </row>
    <row r="4948" spans="6:8" x14ac:dyDescent="0.3">
      <c r="F4948" s="11">
        <v>-6.8091670000000004</v>
      </c>
      <c r="G4948" s="11">
        <v>62.274166999999998</v>
      </c>
      <c r="H4948" s="11">
        <v>1</v>
      </c>
    </row>
    <row r="4949" spans="6:8" x14ac:dyDescent="0.3">
      <c r="F4949" s="11">
        <v>-6.8775000000000004</v>
      </c>
      <c r="G4949" s="11">
        <v>62.281388999999997</v>
      </c>
      <c r="H4949" s="11">
        <v>1</v>
      </c>
    </row>
    <row r="4950" spans="6:8" x14ac:dyDescent="0.3">
      <c r="F4950" s="11">
        <v>-6.9063889999999999</v>
      </c>
      <c r="G4950" s="11">
        <v>62.2425</v>
      </c>
      <c r="H4950" s="11">
        <v>1</v>
      </c>
    </row>
    <row r="4951" spans="6:8" x14ac:dyDescent="0.3">
      <c r="F4951" s="11">
        <v>-6.9347219999999998</v>
      </c>
      <c r="G4951" s="11">
        <v>62.279443999999998</v>
      </c>
      <c r="H4951" s="11">
        <v>1</v>
      </c>
    </row>
    <row r="4952" spans="6:8" x14ac:dyDescent="0.3">
      <c r="F4952" s="11">
        <v>-6.8872220000000004</v>
      </c>
      <c r="G4952" s="11">
        <v>62.316667000000002</v>
      </c>
      <c r="H4952" s="11">
        <v>1</v>
      </c>
    </row>
    <row r="4953" spans="6:8" x14ac:dyDescent="0.3">
      <c r="H4953" s="11">
        <v>1</v>
      </c>
    </row>
    <row r="4954" spans="6:8" x14ac:dyDescent="0.3">
      <c r="F4954" s="11">
        <v>-6.509722</v>
      </c>
      <c r="G4954" s="11">
        <v>62.310277999999997</v>
      </c>
      <c r="H4954" s="11">
        <v>1</v>
      </c>
    </row>
    <row r="4955" spans="6:8" x14ac:dyDescent="0.3">
      <c r="F4955" s="11">
        <v>-6.4411110000000003</v>
      </c>
      <c r="G4955" s="11">
        <v>62.273055999999997</v>
      </c>
      <c r="H4955" s="11">
        <v>1</v>
      </c>
    </row>
    <row r="4956" spans="6:8" x14ac:dyDescent="0.3">
      <c r="F4956" s="11">
        <v>-6.4127780000000003</v>
      </c>
      <c r="G4956" s="11">
        <v>62.238889</v>
      </c>
      <c r="H4956" s="11">
        <v>1</v>
      </c>
    </row>
    <row r="4957" spans="6:8" x14ac:dyDescent="0.3">
      <c r="F4957" s="11">
        <v>-6.4836109999999998</v>
      </c>
      <c r="G4957" s="11">
        <v>62.243611000000001</v>
      </c>
      <c r="H4957" s="11">
        <v>1</v>
      </c>
    </row>
    <row r="4958" spans="6:8" x14ac:dyDescent="0.3">
      <c r="F4958" s="11">
        <v>-6.4155559999999996</v>
      </c>
      <c r="G4958" s="11">
        <v>62.209721999999999</v>
      </c>
      <c r="H4958" s="11">
        <v>1</v>
      </c>
    </row>
    <row r="4959" spans="6:8" x14ac:dyDescent="0.3">
      <c r="F4959" s="11">
        <v>-6.4747219999999999</v>
      </c>
      <c r="G4959" s="11">
        <v>62.1875</v>
      </c>
      <c r="H4959" s="11">
        <v>1</v>
      </c>
    </row>
    <row r="4960" spans="6:8" x14ac:dyDescent="0.3">
      <c r="F4960" s="11">
        <v>-6.5336109999999996</v>
      </c>
      <c r="G4960" s="11">
        <v>62.226666999999999</v>
      </c>
      <c r="H4960" s="11">
        <v>1</v>
      </c>
    </row>
    <row r="4961" spans="6:8" x14ac:dyDescent="0.3">
      <c r="F4961" s="11">
        <v>-6.5047220000000001</v>
      </c>
      <c r="G4961" s="11">
        <v>62.176667000000002</v>
      </c>
      <c r="H4961" s="11">
        <v>1</v>
      </c>
    </row>
    <row r="4962" spans="6:8" x14ac:dyDescent="0.3">
      <c r="F4962" s="11">
        <v>-6.5622220000000002</v>
      </c>
      <c r="G4962" s="11">
        <v>62.202778000000002</v>
      </c>
      <c r="H4962" s="11">
        <v>1</v>
      </c>
    </row>
    <row r="4963" spans="6:8" x14ac:dyDescent="0.3">
      <c r="F4963" s="11">
        <v>-6.5655559999999999</v>
      </c>
      <c r="G4963" s="11">
        <v>62.247500000000002</v>
      </c>
      <c r="H4963" s="11">
        <v>1</v>
      </c>
    </row>
    <row r="4964" spans="6:8" x14ac:dyDescent="0.3">
      <c r="F4964" s="11">
        <v>-6.5494440000000003</v>
      </c>
      <c r="G4964" s="11">
        <v>62.287222</v>
      </c>
      <c r="H4964" s="11">
        <v>1</v>
      </c>
    </row>
    <row r="4965" spans="6:8" x14ac:dyDescent="0.3">
      <c r="F4965" s="11">
        <v>-6.5750000000000002</v>
      </c>
      <c r="G4965" s="11">
        <v>62.340277999999998</v>
      </c>
      <c r="H4965" s="11">
        <v>1</v>
      </c>
    </row>
    <row r="4966" spans="6:8" x14ac:dyDescent="0.3">
      <c r="H4966" s="11">
        <v>1</v>
      </c>
    </row>
    <row r="4967" spans="6:8" x14ac:dyDescent="0.3">
      <c r="F4967" s="11">
        <v>-6.3005560000000003</v>
      </c>
      <c r="G4967" s="11">
        <v>62.283332999999999</v>
      </c>
      <c r="H4967" s="11">
        <v>1</v>
      </c>
    </row>
    <row r="4968" spans="6:8" x14ac:dyDescent="0.3">
      <c r="F4968" s="11">
        <v>-6.3166669999999998</v>
      </c>
      <c r="G4968" s="11">
        <v>62.242221999999998</v>
      </c>
      <c r="H4968" s="11">
        <v>1</v>
      </c>
    </row>
    <row r="4969" spans="6:8" x14ac:dyDescent="0.3">
      <c r="F4969" s="11">
        <v>-6.3702779999999999</v>
      </c>
      <c r="G4969" s="11">
        <v>62.278333000000003</v>
      </c>
      <c r="H4969" s="11">
        <v>1</v>
      </c>
    </row>
    <row r="4970" spans="6:8" x14ac:dyDescent="0.3">
      <c r="F4970" s="11">
        <v>-6.2994440000000003</v>
      </c>
      <c r="G4970" s="11">
        <v>62.307222000000003</v>
      </c>
      <c r="H4970" s="11">
        <v>1</v>
      </c>
    </row>
    <row r="4971" spans="6:8" x14ac:dyDescent="0.3">
      <c r="H4971" s="11">
        <v>1</v>
      </c>
    </row>
    <row r="4972" spans="6:8" x14ac:dyDescent="0.3">
      <c r="F4972" s="11">
        <v>-6.2883329999999997</v>
      </c>
      <c r="G4972" s="11">
        <v>62.324167000000003</v>
      </c>
      <c r="H4972" s="11">
        <v>1</v>
      </c>
    </row>
    <row r="4973" spans="6:8" x14ac:dyDescent="0.3">
      <c r="F4973" s="11">
        <v>-6.22</v>
      </c>
      <c r="G4973" s="11">
        <v>62.341110999999998</v>
      </c>
      <c r="H4973" s="11">
        <v>1</v>
      </c>
    </row>
    <row r="4974" spans="6:8" x14ac:dyDescent="0.3">
      <c r="H4974" s="11">
        <v>1</v>
      </c>
    </row>
    <row r="4975" spans="6:8" x14ac:dyDescent="0.3">
      <c r="F4975" s="11">
        <v>-6.4680559999999998</v>
      </c>
      <c r="G4975" s="11">
        <v>62.351111000000003</v>
      </c>
      <c r="H4975" s="11">
        <v>1</v>
      </c>
    </row>
    <row r="4976" spans="6:8" x14ac:dyDescent="0.3">
      <c r="F4976" s="11">
        <v>-6.4258329999999999</v>
      </c>
      <c r="G4976" s="11">
        <v>62.310833000000002</v>
      </c>
      <c r="H4976" s="11">
        <v>1</v>
      </c>
    </row>
    <row r="4977" spans="6:8" x14ac:dyDescent="0.3">
      <c r="F4977" s="11">
        <v>-6.3852779999999996</v>
      </c>
      <c r="G4977" s="11">
        <v>62.298611000000001</v>
      </c>
      <c r="H4977" s="11">
        <v>1</v>
      </c>
    </row>
    <row r="4978" spans="6:8" x14ac:dyDescent="0.3">
      <c r="F4978" s="11">
        <v>-6.4802780000000002</v>
      </c>
      <c r="G4978" s="11">
        <v>62.297778000000001</v>
      </c>
      <c r="H4978" s="11">
        <v>1</v>
      </c>
    </row>
    <row r="4979" spans="6:8" x14ac:dyDescent="0.3">
      <c r="F4979" s="11">
        <v>-6.5144440000000001</v>
      </c>
      <c r="G4979" s="11">
        <v>62.348332999999997</v>
      </c>
      <c r="H4979" s="11">
        <v>1</v>
      </c>
    </row>
    <row r="4980" spans="6:8" x14ac:dyDescent="0.3">
      <c r="F4980" s="11">
        <v>-6.536111</v>
      </c>
      <c r="G4980" s="11">
        <v>62.391944000000002</v>
      </c>
      <c r="H4980" s="11">
        <v>1</v>
      </c>
    </row>
    <row r="4981" spans="6:8" x14ac:dyDescent="0.3">
      <c r="H4981" s="11">
        <v>1</v>
      </c>
    </row>
    <row r="4982" spans="6:8" x14ac:dyDescent="0.3">
      <c r="F4982" s="11">
        <v>-6.6019439999999996</v>
      </c>
      <c r="G4982" s="11">
        <v>62.320833</v>
      </c>
      <c r="H4982" s="11">
        <v>1</v>
      </c>
    </row>
    <row r="4983" spans="6:8" x14ac:dyDescent="0.3">
      <c r="F4983" s="11">
        <v>-6.5616669999999999</v>
      </c>
      <c r="G4983" s="11">
        <v>62.273333000000001</v>
      </c>
      <c r="H4983" s="11">
        <v>1</v>
      </c>
    </row>
    <row r="4984" spans="6:8" x14ac:dyDescent="0.3">
      <c r="F4984" s="11">
        <v>-6.6261109999999999</v>
      </c>
      <c r="G4984" s="11">
        <v>62.277222000000002</v>
      </c>
      <c r="H4984" s="11">
        <v>1</v>
      </c>
    </row>
    <row r="4985" spans="6:8" x14ac:dyDescent="0.3">
      <c r="F4985" s="11">
        <v>-6.6658330000000001</v>
      </c>
      <c r="G4985" s="11">
        <v>62.326388999999999</v>
      </c>
      <c r="H4985" s="11">
        <v>1</v>
      </c>
    </row>
    <row r="4986" spans="6:8" x14ac:dyDescent="0.3">
      <c r="F4986" s="11">
        <v>-6.6322219999999996</v>
      </c>
      <c r="G4986" s="11">
        <v>62.370832999999998</v>
      </c>
      <c r="H4986" s="11">
        <v>1</v>
      </c>
    </row>
    <row r="4987" spans="6:8" x14ac:dyDescent="0.3">
      <c r="H4987" s="11">
        <v>1</v>
      </c>
    </row>
    <row r="4988" spans="6:8" x14ac:dyDescent="0.3">
      <c r="F4988" s="11">
        <v>-6.7044439999999996</v>
      </c>
      <c r="G4988" s="11">
        <v>62.316389000000001</v>
      </c>
      <c r="H4988" s="11">
        <v>1</v>
      </c>
    </row>
    <row r="4989" spans="6:8" x14ac:dyDescent="0.3">
      <c r="F4989" s="11">
        <v>-6.6538890000000004</v>
      </c>
      <c r="G4989" s="11">
        <v>62.271943999999998</v>
      </c>
      <c r="H4989" s="11">
        <v>1</v>
      </c>
    </row>
    <row r="4990" spans="6:8" x14ac:dyDescent="0.3">
      <c r="F4990" s="11">
        <v>-6.6322219999999996</v>
      </c>
      <c r="G4990" s="11">
        <v>62.227499999999999</v>
      </c>
      <c r="H4990" s="11">
        <v>1</v>
      </c>
    </row>
    <row r="4991" spans="6:8" x14ac:dyDescent="0.3">
      <c r="F4991" s="11">
        <v>-6.6883330000000001</v>
      </c>
      <c r="G4991" s="11">
        <v>62.268889000000001</v>
      </c>
      <c r="H4991" s="11">
        <v>1</v>
      </c>
    </row>
    <row r="4992" spans="6:8" x14ac:dyDescent="0.3">
      <c r="F4992" s="11">
        <v>-6.7369440000000003</v>
      </c>
      <c r="G4992" s="11">
        <v>62.313889000000003</v>
      </c>
      <c r="H4992" s="11">
        <v>1</v>
      </c>
    </row>
    <row r="4993" spans="6:8" x14ac:dyDescent="0.3">
      <c r="F4993" s="11">
        <v>-6.7713890000000001</v>
      </c>
      <c r="G4993" s="11">
        <v>62.364443999999999</v>
      </c>
      <c r="H4993" s="11">
        <v>1</v>
      </c>
    </row>
    <row r="4994" spans="6:8" x14ac:dyDescent="0.3">
      <c r="H4994" s="11">
        <v>1</v>
      </c>
    </row>
    <row r="4995" spans="6:8" x14ac:dyDescent="0.3">
      <c r="F4995" s="11">
        <v>-7.0816670000000004</v>
      </c>
      <c r="G4995" s="11">
        <v>62.288888999999998</v>
      </c>
      <c r="H4995" s="11">
        <v>1</v>
      </c>
    </row>
    <row r="4996" spans="6:8" x14ac:dyDescent="0.3">
      <c r="F4996" s="11">
        <v>-7.0425000000000004</v>
      </c>
      <c r="G4996" s="11">
        <v>62.24</v>
      </c>
      <c r="H4996" s="11">
        <v>1</v>
      </c>
    </row>
    <row r="4997" spans="6:8" x14ac:dyDescent="0.3">
      <c r="F4997" s="11">
        <v>-6.9883329999999999</v>
      </c>
      <c r="G4997" s="11">
        <v>62.196666999999998</v>
      </c>
      <c r="H4997" s="11">
        <v>1</v>
      </c>
    </row>
    <row r="4998" spans="6:8" x14ac:dyDescent="0.3">
      <c r="F4998" s="11">
        <v>-6.9363890000000001</v>
      </c>
      <c r="G4998" s="11">
        <v>62.163055999999997</v>
      </c>
      <c r="H4998" s="11">
        <v>1</v>
      </c>
    </row>
    <row r="4999" spans="6:8" x14ac:dyDescent="0.3">
      <c r="F4999" s="11">
        <v>-6.8452780000000004</v>
      </c>
      <c r="G4999" s="11">
        <v>62.134721999999996</v>
      </c>
      <c r="H4999" s="11">
        <v>1</v>
      </c>
    </row>
    <row r="5000" spans="6:8" x14ac:dyDescent="0.3">
      <c r="F5000" s="11">
        <v>-6.9016669999999998</v>
      </c>
      <c r="G5000" s="11">
        <v>62.097222000000002</v>
      </c>
      <c r="H5000" s="11">
        <v>1</v>
      </c>
    </row>
    <row r="5001" spans="6:8" x14ac:dyDescent="0.3">
      <c r="F5001" s="11">
        <v>-6.8058329999999998</v>
      </c>
      <c r="G5001" s="11">
        <v>62.094721999999997</v>
      </c>
      <c r="H5001" s="11">
        <v>1</v>
      </c>
    </row>
    <row r="5002" spans="6:8" x14ac:dyDescent="0.3">
      <c r="F5002" s="11">
        <v>-6.8102780000000003</v>
      </c>
      <c r="G5002" s="11">
        <v>62.055</v>
      </c>
      <c r="H5002" s="11">
        <v>1</v>
      </c>
    </row>
    <row r="5003" spans="6:8" x14ac:dyDescent="0.3">
      <c r="F5003" s="11">
        <v>-6.7738889999999996</v>
      </c>
      <c r="G5003" s="11">
        <v>62.047221999999998</v>
      </c>
      <c r="H5003" s="11">
        <v>1</v>
      </c>
    </row>
    <row r="5004" spans="6:8" x14ac:dyDescent="0.3">
      <c r="F5004" s="11">
        <v>-6.7261110000000004</v>
      </c>
      <c r="G5004" s="11">
        <v>62.016388999999997</v>
      </c>
      <c r="H5004" s="11">
        <v>1</v>
      </c>
    </row>
    <row r="5005" spans="6:8" x14ac:dyDescent="0.3">
      <c r="F5005" s="11">
        <v>-6.6961110000000001</v>
      </c>
      <c r="G5005" s="11">
        <v>61.975278000000003</v>
      </c>
      <c r="H5005" s="11">
        <v>1</v>
      </c>
    </row>
    <row r="5006" spans="6:8" x14ac:dyDescent="0.3">
      <c r="F5006" s="11">
        <v>-6.7297219999999998</v>
      </c>
      <c r="G5006" s="11">
        <v>61.936943999999997</v>
      </c>
      <c r="H5006" s="11">
        <v>1</v>
      </c>
    </row>
    <row r="5007" spans="6:8" x14ac:dyDescent="0.3">
      <c r="F5007" s="11">
        <v>-6.8033330000000003</v>
      </c>
      <c r="G5007" s="11">
        <v>61.971944000000001</v>
      </c>
      <c r="H5007" s="11">
        <v>1</v>
      </c>
    </row>
    <row r="5008" spans="6:8" x14ac:dyDescent="0.3">
      <c r="F5008" s="11">
        <v>-6.8783329999999996</v>
      </c>
      <c r="G5008" s="11">
        <v>62.006667</v>
      </c>
      <c r="H5008" s="11">
        <v>1</v>
      </c>
    </row>
    <row r="5009" spans="6:8" x14ac:dyDescent="0.3">
      <c r="F5009" s="11">
        <v>-6.9480560000000002</v>
      </c>
      <c r="G5009" s="11">
        <v>62.043332999999997</v>
      </c>
      <c r="H5009" s="11">
        <v>1</v>
      </c>
    </row>
    <row r="5010" spans="6:8" x14ac:dyDescent="0.3">
      <c r="F5010" s="11">
        <v>-6.9869440000000003</v>
      </c>
      <c r="G5010" s="11">
        <v>62.092222</v>
      </c>
      <c r="H5010" s="11">
        <v>1</v>
      </c>
    </row>
    <row r="5011" spans="6:8" x14ac:dyDescent="0.3">
      <c r="F5011" s="11">
        <v>-7.0833329999999997</v>
      </c>
      <c r="G5011" s="11">
        <v>62.113889</v>
      </c>
      <c r="H5011" s="11">
        <v>1</v>
      </c>
    </row>
    <row r="5012" spans="6:8" x14ac:dyDescent="0.3">
      <c r="F5012" s="11">
        <v>-7.1219440000000001</v>
      </c>
      <c r="G5012" s="11">
        <v>62.148333000000001</v>
      </c>
      <c r="H5012" s="11">
        <v>1</v>
      </c>
    </row>
    <row r="5013" spans="6:8" x14ac:dyDescent="0.3">
      <c r="F5013" s="11">
        <v>-7.1947219999999996</v>
      </c>
      <c r="G5013" s="11">
        <v>62.153055999999999</v>
      </c>
      <c r="H5013" s="11">
        <v>1</v>
      </c>
    </row>
    <row r="5014" spans="6:8" x14ac:dyDescent="0.3">
      <c r="F5014" s="11">
        <v>-7.2291670000000003</v>
      </c>
      <c r="G5014" s="11">
        <v>62.201110999999997</v>
      </c>
      <c r="H5014" s="11">
        <v>1</v>
      </c>
    </row>
    <row r="5015" spans="6:8" x14ac:dyDescent="0.3">
      <c r="F5015" s="11">
        <v>-7.2013889999999998</v>
      </c>
      <c r="G5015" s="11">
        <v>62.241388999999998</v>
      </c>
      <c r="H5015" s="11">
        <v>1</v>
      </c>
    </row>
    <row r="5016" spans="6:8" x14ac:dyDescent="0.3">
      <c r="F5016" s="11">
        <v>-7.1950000000000003</v>
      </c>
      <c r="G5016" s="11">
        <v>62.296388999999998</v>
      </c>
      <c r="H5016" s="11">
        <v>1</v>
      </c>
    </row>
    <row r="5017" spans="6:8" x14ac:dyDescent="0.3">
      <c r="H5017" s="11">
        <v>1</v>
      </c>
    </row>
    <row r="5018" spans="6:8" x14ac:dyDescent="0.3">
      <c r="F5018" s="11">
        <v>-7.3219440000000002</v>
      </c>
      <c r="G5018" s="11">
        <v>62.128889000000001</v>
      </c>
      <c r="H5018" s="11">
        <v>1</v>
      </c>
    </row>
    <row r="5019" spans="6:8" x14ac:dyDescent="0.3">
      <c r="F5019" s="11">
        <v>-7.2391670000000001</v>
      </c>
      <c r="G5019" s="11">
        <v>62.159166999999997</v>
      </c>
      <c r="H5019" s="11">
        <v>1</v>
      </c>
    </row>
    <row r="5020" spans="6:8" x14ac:dyDescent="0.3">
      <c r="F5020" s="11">
        <v>-7.165</v>
      </c>
      <c r="G5020" s="11">
        <v>62.129443999999999</v>
      </c>
      <c r="H5020" s="11">
        <v>1</v>
      </c>
    </row>
    <row r="5021" spans="6:8" x14ac:dyDescent="0.3">
      <c r="F5021" s="11">
        <v>-7.0794439999999996</v>
      </c>
      <c r="G5021" s="11">
        <v>62.102221999999998</v>
      </c>
      <c r="H5021" s="11">
        <v>1</v>
      </c>
    </row>
    <row r="5022" spans="6:8" x14ac:dyDescent="0.3">
      <c r="F5022" s="11">
        <v>-7.058611</v>
      </c>
      <c r="G5022" s="11">
        <v>62.057222000000003</v>
      </c>
      <c r="H5022" s="11">
        <v>1</v>
      </c>
    </row>
    <row r="5023" spans="6:8" x14ac:dyDescent="0.3">
      <c r="F5023" s="11">
        <v>-7.1480560000000004</v>
      </c>
      <c r="G5023" s="11">
        <v>62.047778000000001</v>
      </c>
      <c r="H5023" s="11">
        <v>1</v>
      </c>
    </row>
    <row r="5024" spans="6:8" x14ac:dyDescent="0.3">
      <c r="F5024" s="11">
        <v>-7.1652779999999998</v>
      </c>
      <c r="G5024" s="11">
        <v>62.023611000000002</v>
      </c>
      <c r="H5024" s="11">
        <v>1</v>
      </c>
    </row>
    <row r="5025" spans="6:8" x14ac:dyDescent="0.3">
      <c r="F5025" s="11">
        <v>-7.2027780000000003</v>
      </c>
      <c r="G5025" s="11">
        <v>62.052500000000002</v>
      </c>
      <c r="H5025" s="11">
        <v>1</v>
      </c>
    </row>
    <row r="5026" spans="6:8" x14ac:dyDescent="0.3">
      <c r="F5026" s="11">
        <v>-7.2066670000000004</v>
      </c>
      <c r="G5026" s="11">
        <v>62.036389</v>
      </c>
      <c r="H5026" s="11">
        <v>1</v>
      </c>
    </row>
    <row r="5027" spans="6:8" x14ac:dyDescent="0.3">
      <c r="F5027" s="11">
        <v>-7.2916670000000003</v>
      </c>
      <c r="G5027" s="11">
        <v>62.048056000000003</v>
      </c>
      <c r="H5027" s="11">
        <v>1</v>
      </c>
    </row>
    <row r="5028" spans="6:8" x14ac:dyDescent="0.3">
      <c r="F5028" s="11">
        <v>-7.3780559999999999</v>
      </c>
      <c r="G5028" s="11">
        <v>62.07</v>
      </c>
      <c r="H5028" s="11">
        <v>1</v>
      </c>
    </row>
    <row r="5029" spans="6:8" x14ac:dyDescent="0.3">
      <c r="F5029" s="11">
        <v>-7.3038889999999999</v>
      </c>
      <c r="G5029" s="11">
        <v>62.076667</v>
      </c>
      <c r="H5029" s="11">
        <v>1</v>
      </c>
    </row>
    <row r="5030" spans="6:8" x14ac:dyDescent="0.3">
      <c r="F5030" s="11">
        <v>-7.4027779999999996</v>
      </c>
      <c r="G5030" s="11">
        <v>62.101666999999999</v>
      </c>
      <c r="H5030" s="11">
        <v>1</v>
      </c>
    </row>
    <row r="5031" spans="6:8" x14ac:dyDescent="0.3">
      <c r="F5031" s="11">
        <v>-7.4086109999999996</v>
      </c>
      <c r="G5031" s="11">
        <v>62.144167000000003</v>
      </c>
      <c r="H5031" s="11">
        <v>1</v>
      </c>
    </row>
    <row r="5032" spans="6:8" x14ac:dyDescent="0.3">
      <c r="H5032" s="11">
        <v>1</v>
      </c>
    </row>
    <row r="5033" spans="6:8" x14ac:dyDescent="0.3">
      <c r="F5033" s="11">
        <v>-7.6330559999999998</v>
      </c>
      <c r="G5033" s="11">
        <v>62.099443999999998</v>
      </c>
      <c r="H5033" s="11">
        <v>1</v>
      </c>
    </row>
    <row r="5034" spans="6:8" x14ac:dyDescent="0.3">
      <c r="F5034" s="11">
        <v>-7.5091669999999997</v>
      </c>
      <c r="G5034" s="11">
        <v>62.099443999999998</v>
      </c>
      <c r="H5034" s="11">
        <v>1</v>
      </c>
    </row>
    <row r="5035" spans="6:8" x14ac:dyDescent="0.3">
      <c r="H5035" s="11">
        <v>1</v>
      </c>
    </row>
    <row r="5036" spans="6:8" x14ac:dyDescent="0.3">
      <c r="F5036" s="11">
        <v>-6.9705560000000002</v>
      </c>
      <c r="G5036" s="11">
        <v>61.982778000000003</v>
      </c>
      <c r="H5036" s="11">
        <v>1</v>
      </c>
    </row>
    <row r="5037" spans="6:8" x14ac:dyDescent="0.3">
      <c r="H5037" s="11">
        <v>1</v>
      </c>
    </row>
    <row r="5038" spans="6:8" x14ac:dyDescent="0.3">
      <c r="F5038" s="11">
        <v>-6.8558329999999996</v>
      </c>
      <c r="G5038" s="11">
        <v>61.929167</v>
      </c>
      <c r="H5038" s="11">
        <v>1</v>
      </c>
    </row>
    <row r="5039" spans="6:8" x14ac:dyDescent="0.3">
      <c r="F5039" s="11">
        <v>-6.887778</v>
      </c>
      <c r="G5039" s="11">
        <v>61.970278</v>
      </c>
      <c r="H5039" s="11">
        <v>1</v>
      </c>
    </row>
    <row r="5040" spans="6:8" x14ac:dyDescent="0.3">
      <c r="H5040" s="11">
        <v>1</v>
      </c>
    </row>
    <row r="5041" spans="6:8" x14ac:dyDescent="0.3">
      <c r="F5041" s="11">
        <v>6.9097220000000004</v>
      </c>
      <c r="G5041" s="11">
        <v>48.716388999999999</v>
      </c>
      <c r="H5041" s="11">
        <v>1</v>
      </c>
    </row>
    <row r="5042" spans="6:8" x14ac:dyDescent="0.3">
      <c r="F5042" s="11">
        <v>6.9055559999999998</v>
      </c>
      <c r="G5042" s="11">
        <v>48.692222000000001</v>
      </c>
      <c r="H5042" s="11">
        <v>1</v>
      </c>
    </row>
    <row r="5043" spans="6:8" x14ac:dyDescent="0.3">
      <c r="F5043" s="11">
        <v>6.865278</v>
      </c>
      <c r="G5043" s="11">
        <v>48.698332999999998</v>
      </c>
      <c r="H5043" s="11">
        <v>1</v>
      </c>
    </row>
    <row r="5044" spans="6:8" x14ac:dyDescent="0.3">
      <c r="H5044" s="11">
        <v>1</v>
      </c>
    </row>
    <row r="5045" spans="6:8" x14ac:dyDescent="0.3">
      <c r="F5045" s="11">
        <v>8.1486110000000007</v>
      </c>
      <c r="G5045" s="11">
        <v>51.491110999999997</v>
      </c>
      <c r="H5045" s="11">
        <v>1</v>
      </c>
    </row>
    <row r="5046" spans="6:8" x14ac:dyDescent="0.3">
      <c r="F5046" s="11">
        <v>8.1619440000000001</v>
      </c>
      <c r="G5046" s="11">
        <v>51.482778000000003</v>
      </c>
      <c r="H5046" s="11">
        <v>1</v>
      </c>
    </row>
    <row r="5047" spans="6:8" x14ac:dyDescent="0.3">
      <c r="F5047" s="11">
        <v>8.0936109999999992</v>
      </c>
      <c r="G5047" s="11">
        <v>51.478889000000002</v>
      </c>
      <c r="H5047" s="11">
        <v>1</v>
      </c>
    </row>
    <row r="5048" spans="6:8" x14ac:dyDescent="0.3">
      <c r="F5048" s="11">
        <v>8.0933329999999994</v>
      </c>
      <c r="G5048" s="11">
        <v>51.464722000000002</v>
      </c>
      <c r="H5048" s="11">
        <v>1</v>
      </c>
    </row>
    <row r="5049" spans="6:8" x14ac:dyDescent="0.3">
      <c r="F5049" s="11">
        <v>8.0525000000000002</v>
      </c>
      <c r="G5049" s="11">
        <v>51.487499999999997</v>
      </c>
      <c r="H5049" s="11">
        <v>1</v>
      </c>
    </row>
    <row r="5050" spans="6:8" x14ac:dyDescent="0.3">
      <c r="H5050" s="11">
        <v>1</v>
      </c>
    </row>
    <row r="5051" spans="6:8" x14ac:dyDescent="0.3">
      <c r="F5051" s="11">
        <v>8.3519439999999996</v>
      </c>
      <c r="G5051" s="11">
        <v>52.508889000000003</v>
      </c>
      <c r="H5051" s="11">
        <v>1</v>
      </c>
    </row>
    <row r="5052" spans="6:8" x14ac:dyDescent="0.3">
      <c r="F5052" s="11">
        <v>8.3130559999999996</v>
      </c>
      <c r="G5052" s="11">
        <v>52.502499999999998</v>
      </c>
      <c r="H5052" s="11">
        <v>1</v>
      </c>
    </row>
    <row r="5053" spans="6:8" x14ac:dyDescent="0.3">
      <c r="F5053" s="11">
        <v>8.3277780000000003</v>
      </c>
      <c r="G5053" s="11">
        <v>52.538055999999997</v>
      </c>
      <c r="H5053" s="11">
        <v>1</v>
      </c>
    </row>
    <row r="5054" spans="6:8" x14ac:dyDescent="0.3">
      <c r="H5054" s="11">
        <v>1</v>
      </c>
    </row>
    <row r="5055" spans="6:8" x14ac:dyDescent="0.3">
      <c r="F5055" s="11">
        <v>5.9566670000000004</v>
      </c>
      <c r="G5055" s="11">
        <v>52.624167</v>
      </c>
      <c r="H5055" s="11">
        <v>1</v>
      </c>
    </row>
    <row r="5056" spans="6:8" x14ac:dyDescent="0.3">
      <c r="F5056" s="11">
        <v>5.9061110000000001</v>
      </c>
      <c r="G5056" s="11">
        <v>52.620832999999998</v>
      </c>
      <c r="H5056" s="11">
        <v>1</v>
      </c>
    </row>
    <row r="5057" spans="6:8" x14ac:dyDescent="0.3">
      <c r="F5057" s="11">
        <v>5.9347219999999998</v>
      </c>
      <c r="G5057" s="11">
        <v>52.634999999999998</v>
      </c>
      <c r="H5057" s="11">
        <v>1</v>
      </c>
    </row>
    <row r="5058" spans="6:8" x14ac:dyDescent="0.3">
      <c r="F5058" s="11">
        <v>5.9827779999999997</v>
      </c>
      <c r="G5058" s="11">
        <v>52.657499999999999</v>
      </c>
      <c r="H5058" s="11">
        <v>1</v>
      </c>
    </row>
    <row r="5059" spans="6:8" x14ac:dyDescent="0.3">
      <c r="F5059" s="11">
        <v>6.0155560000000001</v>
      </c>
      <c r="G5059" s="11">
        <v>52.635832999999998</v>
      </c>
      <c r="H5059" s="11">
        <v>1</v>
      </c>
    </row>
    <row r="5060" spans="6:8" x14ac:dyDescent="0.3">
      <c r="H5060" s="11">
        <v>1</v>
      </c>
    </row>
    <row r="5061" spans="6:8" x14ac:dyDescent="0.3">
      <c r="F5061" s="11">
        <v>6.0774999999999997</v>
      </c>
      <c r="G5061" s="11">
        <v>52.666111000000001</v>
      </c>
      <c r="H5061" s="11">
        <v>1</v>
      </c>
    </row>
    <row r="5062" spans="6:8" x14ac:dyDescent="0.3">
      <c r="F5062" s="11">
        <v>6.0422219999999998</v>
      </c>
      <c r="G5062" s="11">
        <v>52.679721999999998</v>
      </c>
      <c r="H5062" s="11">
        <v>1</v>
      </c>
    </row>
    <row r="5063" spans="6:8" x14ac:dyDescent="0.3">
      <c r="F5063" s="11">
        <v>6.0705559999999998</v>
      </c>
      <c r="G5063" s="11">
        <v>52.690556000000001</v>
      </c>
      <c r="H5063" s="11">
        <v>1</v>
      </c>
    </row>
    <row r="5064" spans="6:8" x14ac:dyDescent="0.3">
      <c r="H5064" s="11">
        <v>1</v>
      </c>
    </row>
    <row r="5065" spans="6:8" x14ac:dyDescent="0.3">
      <c r="F5065" s="11">
        <v>6.0286109999999997</v>
      </c>
      <c r="G5065" s="11">
        <v>52.685277999999997</v>
      </c>
      <c r="H5065" s="11">
        <v>1</v>
      </c>
    </row>
    <row r="5066" spans="6:8" x14ac:dyDescent="0.3">
      <c r="F5066" s="11">
        <v>6.0238889999999996</v>
      </c>
      <c r="G5066" s="11">
        <v>52.705556000000001</v>
      </c>
      <c r="H5066" s="11">
        <v>1</v>
      </c>
    </row>
    <row r="5067" spans="6:8" x14ac:dyDescent="0.3">
      <c r="H5067" s="11">
        <v>1</v>
      </c>
    </row>
    <row r="5068" spans="6:8" x14ac:dyDescent="0.3">
      <c r="F5068" s="11">
        <v>6.092778</v>
      </c>
      <c r="G5068" s="11">
        <v>52.718055999999997</v>
      </c>
      <c r="H5068" s="11">
        <v>1</v>
      </c>
    </row>
    <row r="5069" spans="6:8" x14ac:dyDescent="0.3">
      <c r="H5069" s="11">
        <v>1</v>
      </c>
    </row>
    <row r="5070" spans="6:8" x14ac:dyDescent="0.3">
      <c r="F5070" s="11">
        <v>6.6861110000000004</v>
      </c>
      <c r="G5070" s="11">
        <v>53.111389000000003</v>
      </c>
      <c r="H5070" s="11">
        <v>1</v>
      </c>
    </row>
    <row r="5071" spans="6:8" x14ac:dyDescent="0.3">
      <c r="F5071" s="11">
        <v>6.6930560000000003</v>
      </c>
      <c r="G5071" s="11">
        <v>53.143889000000001</v>
      </c>
      <c r="H5071" s="11">
        <v>1</v>
      </c>
    </row>
    <row r="5072" spans="6:8" x14ac:dyDescent="0.3">
      <c r="H5072" s="11">
        <v>1</v>
      </c>
    </row>
    <row r="5073" spans="6:8" x14ac:dyDescent="0.3">
      <c r="F5073" s="11">
        <v>6.0519439999999998</v>
      </c>
      <c r="G5073" s="11">
        <v>53.166666999999997</v>
      </c>
      <c r="H5073" s="11">
        <v>1</v>
      </c>
    </row>
    <row r="5074" spans="6:8" x14ac:dyDescent="0.3">
      <c r="H5074" s="11">
        <v>1</v>
      </c>
    </row>
    <row r="5075" spans="6:8" x14ac:dyDescent="0.3">
      <c r="F5075" s="11">
        <v>6.0291670000000002</v>
      </c>
      <c r="G5075" s="11">
        <v>53.19</v>
      </c>
      <c r="H5075" s="11">
        <v>1</v>
      </c>
    </row>
    <row r="5076" spans="6:8" x14ac:dyDescent="0.3">
      <c r="H5076" s="11">
        <v>1</v>
      </c>
    </row>
    <row r="5077" spans="6:8" x14ac:dyDescent="0.3">
      <c r="F5077" s="11">
        <v>6.2758330000000004</v>
      </c>
      <c r="G5077" s="11">
        <v>53.364722</v>
      </c>
      <c r="H5077" s="11">
        <v>1</v>
      </c>
    </row>
    <row r="5078" spans="6:8" x14ac:dyDescent="0.3">
      <c r="F5078" s="11">
        <v>6.2741670000000003</v>
      </c>
      <c r="G5078" s="11">
        <v>53.328055999999997</v>
      </c>
      <c r="H5078" s="11">
        <v>1</v>
      </c>
    </row>
    <row r="5079" spans="6:8" x14ac:dyDescent="0.3">
      <c r="F5079" s="11">
        <v>6.2130559999999999</v>
      </c>
      <c r="G5079" s="11">
        <v>53.317222000000001</v>
      </c>
      <c r="H5079" s="11">
        <v>1</v>
      </c>
    </row>
    <row r="5080" spans="6:8" x14ac:dyDescent="0.3">
      <c r="F5080" s="11">
        <v>6.164167</v>
      </c>
      <c r="G5080" s="11">
        <v>53.334721999999999</v>
      </c>
      <c r="H5080" s="11">
        <v>1</v>
      </c>
    </row>
    <row r="5081" spans="6:8" x14ac:dyDescent="0.3">
      <c r="F5081" s="11">
        <v>6.1550000000000002</v>
      </c>
      <c r="G5081" s="11">
        <v>53.364722</v>
      </c>
      <c r="H5081" s="11">
        <v>1</v>
      </c>
    </row>
    <row r="5082" spans="6:8" x14ac:dyDescent="0.3">
      <c r="F5082" s="11">
        <v>6.1630560000000001</v>
      </c>
      <c r="G5082" s="11">
        <v>53.405833000000001</v>
      </c>
      <c r="H5082" s="11">
        <v>1</v>
      </c>
    </row>
    <row r="5083" spans="6:8" x14ac:dyDescent="0.3">
      <c r="F5083" s="11">
        <v>6.2225000000000001</v>
      </c>
      <c r="G5083" s="11">
        <v>53.411667000000001</v>
      </c>
      <c r="H5083" s="11">
        <v>1</v>
      </c>
    </row>
    <row r="5084" spans="6:8" x14ac:dyDescent="0.3">
      <c r="F5084" s="11">
        <v>6.2850000000000001</v>
      </c>
      <c r="G5084" s="11">
        <v>53.405833000000001</v>
      </c>
      <c r="H5084" s="11">
        <v>1</v>
      </c>
    </row>
    <row r="5085" spans="6:8" x14ac:dyDescent="0.3">
      <c r="H5085" s="11">
        <v>1</v>
      </c>
    </row>
    <row r="5086" spans="6:8" x14ac:dyDescent="0.3">
      <c r="F5086" s="11">
        <v>6.8061109999999996</v>
      </c>
      <c r="G5086" s="11">
        <v>53.273611000000002</v>
      </c>
      <c r="H5086" s="11">
        <v>1</v>
      </c>
    </row>
    <row r="5087" spans="6:8" x14ac:dyDescent="0.3">
      <c r="H5087" s="11">
        <v>1</v>
      </c>
    </row>
    <row r="5088" spans="6:8" x14ac:dyDescent="0.3">
      <c r="F5088" s="11">
        <v>7.282222</v>
      </c>
      <c r="G5088" s="11">
        <v>53.414721999999998</v>
      </c>
      <c r="H5088" s="11">
        <v>1</v>
      </c>
    </row>
    <row r="5089" spans="6:8" x14ac:dyDescent="0.3">
      <c r="H5089" s="11">
        <v>1</v>
      </c>
    </row>
    <row r="5090" spans="6:8" x14ac:dyDescent="0.3">
      <c r="F5090" s="11">
        <v>7.2949999999999999</v>
      </c>
      <c r="G5090" s="11">
        <v>53.417222000000002</v>
      </c>
      <c r="H5090" s="11">
        <v>1</v>
      </c>
    </row>
    <row r="5091" spans="6:8" x14ac:dyDescent="0.3">
      <c r="F5091" s="11">
        <v>7.2986110000000002</v>
      </c>
      <c r="G5091" s="11">
        <v>53.446666999999998</v>
      </c>
      <c r="H5091" s="11">
        <v>1</v>
      </c>
    </row>
    <row r="5092" spans="6:8" x14ac:dyDescent="0.3">
      <c r="H5092" s="11">
        <v>1</v>
      </c>
    </row>
    <row r="5093" spans="6:8" x14ac:dyDescent="0.3">
      <c r="F5093" s="11">
        <v>7.9950000000000001</v>
      </c>
      <c r="G5093" s="11">
        <v>53.194721999999999</v>
      </c>
      <c r="H5093" s="11">
        <v>1</v>
      </c>
    </row>
    <row r="5094" spans="6:8" x14ac:dyDescent="0.3">
      <c r="F5094" s="11">
        <v>8.0347220000000004</v>
      </c>
      <c r="G5094" s="11">
        <v>53.202500000000001</v>
      </c>
      <c r="H5094" s="11">
        <v>1</v>
      </c>
    </row>
    <row r="5095" spans="6:8" x14ac:dyDescent="0.3">
      <c r="H5095" s="11">
        <v>1</v>
      </c>
    </row>
    <row r="5096" spans="6:8" x14ac:dyDescent="0.3">
      <c r="F5096" s="11">
        <v>8.7805560000000007</v>
      </c>
      <c r="G5096" s="11">
        <v>47.131943999999997</v>
      </c>
      <c r="H5096" s="11">
        <v>1</v>
      </c>
    </row>
    <row r="5097" spans="6:8" x14ac:dyDescent="0.3">
      <c r="F5097" s="11">
        <v>8.7902780000000007</v>
      </c>
      <c r="G5097" s="11">
        <v>47.146943999999998</v>
      </c>
      <c r="H5097" s="11">
        <v>1</v>
      </c>
    </row>
    <row r="5098" spans="6:8" x14ac:dyDescent="0.3">
      <c r="F5098" s="11">
        <v>8.8141669999999994</v>
      </c>
      <c r="G5098" s="11">
        <v>47.095556000000002</v>
      </c>
      <c r="H5098" s="11">
        <v>1</v>
      </c>
    </row>
    <row r="5099" spans="6:8" x14ac:dyDescent="0.3">
      <c r="H5099" s="11">
        <v>1</v>
      </c>
    </row>
    <row r="5100" spans="6:8" x14ac:dyDescent="0.3">
      <c r="F5100" s="11">
        <v>8.4044439999999998</v>
      </c>
      <c r="G5100" s="11">
        <v>47.005277999999997</v>
      </c>
      <c r="H5100" s="11">
        <v>1</v>
      </c>
    </row>
    <row r="5101" spans="6:8" x14ac:dyDescent="0.3">
      <c r="F5101" s="11">
        <v>8.3186110000000006</v>
      </c>
      <c r="G5101" s="11">
        <v>47.01</v>
      </c>
      <c r="H5101" s="11">
        <v>1</v>
      </c>
    </row>
    <row r="5102" spans="6:8" x14ac:dyDescent="0.3">
      <c r="F5102" s="11">
        <v>8.3275000000000006</v>
      </c>
      <c r="G5102" s="11">
        <v>47.04</v>
      </c>
      <c r="H5102" s="11">
        <v>1</v>
      </c>
    </row>
    <row r="5103" spans="6:8" x14ac:dyDescent="0.3">
      <c r="F5103" s="11">
        <v>8.3466670000000001</v>
      </c>
      <c r="G5103" s="11">
        <v>47.035556</v>
      </c>
      <c r="H5103" s="11">
        <v>1</v>
      </c>
    </row>
    <row r="5104" spans="6:8" x14ac:dyDescent="0.3">
      <c r="F5104" s="11">
        <v>8.4024999999999999</v>
      </c>
      <c r="G5104" s="11">
        <v>47.0625</v>
      </c>
      <c r="H5104" s="11">
        <v>1</v>
      </c>
    </row>
    <row r="5105" spans="6:8" x14ac:dyDescent="0.3">
      <c r="F5105" s="11">
        <v>8.4291669999999996</v>
      </c>
      <c r="G5105" s="11">
        <v>47.063056000000003</v>
      </c>
      <c r="H5105" s="11">
        <v>1</v>
      </c>
    </row>
    <row r="5106" spans="6:8" x14ac:dyDescent="0.3">
      <c r="F5106" s="11">
        <v>8.4163890000000006</v>
      </c>
      <c r="G5106" s="11">
        <v>47.031388999999997</v>
      </c>
      <c r="H5106" s="11">
        <v>1</v>
      </c>
    </row>
    <row r="5107" spans="6:8" x14ac:dyDescent="0.3">
      <c r="F5107" s="11">
        <v>8.4752779999999994</v>
      </c>
      <c r="G5107" s="11">
        <v>47.006388999999999</v>
      </c>
      <c r="H5107" s="11">
        <v>1</v>
      </c>
    </row>
    <row r="5108" spans="6:8" x14ac:dyDescent="0.3">
      <c r="H5108" s="11">
        <v>1</v>
      </c>
    </row>
    <row r="5109" spans="6:8" x14ac:dyDescent="0.3">
      <c r="F5109" s="11">
        <v>8.1227780000000003</v>
      </c>
      <c r="G5109" s="11">
        <v>47.163055999999997</v>
      </c>
      <c r="H5109" s="11">
        <v>1</v>
      </c>
    </row>
    <row r="5110" spans="6:8" x14ac:dyDescent="0.3">
      <c r="F5110" s="11">
        <v>8.1649999999999991</v>
      </c>
      <c r="G5110" s="11">
        <v>47.149444000000003</v>
      </c>
      <c r="H5110" s="11">
        <v>1</v>
      </c>
    </row>
    <row r="5111" spans="6:8" x14ac:dyDescent="0.3">
      <c r="H5111" s="11">
        <v>1</v>
      </c>
    </row>
    <row r="5112" spans="6:8" x14ac:dyDescent="0.3">
      <c r="F5112" s="11">
        <v>8.2636109999999992</v>
      </c>
      <c r="G5112" s="11">
        <v>47.210833000000001</v>
      </c>
      <c r="H5112" s="11">
        <v>1</v>
      </c>
    </row>
    <row r="5113" spans="6:8" x14ac:dyDescent="0.3">
      <c r="H5113" s="11">
        <v>1</v>
      </c>
    </row>
    <row r="5114" spans="6:8" x14ac:dyDescent="0.3">
      <c r="F5114" s="11">
        <v>8.1958330000000004</v>
      </c>
      <c r="G5114" s="11">
        <v>47.318333000000003</v>
      </c>
      <c r="H5114" s="11">
        <v>1</v>
      </c>
    </row>
    <row r="5115" spans="6:8" x14ac:dyDescent="0.3">
      <c r="F5115" s="11">
        <v>8.2219440000000006</v>
      </c>
      <c r="G5115" s="11">
        <v>47.275278</v>
      </c>
      <c r="H5115" s="11">
        <v>1</v>
      </c>
    </row>
    <row r="5116" spans="6:8" x14ac:dyDescent="0.3">
      <c r="H5116" s="11">
        <v>1</v>
      </c>
    </row>
    <row r="5117" spans="6:8" x14ac:dyDescent="0.3">
      <c r="F5117" s="11">
        <v>8.4772219999999994</v>
      </c>
      <c r="G5117" s="11">
        <v>47.112222000000003</v>
      </c>
      <c r="H5117" s="11">
        <v>1</v>
      </c>
    </row>
    <row r="5118" spans="6:8" x14ac:dyDescent="0.3">
      <c r="F5118" s="11">
        <v>8.4630559999999999</v>
      </c>
      <c r="G5118" s="11">
        <v>47.157499999999999</v>
      </c>
      <c r="H5118" s="11">
        <v>1</v>
      </c>
    </row>
    <row r="5119" spans="6:8" x14ac:dyDescent="0.3">
      <c r="F5119" s="11">
        <v>8.5044439999999994</v>
      </c>
      <c r="G5119" s="11">
        <v>47.178610999999997</v>
      </c>
      <c r="H5119" s="11">
        <v>1</v>
      </c>
    </row>
    <row r="5120" spans="6:8" x14ac:dyDescent="0.3">
      <c r="F5120" s="11">
        <v>8.4916669999999996</v>
      </c>
      <c r="G5120" s="11">
        <v>47.124443999999997</v>
      </c>
      <c r="H5120" s="11">
        <v>1</v>
      </c>
    </row>
    <row r="5121" spans="6:8" x14ac:dyDescent="0.3">
      <c r="F5121" s="11">
        <v>8.5186109999999999</v>
      </c>
      <c r="G5121" s="11">
        <v>47.074722000000001</v>
      </c>
      <c r="H5121" s="11">
        <v>1</v>
      </c>
    </row>
    <row r="5122" spans="6:8" x14ac:dyDescent="0.3">
      <c r="H5122" s="11">
        <v>1</v>
      </c>
    </row>
    <row r="5123" spans="6:8" x14ac:dyDescent="0.3">
      <c r="F5123" s="11">
        <v>8.6608330000000002</v>
      </c>
      <c r="G5123" s="11">
        <v>47.246389000000001</v>
      </c>
      <c r="H5123" s="11">
        <v>1</v>
      </c>
    </row>
    <row r="5124" spans="6:8" x14ac:dyDescent="0.3">
      <c r="F5124" s="11">
        <v>8.5958330000000007</v>
      </c>
      <c r="G5124" s="11">
        <v>47.271388999999999</v>
      </c>
      <c r="H5124" s="11">
        <v>1</v>
      </c>
    </row>
    <row r="5125" spans="6:8" x14ac:dyDescent="0.3">
      <c r="F5125" s="11">
        <v>8.56</v>
      </c>
      <c r="G5125" s="11">
        <v>47.315277999999999</v>
      </c>
      <c r="H5125" s="11">
        <v>1</v>
      </c>
    </row>
    <row r="5126" spans="6:8" x14ac:dyDescent="0.3">
      <c r="F5126" s="11">
        <v>8.5336110000000005</v>
      </c>
      <c r="G5126" s="11">
        <v>47.364443999999999</v>
      </c>
      <c r="H5126" s="11">
        <v>1</v>
      </c>
    </row>
    <row r="5127" spans="6:8" x14ac:dyDescent="0.3">
      <c r="F5127" s="11">
        <v>8.5716669999999997</v>
      </c>
      <c r="G5127" s="11">
        <v>47.322778</v>
      </c>
      <c r="H5127" s="11">
        <v>1</v>
      </c>
    </row>
    <row r="5128" spans="6:8" x14ac:dyDescent="0.3">
      <c r="F5128" s="11">
        <v>8.6163889999999999</v>
      </c>
      <c r="G5128" s="11">
        <v>47.284999999999997</v>
      </c>
      <c r="H5128" s="11">
        <v>1</v>
      </c>
    </row>
    <row r="5129" spans="6:8" x14ac:dyDescent="0.3">
      <c r="F5129" s="11">
        <v>8.6794440000000002</v>
      </c>
      <c r="G5129" s="11">
        <v>47.258889000000003</v>
      </c>
      <c r="H5129" s="11">
        <v>1</v>
      </c>
    </row>
    <row r="5130" spans="6:8" x14ac:dyDescent="0.3">
      <c r="F5130" s="11">
        <v>8.7447219999999994</v>
      </c>
      <c r="G5130" s="11">
        <v>47.235278000000001</v>
      </c>
      <c r="H5130" s="11">
        <v>1</v>
      </c>
    </row>
    <row r="5131" spans="6:8" x14ac:dyDescent="0.3">
      <c r="F5131" s="11">
        <v>8.8055559999999993</v>
      </c>
      <c r="G5131" s="11">
        <v>47.223889</v>
      </c>
      <c r="H5131" s="11">
        <v>1</v>
      </c>
    </row>
    <row r="5132" spans="6:8" x14ac:dyDescent="0.3">
      <c r="F5132" s="11">
        <v>8.7358329999999995</v>
      </c>
      <c r="G5132" s="11">
        <v>47.209721999999999</v>
      </c>
      <c r="H5132" s="11">
        <v>1</v>
      </c>
    </row>
    <row r="5133" spans="6:8" x14ac:dyDescent="0.3">
      <c r="H5133" s="11">
        <v>1</v>
      </c>
    </row>
    <row r="5134" spans="6:8" x14ac:dyDescent="0.3">
      <c r="F5134" s="11">
        <v>8.6488890000000005</v>
      </c>
      <c r="G5134" s="11">
        <v>47.368889000000003</v>
      </c>
      <c r="H5134" s="11">
        <v>1</v>
      </c>
    </row>
    <row r="5135" spans="6:8" x14ac:dyDescent="0.3">
      <c r="F5135" s="11">
        <v>8.6933330000000009</v>
      </c>
      <c r="G5135" s="11">
        <v>47.341388999999999</v>
      </c>
      <c r="H5135" s="11">
        <v>1</v>
      </c>
    </row>
    <row r="5136" spans="6:8" x14ac:dyDescent="0.3">
      <c r="H5136" s="11">
        <v>1</v>
      </c>
    </row>
    <row r="5137" spans="6:8" x14ac:dyDescent="0.3">
      <c r="F5137" s="11">
        <v>8.7830560000000002</v>
      </c>
      <c r="G5137" s="11">
        <v>47.343333000000001</v>
      </c>
      <c r="H5137" s="11">
        <v>1</v>
      </c>
    </row>
    <row r="5138" spans="6:8" x14ac:dyDescent="0.3">
      <c r="H5138" s="11">
        <v>1</v>
      </c>
    </row>
    <row r="5139" spans="6:8" x14ac:dyDescent="0.3">
      <c r="F5139" s="11">
        <v>8.9716670000000001</v>
      </c>
      <c r="G5139" s="11">
        <v>47.678610999999997</v>
      </c>
      <c r="H5139" s="11">
        <v>1</v>
      </c>
    </row>
    <row r="5140" spans="6:8" x14ac:dyDescent="0.3">
      <c r="F5140" s="11">
        <v>8.9788890000000006</v>
      </c>
      <c r="G5140" s="11">
        <v>47.711666999999998</v>
      </c>
      <c r="H5140" s="11">
        <v>1</v>
      </c>
    </row>
    <row r="5141" spans="6:8" x14ac:dyDescent="0.3">
      <c r="F5141" s="11">
        <v>8.9636110000000002</v>
      </c>
      <c r="G5141" s="11">
        <v>47.739167000000002</v>
      </c>
      <c r="H5141" s="11">
        <v>1</v>
      </c>
    </row>
    <row r="5142" spans="6:8" x14ac:dyDescent="0.3">
      <c r="F5142" s="11">
        <v>8.9886110000000006</v>
      </c>
      <c r="G5142" s="11">
        <v>47.740278000000004</v>
      </c>
      <c r="H5142" s="11">
        <v>1</v>
      </c>
    </row>
    <row r="5143" spans="6:8" x14ac:dyDescent="0.3">
      <c r="F5143" s="11">
        <v>8.9558330000000002</v>
      </c>
      <c r="G5143" s="11">
        <v>47.655000000000001</v>
      </c>
      <c r="H5143" s="11">
        <v>1</v>
      </c>
    </row>
    <row r="5144" spans="6:8" x14ac:dyDescent="0.3">
      <c r="F5144" s="11">
        <v>8.8833330000000004</v>
      </c>
      <c r="G5144" s="11">
        <v>47.653888999999999</v>
      </c>
      <c r="H5144" s="11">
        <v>1</v>
      </c>
    </row>
    <row r="5145" spans="6:8" x14ac:dyDescent="0.3">
      <c r="H5145" s="11">
        <v>1</v>
      </c>
    </row>
    <row r="5146" spans="6:8" x14ac:dyDescent="0.3">
      <c r="F5146" s="11">
        <v>8.8327779999999994</v>
      </c>
      <c r="G5146" s="11">
        <v>47.196944000000002</v>
      </c>
      <c r="H5146" s="11">
        <v>1</v>
      </c>
    </row>
    <row r="5147" spans="6:8" x14ac:dyDescent="0.3">
      <c r="F5147" s="11">
        <v>8.8175000000000008</v>
      </c>
      <c r="G5147" s="11">
        <v>47.223610999999998</v>
      </c>
      <c r="H5147" s="11">
        <v>1</v>
      </c>
    </row>
    <row r="5148" spans="6:8" x14ac:dyDescent="0.3">
      <c r="F5148" s="11">
        <v>8.8941669999999995</v>
      </c>
      <c r="G5148" s="11">
        <v>47.224443999999998</v>
      </c>
      <c r="H5148" s="11">
        <v>1</v>
      </c>
    </row>
    <row r="5149" spans="6:8" x14ac:dyDescent="0.3">
      <c r="F5149" s="11">
        <v>8.9133329999999997</v>
      </c>
      <c r="G5149" s="11">
        <v>47.212778</v>
      </c>
      <c r="H5149" s="11">
        <v>1</v>
      </c>
    </row>
    <row r="5150" spans="6:8" x14ac:dyDescent="0.3">
      <c r="H5150" s="11">
        <v>1</v>
      </c>
    </row>
    <row r="5151" spans="6:8" x14ac:dyDescent="0.3">
      <c r="F5151" s="11">
        <v>8.6033329999999992</v>
      </c>
      <c r="G5151" s="11">
        <v>47.039166999999999</v>
      </c>
      <c r="H5151" s="11">
        <v>1</v>
      </c>
    </row>
    <row r="5152" spans="6:8" x14ac:dyDescent="0.3">
      <c r="H5152" s="11">
        <v>1</v>
      </c>
    </row>
    <row r="5153" spans="6:8" x14ac:dyDescent="0.3">
      <c r="F5153" s="11">
        <v>4.3411109999999997</v>
      </c>
      <c r="G5153" s="11">
        <v>48.266666999999998</v>
      </c>
      <c r="H5153" s="11">
        <v>1</v>
      </c>
    </row>
    <row r="5154" spans="6:8" x14ac:dyDescent="0.3">
      <c r="F5154" s="11">
        <v>4.3058329999999998</v>
      </c>
      <c r="G5154" s="11">
        <v>48.273611000000002</v>
      </c>
      <c r="H5154" s="11">
        <v>1</v>
      </c>
    </row>
    <row r="5155" spans="6:8" x14ac:dyDescent="0.3">
      <c r="F5155" s="11">
        <v>4.3322219999999998</v>
      </c>
      <c r="G5155" s="11">
        <v>48.303888999999998</v>
      </c>
      <c r="H5155" s="11">
        <v>1</v>
      </c>
    </row>
    <row r="5156" spans="6:8" x14ac:dyDescent="0.3">
      <c r="F5156" s="11">
        <v>4.3813890000000004</v>
      </c>
      <c r="G5156" s="11">
        <v>48.289166999999999</v>
      </c>
      <c r="H5156" s="11">
        <v>1</v>
      </c>
    </row>
    <row r="5157" spans="6:8" x14ac:dyDescent="0.3">
      <c r="H5157" s="11">
        <v>1</v>
      </c>
    </row>
    <row r="5158" spans="6:8" x14ac:dyDescent="0.3">
      <c r="F5158" s="11">
        <v>3.888611</v>
      </c>
      <c r="G5158" s="11">
        <v>47.149721999999997</v>
      </c>
      <c r="H5158" s="11">
        <v>1</v>
      </c>
    </row>
    <row r="5159" spans="6:8" x14ac:dyDescent="0.3">
      <c r="H5159" s="11">
        <v>1</v>
      </c>
    </row>
    <row r="5160" spans="6:8" x14ac:dyDescent="0.3">
      <c r="F5160" s="11">
        <v>-2.4424999999999999</v>
      </c>
      <c r="G5160" s="11">
        <v>47.291666999999997</v>
      </c>
      <c r="H5160" s="11">
        <v>1</v>
      </c>
    </row>
    <row r="5161" spans="6:8" x14ac:dyDescent="0.3">
      <c r="H5161" s="11">
        <v>1</v>
      </c>
    </row>
    <row r="5162" spans="6:8" x14ac:dyDescent="0.3">
      <c r="F5162" s="11">
        <v>6.987222</v>
      </c>
      <c r="G5162" s="11">
        <v>47.011389000000001</v>
      </c>
      <c r="H5162" s="11">
        <v>1</v>
      </c>
    </row>
    <row r="5163" spans="6:8" x14ac:dyDescent="0.3">
      <c r="H5163" s="11">
        <v>1</v>
      </c>
    </row>
    <row r="5164" spans="6:8" x14ac:dyDescent="0.3">
      <c r="F5164" s="11">
        <v>7.1869440000000004</v>
      </c>
      <c r="G5164" s="11">
        <v>47.073056000000001</v>
      </c>
      <c r="H5164" s="11">
        <v>1</v>
      </c>
    </row>
    <row r="5165" spans="6:8" x14ac:dyDescent="0.3">
      <c r="F5165" s="11">
        <v>7.1283329999999996</v>
      </c>
      <c r="G5165" s="11">
        <v>47.045833000000002</v>
      </c>
      <c r="H5165" s="11">
        <v>1</v>
      </c>
    </row>
    <row r="5166" spans="6:8" x14ac:dyDescent="0.3">
      <c r="F5166" s="11">
        <v>7.0925000000000002</v>
      </c>
      <c r="G5166" s="11">
        <v>47.062778000000002</v>
      </c>
      <c r="H5166" s="11">
        <v>1</v>
      </c>
    </row>
    <row r="5167" spans="6:8" x14ac:dyDescent="0.3">
      <c r="F5167" s="11">
        <v>7.1522220000000001</v>
      </c>
      <c r="G5167" s="11">
        <v>47.088889000000002</v>
      </c>
      <c r="H5167" s="11">
        <v>1</v>
      </c>
    </row>
    <row r="5168" spans="6:8" x14ac:dyDescent="0.3">
      <c r="F5168" s="11">
        <v>7.2105560000000004</v>
      </c>
      <c r="G5168" s="11">
        <v>47.116667</v>
      </c>
      <c r="H5168" s="11">
        <v>1</v>
      </c>
    </row>
    <row r="5169" spans="6:8" x14ac:dyDescent="0.3">
      <c r="H5169" s="11">
        <v>1</v>
      </c>
    </row>
    <row r="5170" spans="6:8" x14ac:dyDescent="0.3">
      <c r="F5170" s="11">
        <v>3.8011110000000001</v>
      </c>
      <c r="G5170" s="11">
        <v>51.543889</v>
      </c>
      <c r="H5170" s="11">
        <v>1</v>
      </c>
    </row>
    <row r="5171" spans="6:8" x14ac:dyDescent="0.3">
      <c r="F5171" s="11">
        <v>3.7330559999999999</v>
      </c>
      <c r="G5171" s="11">
        <v>51.527777999999998</v>
      </c>
      <c r="H5171" s="11">
        <v>1</v>
      </c>
    </row>
    <row r="5172" spans="6:8" x14ac:dyDescent="0.3">
      <c r="F5172" s="11">
        <v>3.6852779999999998</v>
      </c>
      <c r="G5172" s="11">
        <v>51.543889</v>
      </c>
      <c r="H5172" s="11">
        <v>1</v>
      </c>
    </row>
    <row r="5173" spans="6:8" x14ac:dyDescent="0.3">
      <c r="F5173" s="11">
        <v>3.6344439999999998</v>
      </c>
      <c r="G5173" s="11">
        <v>51.580832999999998</v>
      </c>
      <c r="H5173" s="11">
        <v>1</v>
      </c>
    </row>
    <row r="5174" spans="6:8" x14ac:dyDescent="0.3">
      <c r="F5174" s="11">
        <v>3.6944439999999998</v>
      </c>
      <c r="G5174" s="11">
        <v>51.558889000000001</v>
      </c>
      <c r="H5174" s="11">
        <v>1</v>
      </c>
    </row>
    <row r="5175" spans="6:8" x14ac:dyDescent="0.3">
      <c r="F5175" s="11">
        <v>3.737778</v>
      </c>
      <c r="G5175" s="11">
        <v>51.543056</v>
      </c>
      <c r="H5175" s="11">
        <v>1</v>
      </c>
    </row>
    <row r="5176" spans="6:8" x14ac:dyDescent="0.3">
      <c r="F5176" s="11">
        <v>3.8191670000000002</v>
      </c>
      <c r="G5176" s="11">
        <v>51.555556000000003</v>
      </c>
      <c r="H5176" s="11">
        <v>1</v>
      </c>
    </row>
    <row r="5177" spans="6:8" x14ac:dyDescent="0.3">
      <c r="H5177" s="11">
        <v>1</v>
      </c>
    </row>
    <row r="5178" spans="6:8" x14ac:dyDescent="0.3">
      <c r="F5178" s="11">
        <v>4.545833</v>
      </c>
      <c r="G5178" s="11">
        <v>52.201667</v>
      </c>
      <c r="H5178" s="11">
        <v>1</v>
      </c>
    </row>
    <row r="5179" spans="6:8" x14ac:dyDescent="0.3">
      <c r="F5179" s="11">
        <v>4.5691670000000002</v>
      </c>
      <c r="G5179" s="11">
        <v>52.218055999999997</v>
      </c>
      <c r="H5179" s="11">
        <v>1</v>
      </c>
    </row>
    <row r="5180" spans="6:8" x14ac:dyDescent="0.3">
      <c r="H5180" s="11">
        <v>1</v>
      </c>
    </row>
    <row r="5181" spans="6:8" x14ac:dyDescent="0.3">
      <c r="F5181" s="11">
        <v>4.6516669999999998</v>
      </c>
      <c r="G5181" s="11">
        <v>52.199722000000001</v>
      </c>
      <c r="H5181" s="11">
        <v>1</v>
      </c>
    </row>
    <row r="5182" spans="6:8" x14ac:dyDescent="0.3">
      <c r="H5182" s="11">
        <v>1</v>
      </c>
    </row>
    <row r="5183" spans="6:8" x14ac:dyDescent="0.3">
      <c r="F5183" s="11">
        <v>4.7772220000000001</v>
      </c>
      <c r="G5183" s="11">
        <v>52.145555999999999</v>
      </c>
      <c r="H5183" s="11">
        <v>1</v>
      </c>
    </row>
    <row r="5184" spans="6:8" x14ac:dyDescent="0.3">
      <c r="H5184" s="11">
        <v>1</v>
      </c>
    </row>
    <row r="5185" spans="6:8" x14ac:dyDescent="0.3">
      <c r="F5185" s="11">
        <v>4.9844439999999999</v>
      </c>
      <c r="G5185" s="11">
        <v>52.230556</v>
      </c>
      <c r="H5185" s="11">
        <v>1</v>
      </c>
    </row>
    <row r="5186" spans="6:8" x14ac:dyDescent="0.3">
      <c r="H5186" s="11">
        <v>1</v>
      </c>
    </row>
    <row r="5187" spans="6:8" x14ac:dyDescent="0.3">
      <c r="F5187" s="11">
        <v>4.9527780000000003</v>
      </c>
      <c r="G5187" s="11">
        <v>52.25</v>
      </c>
      <c r="H5187" s="11">
        <v>1</v>
      </c>
    </row>
    <row r="5188" spans="6:8" x14ac:dyDescent="0.3">
      <c r="H5188" s="11">
        <v>1</v>
      </c>
    </row>
    <row r="5189" spans="6:8" x14ac:dyDescent="0.3">
      <c r="F5189" s="11">
        <v>4.7016669999999996</v>
      </c>
      <c r="G5189" s="11">
        <v>52.233055999999998</v>
      </c>
      <c r="H5189" s="11">
        <v>1</v>
      </c>
    </row>
    <row r="5190" spans="6:8" x14ac:dyDescent="0.3">
      <c r="F5190" s="11">
        <v>4.7319440000000004</v>
      </c>
      <c r="G5190" s="11">
        <v>52.259166999999998</v>
      </c>
      <c r="H5190" s="11">
        <v>1</v>
      </c>
    </row>
    <row r="5191" spans="6:8" x14ac:dyDescent="0.3">
      <c r="H5191" s="11">
        <v>1</v>
      </c>
    </row>
    <row r="5192" spans="6:8" x14ac:dyDescent="0.3">
      <c r="F5192" s="11">
        <v>5.0591670000000004</v>
      </c>
      <c r="G5192" s="11">
        <v>52.169167000000002</v>
      </c>
      <c r="H5192" s="11">
        <v>1</v>
      </c>
    </row>
    <row r="5193" spans="6:8" x14ac:dyDescent="0.3">
      <c r="F5193" s="11">
        <v>5.045833</v>
      </c>
      <c r="G5193" s="11">
        <v>52.195278000000002</v>
      </c>
      <c r="H5193" s="11">
        <v>1</v>
      </c>
    </row>
    <row r="5194" spans="6:8" x14ac:dyDescent="0.3">
      <c r="H5194" s="11">
        <v>1</v>
      </c>
    </row>
    <row r="5195" spans="6:8" x14ac:dyDescent="0.3">
      <c r="F5195" s="11">
        <v>5.0472219999999997</v>
      </c>
      <c r="G5195" s="11">
        <v>52.225278000000003</v>
      </c>
      <c r="H5195" s="11">
        <v>1</v>
      </c>
    </row>
    <row r="5196" spans="6:8" x14ac:dyDescent="0.3">
      <c r="H5196" s="11">
        <v>1</v>
      </c>
    </row>
    <row r="5197" spans="6:8" x14ac:dyDescent="0.3">
      <c r="F5197" s="11">
        <v>5.1058329999999996</v>
      </c>
      <c r="G5197" s="11">
        <v>52.248888999999998</v>
      </c>
      <c r="H5197" s="11">
        <v>1</v>
      </c>
    </row>
    <row r="5198" spans="6:8" x14ac:dyDescent="0.3">
      <c r="H5198" s="11">
        <v>1</v>
      </c>
    </row>
    <row r="5199" spans="6:8" x14ac:dyDescent="0.3">
      <c r="F5199" s="11">
        <v>5.0575000000000001</v>
      </c>
      <c r="G5199" s="11">
        <v>52.270555999999999</v>
      </c>
      <c r="H5199" s="11">
        <v>1</v>
      </c>
    </row>
    <row r="5200" spans="6:8" x14ac:dyDescent="0.3">
      <c r="H5200" s="11">
        <v>1</v>
      </c>
    </row>
    <row r="5201" spans="6:8" x14ac:dyDescent="0.3">
      <c r="F5201" s="11">
        <v>4.8172220000000001</v>
      </c>
      <c r="G5201" s="11">
        <v>52.500833</v>
      </c>
      <c r="H5201" s="11">
        <v>1</v>
      </c>
    </row>
    <row r="5202" spans="6:8" x14ac:dyDescent="0.3">
      <c r="F5202" s="11">
        <v>4.8536109999999999</v>
      </c>
      <c r="G5202" s="11">
        <v>52.519722000000002</v>
      </c>
      <c r="H5202" s="11">
        <v>1</v>
      </c>
    </row>
    <row r="5203" spans="6:8" x14ac:dyDescent="0.3">
      <c r="H5203" s="11">
        <v>1</v>
      </c>
    </row>
    <row r="5204" spans="6:8" x14ac:dyDescent="0.3">
      <c r="F5204" s="11">
        <v>4.7644440000000001</v>
      </c>
      <c r="G5204" s="11">
        <v>52.54</v>
      </c>
      <c r="H5204" s="11">
        <v>1</v>
      </c>
    </row>
    <row r="5205" spans="6:8" x14ac:dyDescent="0.3">
      <c r="F5205" s="11">
        <v>4.7549999999999999</v>
      </c>
      <c r="G5205" s="11">
        <v>52.551110999999999</v>
      </c>
      <c r="H5205" s="11">
        <v>1</v>
      </c>
    </row>
    <row r="5206" spans="6:8" x14ac:dyDescent="0.3">
      <c r="H5206" s="11">
        <v>1</v>
      </c>
    </row>
    <row r="5207" spans="6:8" x14ac:dyDescent="0.3">
      <c r="F5207" s="11">
        <v>4.9097220000000004</v>
      </c>
      <c r="G5207" s="11">
        <v>52.881110999999997</v>
      </c>
      <c r="H5207" s="11">
        <v>1</v>
      </c>
    </row>
    <row r="5208" spans="6:8" x14ac:dyDescent="0.3">
      <c r="H5208" s="11">
        <v>1</v>
      </c>
    </row>
    <row r="5209" spans="6:8" x14ac:dyDescent="0.3">
      <c r="F5209" s="11">
        <v>5.0608329999999997</v>
      </c>
      <c r="G5209" s="11">
        <v>52.923333</v>
      </c>
      <c r="H5209" s="11">
        <v>1</v>
      </c>
    </row>
    <row r="5210" spans="6:8" x14ac:dyDescent="0.3">
      <c r="F5210" s="11">
        <v>5.0969439999999997</v>
      </c>
      <c r="G5210" s="11">
        <v>52.88</v>
      </c>
      <c r="H5210" s="11">
        <v>1</v>
      </c>
    </row>
    <row r="5211" spans="6:8" x14ac:dyDescent="0.3">
      <c r="F5211" s="11">
        <v>5.1252779999999998</v>
      </c>
      <c r="G5211" s="11">
        <v>52.834167000000001</v>
      </c>
      <c r="H5211" s="11">
        <v>1</v>
      </c>
    </row>
    <row r="5212" spans="6:8" x14ac:dyDescent="0.3">
      <c r="F5212" s="11">
        <v>5.1233329999999997</v>
      </c>
      <c r="G5212" s="11">
        <v>52.780278000000003</v>
      </c>
      <c r="H5212" s="11">
        <v>1</v>
      </c>
    </row>
    <row r="5213" spans="6:8" x14ac:dyDescent="0.3">
      <c r="F5213" s="11">
        <v>5.1736110000000002</v>
      </c>
      <c r="G5213" s="11">
        <v>52.743333</v>
      </c>
      <c r="H5213" s="11">
        <v>1</v>
      </c>
    </row>
    <row r="5214" spans="6:8" x14ac:dyDescent="0.3">
      <c r="F5214" s="11">
        <v>5.2583330000000004</v>
      </c>
      <c r="G5214" s="11">
        <v>52.752222000000003</v>
      </c>
      <c r="H5214" s="11">
        <v>1</v>
      </c>
    </row>
    <row r="5215" spans="6:8" x14ac:dyDescent="0.3">
      <c r="F5215" s="11">
        <v>5.2986110000000002</v>
      </c>
      <c r="G5215" s="11">
        <v>52.712499999999999</v>
      </c>
      <c r="H5215" s="11">
        <v>1</v>
      </c>
    </row>
    <row r="5216" spans="6:8" x14ac:dyDescent="0.3">
      <c r="F5216" s="11">
        <v>5.2522219999999997</v>
      </c>
      <c r="G5216" s="11">
        <v>52.679443999999997</v>
      </c>
      <c r="H5216" s="11">
        <v>1</v>
      </c>
    </row>
    <row r="5217" spans="6:8" x14ac:dyDescent="0.3">
      <c r="F5217" s="11">
        <v>5.2013889999999998</v>
      </c>
      <c r="G5217" s="11">
        <v>52.639721999999999</v>
      </c>
      <c r="H5217" s="11">
        <v>1</v>
      </c>
    </row>
    <row r="5218" spans="6:8" x14ac:dyDescent="0.3">
      <c r="F5218" s="11">
        <v>5.1325000000000003</v>
      </c>
      <c r="G5218" s="11">
        <v>52.629722000000001</v>
      </c>
      <c r="H5218" s="11">
        <v>1</v>
      </c>
    </row>
    <row r="5219" spans="6:8" x14ac:dyDescent="0.3">
      <c r="F5219" s="11">
        <v>5.0666669999999998</v>
      </c>
      <c r="G5219" s="11">
        <v>52.640555999999997</v>
      </c>
      <c r="H5219" s="11">
        <v>1</v>
      </c>
    </row>
    <row r="5220" spans="6:8" x14ac:dyDescent="0.3">
      <c r="F5220" s="11">
        <v>5.0333329999999998</v>
      </c>
      <c r="G5220" s="11">
        <v>52.606110999999999</v>
      </c>
      <c r="H5220" s="11">
        <v>1</v>
      </c>
    </row>
    <row r="5221" spans="6:8" x14ac:dyDescent="0.3">
      <c r="F5221" s="11">
        <v>5.058611</v>
      </c>
      <c r="G5221" s="11">
        <v>52.557222000000003</v>
      </c>
      <c r="H5221" s="11">
        <v>1</v>
      </c>
    </row>
    <row r="5222" spans="6:8" x14ac:dyDescent="0.3">
      <c r="F5222" s="11">
        <v>5.0905560000000003</v>
      </c>
      <c r="G5222" s="11">
        <v>52.511389000000001</v>
      </c>
      <c r="H5222" s="11">
        <v>1</v>
      </c>
    </row>
    <row r="5223" spans="6:8" x14ac:dyDescent="0.3">
      <c r="F5223" s="11">
        <v>5.0686109999999998</v>
      </c>
      <c r="G5223" s="11">
        <v>52.468611000000003</v>
      </c>
      <c r="H5223" s="11">
        <v>1</v>
      </c>
    </row>
    <row r="5224" spans="6:8" x14ac:dyDescent="0.3">
      <c r="F5224" s="11">
        <v>5.08</v>
      </c>
      <c r="G5224" s="11">
        <v>52.440277999999999</v>
      </c>
      <c r="H5224" s="11">
        <v>1</v>
      </c>
    </row>
    <row r="5225" spans="6:8" x14ac:dyDescent="0.3">
      <c r="F5225" s="11">
        <v>5.0475000000000003</v>
      </c>
      <c r="G5225" s="11">
        <v>52.403888999999999</v>
      </c>
      <c r="H5225" s="11">
        <v>1</v>
      </c>
    </row>
    <row r="5226" spans="6:8" x14ac:dyDescent="0.3">
      <c r="F5226" s="11">
        <v>4.9880560000000003</v>
      </c>
      <c r="G5226" s="11">
        <v>52.380277999999997</v>
      </c>
      <c r="H5226" s="11">
        <v>1</v>
      </c>
    </row>
    <row r="5227" spans="6:8" x14ac:dyDescent="0.3">
      <c r="F5227" s="11">
        <v>4.9924999999999997</v>
      </c>
      <c r="G5227" s="11">
        <v>52.361389000000003</v>
      </c>
      <c r="H5227" s="11">
        <v>1</v>
      </c>
    </row>
    <row r="5228" spans="6:8" x14ac:dyDescent="0.3">
      <c r="F5228" s="11">
        <v>5.0650000000000004</v>
      </c>
      <c r="G5228" s="11">
        <v>52.341943999999998</v>
      </c>
      <c r="H5228" s="11">
        <v>1</v>
      </c>
    </row>
    <row r="5229" spans="6:8" x14ac:dyDescent="0.3">
      <c r="F5229" s="11">
        <v>5.1422220000000003</v>
      </c>
      <c r="G5229" s="11">
        <v>52.321389000000003</v>
      </c>
      <c r="H5229" s="11">
        <v>1</v>
      </c>
    </row>
    <row r="5230" spans="6:8" x14ac:dyDescent="0.3">
      <c r="F5230" s="11">
        <v>5.2202780000000004</v>
      </c>
      <c r="G5230" s="11">
        <v>52.31</v>
      </c>
      <c r="H5230" s="11">
        <v>1</v>
      </c>
    </row>
    <row r="5231" spans="6:8" x14ac:dyDescent="0.3">
      <c r="F5231" s="11">
        <v>5.3030559999999998</v>
      </c>
      <c r="G5231" s="11">
        <v>52.295833000000002</v>
      </c>
      <c r="H5231" s="11">
        <v>1</v>
      </c>
    </row>
    <row r="5232" spans="6:8" x14ac:dyDescent="0.3">
      <c r="F5232" s="11">
        <v>5.3755559999999996</v>
      </c>
      <c r="G5232" s="11">
        <v>52.269167000000003</v>
      </c>
      <c r="H5232" s="11">
        <v>1</v>
      </c>
    </row>
    <row r="5233" spans="6:8" x14ac:dyDescent="0.3">
      <c r="F5233" s="11">
        <v>5.4463889999999999</v>
      </c>
      <c r="G5233" s="11">
        <v>52.252777999999999</v>
      </c>
      <c r="H5233" s="11">
        <v>1</v>
      </c>
    </row>
    <row r="5234" spans="6:8" x14ac:dyDescent="0.3">
      <c r="F5234" s="11">
        <v>5.5294439999999998</v>
      </c>
      <c r="G5234" s="11">
        <v>52.265278000000002</v>
      </c>
      <c r="H5234" s="11">
        <v>1</v>
      </c>
    </row>
    <row r="5235" spans="6:8" x14ac:dyDescent="0.3">
      <c r="F5235" s="11">
        <v>5.5702780000000001</v>
      </c>
      <c r="G5235" s="11">
        <v>52.313333</v>
      </c>
      <c r="H5235" s="11">
        <v>1</v>
      </c>
    </row>
    <row r="5236" spans="6:8" x14ac:dyDescent="0.3">
      <c r="F5236" s="11">
        <v>5.6219440000000001</v>
      </c>
      <c r="G5236" s="11">
        <v>52.352221999999998</v>
      </c>
      <c r="H5236" s="11">
        <v>1</v>
      </c>
    </row>
    <row r="5237" spans="6:8" x14ac:dyDescent="0.3">
      <c r="F5237" s="11">
        <v>5.6891670000000003</v>
      </c>
      <c r="G5237" s="11">
        <v>52.378056000000001</v>
      </c>
      <c r="H5237" s="11">
        <v>1</v>
      </c>
    </row>
    <row r="5238" spans="6:8" x14ac:dyDescent="0.3">
      <c r="F5238" s="11">
        <v>5.7608329999999999</v>
      </c>
      <c r="G5238" s="11">
        <v>52.400278</v>
      </c>
      <c r="H5238" s="11">
        <v>1</v>
      </c>
    </row>
    <row r="5239" spans="6:8" x14ac:dyDescent="0.3">
      <c r="F5239" s="11">
        <v>5.8202780000000001</v>
      </c>
      <c r="G5239" s="11">
        <v>52.433056000000001</v>
      </c>
      <c r="H5239" s="11">
        <v>1</v>
      </c>
    </row>
    <row r="5240" spans="6:8" x14ac:dyDescent="0.3">
      <c r="F5240" s="11">
        <v>5.861389</v>
      </c>
      <c r="G5240" s="11">
        <v>52.479722000000002</v>
      </c>
      <c r="H5240" s="11">
        <v>1</v>
      </c>
    </row>
    <row r="5241" spans="6:8" x14ac:dyDescent="0.3">
      <c r="F5241" s="11">
        <v>5.871111</v>
      </c>
      <c r="G5241" s="11">
        <v>52.534444000000001</v>
      </c>
      <c r="H5241" s="11">
        <v>1</v>
      </c>
    </row>
    <row r="5242" spans="6:8" x14ac:dyDescent="0.3">
      <c r="F5242" s="11">
        <v>5.8269440000000001</v>
      </c>
      <c r="G5242" s="11">
        <v>52.574722000000001</v>
      </c>
      <c r="H5242" s="11">
        <v>1</v>
      </c>
    </row>
    <row r="5243" spans="6:8" x14ac:dyDescent="0.3">
      <c r="F5243" s="11">
        <v>5.8511110000000004</v>
      </c>
      <c r="G5243" s="11">
        <v>52.591388999999999</v>
      </c>
      <c r="H5243" s="11">
        <v>1</v>
      </c>
    </row>
    <row r="5244" spans="6:8" x14ac:dyDescent="0.3">
      <c r="F5244" s="11">
        <v>5.7844439999999997</v>
      </c>
      <c r="G5244" s="11">
        <v>52.607500000000002</v>
      </c>
      <c r="H5244" s="11">
        <v>1</v>
      </c>
    </row>
    <row r="5245" spans="6:8" x14ac:dyDescent="0.3">
      <c r="F5245" s="11">
        <v>5.6855560000000001</v>
      </c>
      <c r="G5245" s="11">
        <v>52.607778000000003</v>
      </c>
      <c r="H5245" s="11">
        <v>1</v>
      </c>
    </row>
    <row r="5246" spans="6:8" x14ac:dyDescent="0.3">
      <c r="F5246" s="11">
        <v>5.6305560000000003</v>
      </c>
      <c r="G5246" s="11">
        <v>52.636667000000003</v>
      </c>
      <c r="H5246" s="11">
        <v>1</v>
      </c>
    </row>
    <row r="5247" spans="6:8" x14ac:dyDescent="0.3">
      <c r="F5247" s="11">
        <v>5.6</v>
      </c>
      <c r="G5247" s="11">
        <v>52.683056000000001</v>
      </c>
      <c r="H5247" s="11">
        <v>1</v>
      </c>
    </row>
    <row r="5248" spans="6:8" x14ac:dyDescent="0.3">
      <c r="F5248" s="11">
        <v>5.5958329999999998</v>
      </c>
      <c r="G5248" s="11">
        <v>52.741110999999997</v>
      </c>
      <c r="H5248" s="11">
        <v>1</v>
      </c>
    </row>
    <row r="5249" spans="6:8" x14ac:dyDescent="0.3">
      <c r="F5249" s="11">
        <v>5.6325000000000003</v>
      </c>
      <c r="G5249" s="11">
        <v>52.791111000000001</v>
      </c>
      <c r="H5249" s="11">
        <v>1</v>
      </c>
    </row>
    <row r="5250" spans="6:8" x14ac:dyDescent="0.3">
      <c r="F5250" s="11">
        <v>5.6833330000000002</v>
      </c>
      <c r="G5250" s="11">
        <v>52.831111</v>
      </c>
      <c r="H5250" s="11">
        <v>1</v>
      </c>
    </row>
    <row r="5251" spans="6:8" x14ac:dyDescent="0.3">
      <c r="F5251" s="11">
        <v>5.668056</v>
      </c>
      <c r="G5251" s="11">
        <v>52.842778000000003</v>
      </c>
      <c r="H5251" s="11">
        <v>1</v>
      </c>
    </row>
    <row r="5252" spans="6:8" x14ac:dyDescent="0.3">
      <c r="F5252" s="11">
        <v>5.5952780000000004</v>
      </c>
      <c r="G5252" s="11">
        <v>52.848332999999997</v>
      </c>
      <c r="H5252" s="11">
        <v>1</v>
      </c>
    </row>
    <row r="5253" spans="6:8" x14ac:dyDescent="0.3">
      <c r="F5253" s="11">
        <v>5.5238889999999996</v>
      </c>
      <c r="G5253" s="11">
        <v>52.841667000000001</v>
      </c>
      <c r="H5253" s="11">
        <v>1</v>
      </c>
    </row>
    <row r="5254" spans="6:8" x14ac:dyDescent="0.3">
      <c r="F5254" s="11">
        <v>5.433611</v>
      </c>
      <c r="G5254" s="11">
        <v>52.850555999999997</v>
      </c>
      <c r="H5254" s="11">
        <v>1</v>
      </c>
    </row>
    <row r="5255" spans="6:8" x14ac:dyDescent="0.3">
      <c r="F5255" s="11">
        <v>5.3672219999999999</v>
      </c>
      <c r="G5255" s="11">
        <v>52.881110999999997</v>
      </c>
      <c r="H5255" s="11">
        <v>1</v>
      </c>
    </row>
    <row r="5256" spans="6:8" x14ac:dyDescent="0.3">
      <c r="F5256" s="11">
        <v>5.414167</v>
      </c>
      <c r="G5256" s="11">
        <v>52.917499999999997</v>
      </c>
      <c r="H5256" s="11">
        <v>1</v>
      </c>
    </row>
    <row r="5257" spans="6:8" x14ac:dyDescent="0.3">
      <c r="F5257" s="11">
        <v>5.4205560000000004</v>
      </c>
      <c r="G5257" s="11">
        <v>52.964444</v>
      </c>
      <c r="H5257" s="11">
        <v>1</v>
      </c>
    </row>
    <row r="5258" spans="6:8" x14ac:dyDescent="0.3">
      <c r="F5258" s="11">
        <v>5.4122219999999999</v>
      </c>
      <c r="G5258" s="11">
        <v>53.021110999999998</v>
      </c>
      <c r="H5258" s="11">
        <v>1</v>
      </c>
    </row>
    <row r="5259" spans="6:8" x14ac:dyDescent="0.3">
      <c r="F5259" s="11">
        <v>5.3797220000000001</v>
      </c>
      <c r="G5259" s="11">
        <v>53.063056000000003</v>
      </c>
      <c r="H5259" s="11">
        <v>1</v>
      </c>
    </row>
    <row r="5260" spans="6:8" x14ac:dyDescent="0.3">
      <c r="H5260" s="11">
        <v>1</v>
      </c>
    </row>
    <row r="5261" spans="6:8" x14ac:dyDescent="0.3">
      <c r="F5261" s="11">
        <v>5.8091670000000004</v>
      </c>
      <c r="G5261" s="11">
        <v>52.878332999999998</v>
      </c>
      <c r="H5261" s="11">
        <v>1</v>
      </c>
    </row>
    <row r="5262" spans="6:8" x14ac:dyDescent="0.3">
      <c r="F5262" s="11">
        <v>5.7727779999999997</v>
      </c>
      <c r="G5262" s="11">
        <v>52.894444</v>
      </c>
      <c r="H5262" s="11">
        <v>1</v>
      </c>
    </row>
    <row r="5263" spans="6:8" x14ac:dyDescent="0.3">
      <c r="F5263" s="11">
        <v>5.8138889999999996</v>
      </c>
      <c r="G5263" s="11">
        <v>52.913888999999998</v>
      </c>
      <c r="H5263" s="11">
        <v>1</v>
      </c>
    </row>
    <row r="5264" spans="6:8" x14ac:dyDescent="0.3">
      <c r="H5264" s="11">
        <v>1</v>
      </c>
    </row>
    <row r="5265" spans="6:8" x14ac:dyDescent="0.3">
      <c r="F5265" s="11">
        <v>5.7</v>
      </c>
      <c r="G5265" s="11">
        <v>52.88</v>
      </c>
      <c r="H5265" s="11">
        <v>1</v>
      </c>
    </row>
    <row r="5266" spans="6:8" x14ac:dyDescent="0.3">
      <c r="H5266" s="11">
        <v>1</v>
      </c>
    </row>
    <row r="5267" spans="6:8" x14ac:dyDescent="0.3">
      <c r="F5267" s="11">
        <v>5.6872220000000002</v>
      </c>
      <c r="G5267" s="11">
        <v>52.937221999999998</v>
      </c>
      <c r="H5267" s="11">
        <v>1</v>
      </c>
    </row>
    <row r="5268" spans="6:8" x14ac:dyDescent="0.3">
      <c r="H5268" s="11">
        <v>1</v>
      </c>
    </row>
    <row r="5269" spans="6:8" x14ac:dyDescent="0.3">
      <c r="F5269" s="11">
        <v>5.723611</v>
      </c>
      <c r="G5269" s="11">
        <v>52.966943999999998</v>
      </c>
      <c r="H5269" s="11">
        <v>1</v>
      </c>
    </row>
    <row r="5270" spans="6:8" x14ac:dyDescent="0.3">
      <c r="H5270" s="11">
        <v>1</v>
      </c>
    </row>
    <row r="5271" spans="6:8" x14ac:dyDescent="0.3">
      <c r="F5271" s="11">
        <v>5.8061109999999996</v>
      </c>
      <c r="G5271" s="11">
        <v>53.044167000000002</v>
      </c>
      <c r="H5271" s="11">
        <v>1</v>
      </c>
    </row>
    <row r="5272" spans="6:8" x14ac:dyDescent="0.3">
      <c r="H5272" s="11">
        <v>1</v>
      </c>
    </row>
    <row r="5273" spans="6:8" x14ac:dyDescent="0.3">
      <c r="F5273" s="11">
        <v>5.7605560000000002</v>
      </c>
      <c r="G5273" s="11">
        <v>53.017499999999998</v>
      </c>
      <c r="H5273" s="11">
        <v>1</v>
      </c>
    </row>
    <row r="5274" spans="6:8" x14ac:dyDescent="0.3">
      <c r="F5274" s="11">
        <v>5.762778</v>
      </c>
      <c r="G5274" s="11">
        <v>53.048889000000003</v>
      </c>
      <c r="H5274" s="11">
        <v>1</v>
      </c>
    </row>
    <row r="5275" spans="6:8" x14ac:dyDescent="0.3">
      <c r="H5275" s="11">
        <v>1</v>
      </c>
    </row>
    <row r="5276" spans="6:8" x14ac:dyDescent="0.3">
      <c r="F5276" s="11">
        <v>5.9213889999999996</v>
      </c>
      <c r="G5276" s="11">
        <v>53.110278000000001</v>
      </c>
      <c r="H5276" s="11">
        <v>1</v>
      </c>
    </row>
    <row r="5277" spans="6:8" x14ac:dyDescent="0.3">
      <c r="F5277" s="11">
        <v>5.9352780000000003</v>
      </c>
      <c r="G5277" s="11">
        <v>53.141666999999998</v>
      </c>
      <c r="H5277" s="11">
        <v>1</v>
      </c>
    </row>
    <row r="5278" spans="6:8" x14ac:dyDescent="0.3">
      <c r="H5278" s="11">
        <v>1</v>
      </c>
    </row>
    <row r="5279" spans="6:8" x14ac:dyDescent="0.3">
      <c r="F5279" s="11">
        <v>5.6136109999999997</v>
      </c>
      <c r="G5279" s="11">
        <v>52.900832999999999</v>
      </c>
      <c r="H5279" s="11">
        <v>1</v>
      </c>
    </row>
    <row r="5280" spans="6:8" x14ac:dyDescent="0.3">
      <c r="F5280" s="11">
        <v>5.6461110000000003</v>
      </c>
      <c r="G5280" s="11">
        <v>52.935000000000002</v>
      </c>
      <c r="H5280" s="11">
        <v>1</v>
      </c>
    </row>
    <row r="5281" spans="6:8" x14ac:dyDescent="0.3">
      <c r="H5281" s="11">
        <v>1</v>
      </c>
    </row>
    <row r="5282" spans="6:8" x14ac:dyDescent="0.3">
      <c r="F5282" s="11">
        <v>5.5594440000000001</v>
      </c>
      <c r="G5282" s="11">
        <v>52.935000000000002</v>
      </c>
      <c r="H5282" s="11">
        <v>1</v>
      </c>
    </row>
    <row r="5283" spans="6:8" x14ac:dyDescent="0.3">
      <c r="F5283" s="11">
        <v>5.503889</v>
      </c>
      <c r="G5283" s="11">
        <v>52.903055999999999</v>
      </c>
      <c r="H5283" s="11">
        <v>1</v>
      </c>
    </row>
    <row r="5284" spans="6:8" x14ac:dyDescent="0.3">
      <c r="F5284" s="11">
        <v>5.4888890000000004</v>
      </c>
      <c r="G5284" s="11">
        <v>52.928610999999997</v>
      </c>
      <c r="H5284" s="11">
        <v>1</v>
      </c>
    </row>
    <row r="5285" spans="6:8" x14ac:dyDescent="0.3">
      <c r="F5285" s="11">
        <v>5.5505560000000003</v>
      </c>
      <c r="G5285" s="11">
        <v>52.951110999999997</v>
      </c>
      <c r="H5285" s="11">
        <v>1</v>
      </c>
    </row>
    <row r="5286" spans="6:8" x14ac:dyDescent="0.3">
      <c r="F5286" s="11">
        <v>5.6238890000000001</v>
      </c>
      <c r="G5286" s="11">
        <v>52.967222</v>
      </c>
      <c r="H5286" s="11">
        <v>1</v>
      </c>
    </row>
    <row r="5287" spans="6:8" x14ac:dyDescent="0.3">
      <c r="H5287" s="11">
        <v>1</v>
      </c>
    </row>
    <row r="5288" spans="6:8" x14ac:dyDescent="0.3">
      <c r="F5288" s="11">
        <v>5.5425000000000004</v>
      </c>
      <c r="G5288" s="11">
        <v>52.969721999999997</v>
      </c>
      <c r="H5288" s="11">
        <v>1</v>
      </c>
    </row>
    <row r="5289" spans="6:8" x14ac:dyDescent="0.3">
      <c r="H5289" s="11">
        <v>1</v>
      </c>
    </row>
    <row r="5290" spans="6:8" x14ac:dyDescent="0.3">
      <c r="F5290" s="11">
        <v>5.5080559999999998</v>
      </c>
      <c r="G5290" s="11">
        <v>52.976666999999999</v>
      </c>
      <c r="H5290" s="11">
        <v>1</v>
      </c>
    </row>
    <row r="5291" spans="6:8" x14ac:dyDescent="0.3">
      <c r="F5291" s="11">
        <v>5.539167</v>
      </c>
      <c r="G5291" s="11">
        <v>52.998610999999997</v>
      </c>
      <c r="H5291" s="11">
        <v>1</v>
      </c>
    </row>
    <row r="5292" spans="6:8" x14ac:dyDescent="0.3">
      <c r="H5292" s="11">
        <v>1</v>
      </c>
    </row>
    <row r="5293" spans="6:8" x14ac:dyDescent="0.3">
      <c r="F5293" s="11">
        <v>5.4536110000000004</v>
      </c>
      <c r="G5293" s="11">
        <v>52.899166999999998</v>
      </c>
      <c r="H5293" s="11">
        <v>1</v>
      </c>
    </row>
    <row r="5294" spans="6:8" x14ac:dyDescent="0.3">
      <c r="H5294" s="11">
        <v>1</v>
      </c>
    </row>
    <row r="5295" spans="6:8" x14ac:dyDescent="0.3">
      <c r="F5295" s="11">
        <v>5.9647220000000001</v>
      </c>
      <c r="G5295" s="11">
        <v>52.712499999999999</v>
      </c>
      <c r="H5295" s="11">
        <v>1</v>
      </c>
    </row>
    <row r="5296" spans="6:8" x14ac:dyDescent="0.3">
      <c r="H5296" s="11">
        <v>1</v>
      </c>
    </row>
    <row r="5297" spans="6:8" x14ac:dyDescent="0.3">
      <c r="F5297" s="11">
        <v>-6.4897220000000004</v>
      </c>
      <c r="G5297" s="11">
        <v>54.77</v>
      </c>
      <c r="H5297" s="11">
        <v>1</v>
      </c>
    </row>
    <row r="5298" spans="6:8" x14ac:dyDescent="0.3">
      <c r="H5298" s="11">
        <v>1</v>
      </c>
    </row>
    <row r="5299" spans="6:8" x14ac:dyDescent="0.3">
      <c r="F5299" s="11">
        <v>-6.2797219999999996</v>
      </c>
      <c r="G5299" s="11">
        <v>54.661110999999998</v>
      </c>
      <c r="H5299" s="11">
        <v>1</v>
      </c>
    </row>
    <row r="5300" spans="6:8" x14ac:dyDescent="0.3">
      <c r="F5300" s="11">
        <v>-6.3205559999999998</v>
      </c>
      <c r="G5300" s="11">
        <v>54.616388999999998</v>
      </c>
      <c r="H5300" s="11">
        <v>1</v>
      </c>
    </row>
    <row r="5301" spans="6:8" x14ac:dyDescent="0.3">
      <c r="F5301" s="11">
        <v>-6.2747219999999997</v>
      </c>
      <c r="G5301" s="11">
        <v>54.587778</v>
      </c>
      <c r="H5301" s="11">
        <v>1</v>
      </c>
    </row>
    <row r="5302" spans="6:8" x14ac:dyDescent="0.3">
      <c r="F5302" s="11">
        <v>-6.329167</v>
      </c>
      <c r="G5302" s="11">
        <v>54.555278000000001</v>
      </c>
      <c r="H5302" s="11">
        <v>1</v>
      </c>
    </row>
    <row r="5303" spans="6:8" x14ac:dyDescent="0.3">
      <c r="F5303" s="11">
        <v>-6.3638890000000004</v>
      </c>
      <c r="G5303" s="11">
        <v>54.523333000000001</v>
      </c>
      <c r="H5303" s="11">
        <v>1</v>
      </c>
    </row>
    <row r="5304" spans="6:8" x14ac:dyDescent="0.3">
      <c r="F5304" s="11">
        <v>-6.3677780000000004</v>
      </c>
      <c r="G5304" s="11">
        <v>54.487499999999997</v>
      </c>
      <c r="H5304" s="11">
        <v>1</v>
      </c>
    </row>
    <row r="5305" spans="6:8" x14ac:dyDescent="0.3">
      <c r="F5305" s="11">
        <v>-6.4322220000000003</v>
      </c>
      <c r="G5305" s="11">
        <v>54.496667000000002</v>
      </c>
      <c r="H5305" s="11">
        <v>1</v>
      </c>
    </row>
    <row r="5306" spans="6:8" x14ac:dyDescent="0.3">
      <c r="F5306" s="11">
        <v>-6.5083330000000004</v>
      </c>
      <c r="G5306" s="11">
        <v>54.515278000000002</v>
      </c>
      <c r="H5306" s="11">
        <v>1</v>
      </c>
    </row>
    <row r="5307" spans="6:8" x14ac:dyDescent="0.3">
      <c r="F5307" s="11">
        <v>-6.5763889999999998</v>
      </c>
      <c r="G5307" s="11">
        <v>54.508056000000003</v>
      </c>
      <c r="H5307" s="11">
        <v>1</v>
      </c>
    </row>
    <row r="5308" spans="6:8" x14ac:dyDescent="0.3">
      <c r="F5308" s="11">
        <v>-6.6086109999999998</v>
      </c>
      <c r="G5308" s="11">
        <v>54.551943999999999</v>
      </c>
      <c r="H5308" s="11">
        <v>1</v>
      </c>
    </row>
    <row r="5309" spans="6:8" x14ac:dyDescent="0.3">
      <c r="F5309" s="11">
        <v>-6.548889</v>
      </c>
      <c r="G5309" s="11">
        <v>54.586388999999997</v>
      </c>
      <c r="H5309" s="11">
        <v>1</v>
      </c>
    </row>
    <row r="5310" spans="6:8" x14ac:dyDescent="0.3">
      <c r="F5310" s="11">
        <v>-6.5163890000000002</v>
      </c>
      <c r="G5310" s="11">
        <v>54.629722000000001</v>
      </c>
      <c r="H5310" s="11">
        <v>1</v>
      </c>
    </row>
    <row r="5311" spans="6:8" x14ac:dyDescent="0.3">
      <c r="F5311" s="11">
        <v>-6.5358330000000002</v>
      </c>
      <c r="G5311" s="11">
        <v>54.681666999999997</v>
      </c>
      <c r="H5311" s="11">
        <v>1</v>
      </c>
    </row>
    <row r="5312" spans="6:8" x14ac:dyDescent="0.3">
      <c r="F5312" s="11">
        <v>-6.5191670000000004</v>
      </c>
      <c r="G5312" s="11">
        <v>54.733333000000002</v>
      </c>
      <c r="H5312" s="11">
        <v>1</v>
      </c>
    </row>
    <row r="5313" spans="6:8" x14ac:dyDescent="0.3">
      <c r="F5313" s="11">
        <v>-6.4813890000000001</v>
      </c>
      <c r="G5313" s="11">
        <v>54.715555999999999</v>
      </c>
      <c r="H5313" s="11">
        <v>1</v>
      </c>
    </row>
    <row r="5314" spans="6:8" x14ac:dyDescent="0.3">
      <c r="F5314" s="11">
        <v>-6.401389</v>
      </c>
      <c r="G5314" s="11">
        <v>54.7</v>
      </c>
      <c r="H5314" s="11">
        <v>1</v>
      </c>
    </row>
    <row r="5315" spans="6:8" x14ac:dyDescent="0.3">
      <c r="F5315" s="11">
        <v>-6.3138889999999996</v>
      </c>
      <c r="G5315" s="11">
        <v>54.714167000000003</v>
      </c>
      <c r="H5315" s="11">
        <v>1</v>
      </c>
    </row>
    <row r="5316" spans="6:8" x14ac:dyDescent="0.3">
      <c r="F5316" s="11">
        <v>-6.2397220000000004</v>
      </c>
      <c r="G5316" s="11">
        <v>54.703611000000002</v>
      </c>
      <c r="H5316" s="11">
        <v>1</v>
      </c>
    </row>
    <row r="5317" spans="6:8" x14ac:dyDescent="0.3">
      <c r="H5317" s="11">
        <v>1</v>
      </c>
    </row>
    <row r="5318" spans="6:8" x14ac:dyDescent="0.3">
      <c r="F5318" s="11">
        <v>-7.73</v>
      </c>
      <c r="G5318" s="11">
        <v>54.485556000000003</v>
      </c>
      <c r="H5318" s="11">
        <v>1</v>
      </c>
    </row>
    <row r="5319" spans="6:8" x14ac:dyDescent="0.3">
      <c r="F5319" s="11">
        <v>-7.7247219999999999</v>
      </c>
      <c r="G5319" s="11">
        <v>54.441943999999999</v>
      </c>
      <c r="H5319" s="11">
        <v>1</v>
      </c>
    </row>
    <row r="5320" spans="6:8" x14ac:dyDescent="0.3">
      <c r="F5320" s="11">
        <v>-7.6783330000000003</v>
      </c>
      <c r="G5320" s="11">
        <v>54.413611000000003</v>
      </c>
      <c r="H5320" s="11">
        <v>1</v>
      </c>
    </row>
    <row r="5321" spans="6:8" x14ac:dyDescent="0.3">
      <c r="F5321" s="11">
        <v>-7.651389</v>
      </c>
      <c r="G5321" s="11">
        <v>54.368333</v>
      </c>
      <c r="H5321" s="11">
        <v>1</v>
      </c>
    </row>
    <row r="5322" spans="6:8" x14ac:dyDescent="0.3">
      <c r="F5322" s="11">
        <v>-7.6855560000000001</v>
      </c>
      <c r="G5322" s="11">
        <v>54.393056000000001</v>
      </c>
      <c r="H5322" s="11">
        <v>1</v>
      </c>
    </row>
    <row r="5323" spans="6:8" x14ac:dyDescent="0.3">
      <c r="F5323" s="11">
        <v>-7.7452779999999999</v>
      </c>
      <c r="G5323" s="11">
        <v>54.422778000000001</v>
      </c>
      <c r="H5323" s="11">
        <v>1</v>
      </c>
    </row>
    <row r="5324" spans="6:8" x14ac:dyDescent="0.3">
      <c r="F5324" s="11">
        <v>-7.8122220000000002</v>
      </c>
      <c r="G5324" s="11">
        <v>54.453055999999997</v>
      </c>
      <c r="H5324" s="11">
        <v>1</v>
      </c>
    </row>
    <row r="5325" spans="6:8" x14ac:dyDescent="0.3">
      <c r="F5325" s="11">
        <v>-7.8994439999999999</v>
      </c>
      <c r="G5325" s="11">
        <v>54.468888999999997</v>
      </c>
      <c r="H5325" s="11">
        <v>1</v>
      </c>
    </row>
    <row r="5326" spans="6:8" x14ac:dyDescent="0.3">
      <c r="F5326" s="11">
        <v>-7.9530560000000001</v>
      </c>
      <c r="G5326" s="11">
        <v>54.478056000000002</v>
      </c>
      <c r="H5326" s="11">
        <v>1</v>
      </c>
    </row>
    <row r="5327" spans="6:8" x14ac:dyDescent="0.3">
      <c r="F5327" s="11">
        <v>-7.9161109999999999</v>
      </c>
      <c r="G5327" s="11">
        <v>54.508333</v>
      </c>
      <c r="H5327" s="11">
        <v>1</v>
      </c>
    </row>
    <row r="5328" spans="6:8" x14ac:dyDescent="0.3">
      <c r="F5328" s="11">
        <v>-7.8355560000000004</v>
      </c>
      <c r="G5328" s="11">
        <v>54.528333000000003</v>
      </c>
      <c r="H5328" s="11">
        <v>1</v>
      </c>
    </row>
    <row r="5329" spans="6:8" x14ac:dyDescent="0.3">
      <c r="F5329" s="11">
        <v>-7.7516670000000003</v>
      </c>
      <c r="G5329" s="11">
        <v>54.521110999999998</v>
      </c>
      <c r="H5329" s="11">
        <v>1</v>
      </c>
    </row>
    <row r="5330" spans="6:8" x14ac:dyDescent="0.3">
      <c r="H5330" s="11">
        <v>1</v>
      </c>
    </row>
    <row r="5331" spans="6:8" x14ac:dyDescent="0.3">
      <c r="F5331" s="11">
        <v>-7.4616670000000003</v>
      </c>
      <c r="G5331" s="11">
        <v>54.178333000000002</v>
      </c>
      <c r="H5331" s="11">
        <v>1</v>
      </c>
    </row>
    <row r="5332" spans="6:8" x14ac:dyDescent="0.3">
      <c r="F5332" s="11">
        <v>-7.4480560000000002</v>
      </c>
      <c r="G5332" s="11">
        <v>54.155833000000001</v>
      </c>
      <c r="H5332" s="11">
        <v>1</v>
      </c>
    </row>
    <row r="5333" spans="6:8" x14ac:dyDescent="0.3">
      <c r="F5333" s="11">
        <v>-7.4738889999999998</v>
      </c>
      <c r="G5333" s="11">
        <v>54.163888999999998</v>
      </c>
      <c r="H5333" s="11">
        <v>1</v>
      </c>
    </row>
    <row r="5334" spans="6:8" x14ac:dyDescent="0.3">
      <c r="F5334" s="11">
        <v>-7.5141669999999996</v>
      </c>
      <c r="G5334" s="11">
        <v>54.195</v>
      </c>
      <c r="H5334" s="11">
        <v>1</v>
      </c>
    </row>
    <row r="5335" spans="6:8" x14ac:dyDescent="0.3">
      <c r="F5335" s="11">
        <v>-7.5661110000000003</v>
      </c>
      <c r="G5335" s="11">
        <v>54.230277999999998</v>
      </c>
      <c r="H5335" s="11">
        <v>1</v>
      </c>
    </row>
    <row r="5336" spans="6:8" x14ac:dyDescent="0.3">
      <c r="F5336" s="11">
        <v>-7.5897220000000001</v>
      </c>
      <c r="G5336" s="11">
        <v>54.258889000000003</v>
      </c>
      <c r="H5336" s="11">
        <v>1</v>
      </c>
    </row>
    <row r="5337" spans="6:8" x14ac:dyDescent="0.3">
      <c r="F5337" s="11">
        <v>-7.5222220000000002</v>
      </c>
      <c r="G5337" s="11">
        <v>54.256943999999997</v>
      </c>
      <c r="H5337" s="11">
        <v>1</v>
      </c>
    </row>
    <row r="5338" spans="6:8" x14ac:dyDescent="0.3">
      <c r="F5338" s="11">
        <v>-7.4880560000000003</v>
      </c>
      <c r="G5338" s="11">
        <v>54.227221999999998</v>
      </c>
      <c r="H5338" s="11">
        <v>1</v>
      </c>
    </row>
    <row r="5339" spans="6:8" x14ac:dyDescent="0.3">
      <c r="H5339" s="11">
        <v>1</v>
      </c>
    </row>
    <row r="5340" spans="6:8" x14ac:dyDescent="0.3">
      <c r="F5340" s="11">
        <v>-8.3930559999999996</v>
      </c>
      <c r="G5340" s="11">
        <v>54.228611000000001</v>
      </c>
      <c r="H5340" s="11">
        <v>1</v>
      </c>
    </row>
    <row r="5341" spans="6:8" x14ac:dyDescent="0.3">
      <c r="F5341" s="11">
        <v>-8.4494439999999997</v>
      </c>
      <c r="G5341" s="11">
        <v>54.252777999999999</v>
      </c>
      <c r="H5341" s="11">
        <v>1</v>
      </c>
    </row>
    <row r="5342" spans="6:8" x14ac:dyDescent="0.3">
      <c r="F5342" s="11">
        <v>-8.4091670000000001</v>
      </c>
      <c r="G5342" s="11">
        <v>54.260278</v>
      </c>
      <c r="H5342" s="11">
        <v>1</v>
      </c>
    </row>
    <row r="5343" spans="6:8" x14ac:dyDescent="0.3">
      <c r="F5343" s="11">
        <v>-8.3249999999999993</v>
      </c>
      <c r="G5343" s="11">
        <v>54.253889000000001</v>
      </c>
      <c r="H5343" s="11">
        <v>1</v>
      </c>
    </row>
    <row r="5344" spans="6:8" x14ac:dyDescent="0.3">
      <c r="H5344" s="11">
        <v>1</v>
      </c>
    </row>
    <row r="5345" spans="6:8" x14ac:dyDescent="0.3">
      <c r="F5345" s="11">
        <v>-8.0297219999999996</v>
      </c>
      <c r="G5345" s="11">
        <v>54.106110999999999</v>
      </c>
      <c r="H5345" s="11">
        <v>1</v>
      </c>
    </row>
    <row r="5346" spans="6:8" x14ac:dyDescent="0.3">
      <c r="F5346" s="11">
        <v>-8.0474999999999994</v>
      </c>
      <c r="G5346" s="11">
        <v>54.057222000000003</v>
      </c>
      <c r="H5346" s="11">
        <v>1</v>
      </c>
    </row>
    <row r="5347" spans="6:8" x14ac:dyDescent="0.3">
      <c r="F5347" s="11">
        <v>-8.079167</v>
      </c>
      <c r="G5347" s="11">
        <v>54.092778000000003</v>
      </c>
      <c r="H5347" s="11">
        <v>1</v>
      </c>
    </row>
    <row r="5348" spans="6:8" x14ac:dyDescent="0.3">
      <c r="F5348" s="11">
        <v>-8.0977779999999999</v>
      </c>
      <c r="G5348" s="11">
        <v>54.141666999999998</v>
      </c>
      <c r="H5348" s="11">
        <v>1</v>
      </c>
    </row>
    <row r="5349" spans="6:8" x14ac:dyDescent="0.3">
      <c r="F5349" s="11">
        <v>-8.0394439999999996</v>
      </c>
      <c r="G5349" s="11">
        <v>54.157221999999997</v>
      </c>
      <c r="H5349" s="11">
        <v>1</v>
      </c>
    </row>
    <row r="5350" spans="6:8" x14ac:dyDescent="0.3">
      <c r="H5350" s="11">
        <v>1</v>
      </c>
    </row>
    <row r="5351" spans="6:8" x14ac:dyDescent="0.3">
      <c r="F5351" s="11">
        <v>-8.2758330000000004</v>
      </c>
      <c r="G5351" s="11">
        <v>53.988889</v>
      </c>
      <c r="H5351" s="11">
        <v>1</v>
      </c>
    </row>
    <row r="5352" spans="6:8" x14ac:dyDescent="0.3">
      <c r="F5352" s="11">
        <v>-8.2627780000000008</v>
      </c>
      <c r="G5352" s="11">
        <v>54.022500000000001</v>
      </c>
      <c r="H5352" s="11">
        <v>1</v>
      </c>
    </row>
    <row r="5353" spans="6:8" x14ac:dyDescent="0.3">
      <c r="H5353" s="11">
        <v>1</v>
      </c>
    </row>
    <row r="5354" spans="6:8" x14ac:dyDescent="0.3">
      <c r="F5354" s="11">
        <v>-8.4422219999999992</v>
      </c>
      <c r="G5354" s="11">
        <v>53.919722</v>
      </c>
      <c r="H5354" s="11">
        <v>1</v>
      </c>
    </row>
    <row r="5355" spans="6:8" x14ac:dyDescent="0.3">
      <c r="F5355" s="11">
        <v>-8.4824999999999999</v>
      </c>
      <c r="G5355" s="11">
        <v>53.921111000000003</v>
      </c>
      <c r="H5355" s="11">
        <v>1</v>
      </c>
    </row>
    <row r="5356" spans="6:8" x14ac:dyDescent="0.3">
      <c r="F5356" s="11">
        <v>-8.4700000000000006</v>
      </c>
      <c r="G5356" s="11">
        <v>53.945556000000003</v>
      </c>
      <c r="H5356" s="11">
        <v>1</v>
      </c>
    </row>
    <row r="5357" spans="6:8" x14ac:dyDescent="0.3">
      <c r="F5357" s="11">
        <v>-8.4338890000000006</v>
      </c>
      <c r="G5357" s="11">
        <v>53.963611</v>
      </c>
      <c r="H5357" s="11">
        <v>1</v>
      </c>
    </row>
    <row r="5358" spans="6:8" x14ac:dyDescent="0.3">
      <c r="H5358" s="11">
        <v>1</v>
      </c>
    </row>
    <row r="5359" spans="6:8" x14ac:dyDescent="0.3">
      <c r="F5359" s="11">
        <v>-9.2005560000000006</v>
      </c>
      <c r="G5359" s="11">
        <v>53.961944000000003</v>
      </c>
      <c r="H5359" s="11">
        <v>1</v>
      </c>
    </row>
    <row r="5360" spans="6:8" x14ac:dyDescent="0.3">
      <c r="F5360" s="11">
        <v>-9.1466670000000008</v>
      </c>
      <c r="G5360" s="11">
        <v>53.968055999999997</v>
      </c>
      <c r="H5360" s="11">
        <v>1</v>
      </c>
    </row>
    <row r="5361" spans="6:8" x14ac:dyDescent="0.3">
      <c r="H5361" s="11">
        <v>1</v>
      </c>
    </row>
    <row r="5362" spans="6:8" x14ac:dyDescent="0.3">
      <c r="F5362" s="11">
        <v>-9.2261109999999995</v>
      </c>
      <c r="G5362" s="11">
        <v>54.020555999999999</v>
      </c>
      <c r="H5362" s="11">
        <v>1</v>
      </c>
    </row>
    <row r="5363" spans="6:8" x14ac:dyDescent="0.3">
      <c r="F5363" s="11">
        <v>-9.1863890000000001</v>
      </c>
      <c r="G5363" s="11">
        <v>53.987222000000003</v>
      </c>
      <c r="H5363" s="11">
        <v>1</v>
      </c>
    </row>
    <row r="5364" spans="6:8" x14ac:dyDescent="0.3">
      <c r="F5364" s="11">
        <v>-9.269444</v>
      </c>
      <c r="G5364" s="11">
        <v>53.987222000000003</v>
      </c>
      <c r="H5364" s="11">
        <v>1</v>
      </c>
    </row>
    <row r="5365" spans="6:8" x14ac:dyDescent="0.3">
      <c r="F5365" s="11">
        <v>-9.2952779999999997</v>
      </c>
      <c r="G5365" s="11">
        <v>54.028888999999999</v>
      </c>
      <c r="H5365" s="11">
        <v>1</v>
      </c>
    </row>
    <row r="5366" spans="6:8" x14ac:dyDescent="0.3">
      <c r="F5366" s="11">
        <v>-9.2650000000000006</v>
      </c>
      <c r="G5366" s="11">
        <v>54.044722</v>
      </c>
      <c r="H5366" s="11">
        <v>1</v>
      </c>
    </row>
    <row r="5367" spans="6:8" x14ac:dyDescent="0.3">
      <c r="F5367" s="11">
        <v>-9.3019440000000007</v>
      </c>
      <c r="G5367" s="11">
        <v>54.090277999999998</v>
      </c>
      <c r="H5367" s="11">
        <v>1</v>
      </c>
    </row>
    <row r="5368" spans="6:8" x14ac:dyDescent="0.3">
      <c r="F5368" s="11">
        <v>-9.240278</v>
      </c>
      <c r="G5368" s="11">
        <v>54.074722000000001</v>
      </c>
      <c r="H5368" s="11">
        <v>1</v>
      </c>
    </row>
    <row r="5369" spans="6:8" x14ac:dyDescent="0.3">
      <c r="H5369" s="11">
        <v>1</v>
      </c>
    </row>
    <row r="5370" spans="6:8" x14ac:dyDescent="0.3">
      <c r="F5370" s="11">
        <v>-9.766667</v>
      </c>
      <c r="G5370" s="11">
        <v>54.160832999999997</v>
      </c>
      <c r="H5370" s="11">
        <v>1</v>
      </c>
    </row>
    <row r="5371" spans="6:8" x14ac:dyDescent="0.3">
      <c r="F5371" s="11">
        <v>-9.8211110000000001</v>
      </c>
      <c r="G5371" s="11">
        <v>54.197499999999998</v>
      </c>
      <c r="H5371" s="11">
        <v>1</v>
      </c>
    </row>
    <row r="5372" spans="6:8" x14ac:dyDescent="0.3">
      <c r="H5372" s="11">
        <v>1</v>
      </c>
    </row>
    <row r="5373" spans="6:8" x14ac:dyDescent="0.3">
      <c r="F5373" s="11">
        <v>-9.2411110000000001</v>
      </c>
      <c r="G5373" s="11">
        <v>53.664166999999999</v>
      </c>
      <c r="H5373" s="11">
        <v>1</v>
      </c>
    </row>
    <row r="5374" spans="6:8" x14ac:dyDescent="0.3">
      <c r="F5374" s="11">
        <v>-9.2633329999999994</v>
      </c>
      <c r="G5374" s="11">
        <v>53.708333000000003</v>
      </c>
      <c r="H5374" s="11">
        <v>1</v>
      </c>
    </row>
    <row r="5375" spans="6:8" x14ac:dyDescent="0.3">
      <c r="F5375" s="11">
        <v>-9.276389</v>
      </c>
      <c r="G5375" s="11">
        <v>53.752777999999999</v>
      </c>
      <c r="H5375" s="11">
        <v>1</v>
      </c>
    </row>
    <row r="5376" spans="6:8" x14ac:dyDescent="0.3">
      <c r="F5376" s="11">
        <v>-9.2438889999999994</v>
      </c>
      <c r="G5376" s="11">
        <v>53.715000000000003</v>
      </c>
      <c r="H5376" s="11">
        <v>1</v>
      </c>
    </row>
    <row r="5377" spans="6:8" x14ac:dyDescent="0.3">
      <c r="H5377" s="11">
        <v>1</v>
      </c>
    </row>
    <row r="5378" spans="6:8" x14ac:dyDescent="0.3">
      <c r="F5378" s="11">
        <v>-9.2811109999999992</v>
      </c>
      <c r="G5378" s="11">
        <v>53.638055999999999</v>
      </c>
      <c r="H5378" s="11">
        <v>1</v>
      </c>
    </row>
    <row r="5379" spans="6:8" x14ac:dyDescent="0.3">
      <c r="F5379" s="11">
        <v>-9.2983329999999995</v>
      </c>
      <c r="G5379" s="11">
        <v>53.594444000000003</v>
      </c>
      <c r="H5379" s="11">
        <v>1</v>
      </c>
    </row>
    <row r="5380" spans="6:8" x14ac:dyDescent="0.3">
      <c r="F5380" s="11">
        <v>-9.3163889999999991</v>
      </c>
      <c r="G5380" s="11">
        <v>53.565277999999999</v>
      </c>
      <c r="H5380" s="11">
        <v>1</v>
      </c>
    </row>
    <row r="5381" spans="6:8" x14ac:dyDescent="0.3">
      <c r="F5381" s="11">
        <v>-9.4055560000000007</v>
      </c>
      <c r="G5381" s="11">
        <v>53.555</v>
      </c>
      <c r="H5381" s="11">
        <v>1</v>
      </c>
    </row>
    <row r="5382" spans="6:8" x14ac:dyDescent="0.3">
      <c r="F5382" s="11">
        <v>-9.4613890000000005</v>
      </c>
      <c r="G5382" s="11">
        <v>53.584167000000001</v>
      </c>
      <c r="H5382" s="11">
        <v>1</v>
      </c>
    </row>
    <row r="5383" spans="6:8" x14ac:dyDescent="0.3">
      <c r="F5383" s="11">
        <v>-9.4172220000000006</v>
      </c>
      <c r="G5383" s="11">
        <v>53.607500000000002</v>
      </c>
      <c r="H5383" s="11">
        <v>1</v>
      </c>
    </row>
    <row r="5384" spans="6:8" x14ac:dyDescent="0.3">
      <c r="F5384" s="11">
        <v>-9.3588889999999996</v>
      </c>
      <c r="G5384" s="11">
        <v>53.641388999999997</v>
      </c>
      <c r="H5384" s="11">
        <v>1</v>
      </c>
    </row>
    <row r="5385" spans="6:8" x14ac:dyDescent="0.3">
      <c r="F5385" s="11">
        <v>-9.3133330000000001</v>
      </c>
      <c r="G5385" s="11">
        <v>53.682499999999997</v>
      </c>
      <c r="H5385" s="11">
        <v>1</v>
      </c>
    </row>
    <row r="5386" spans="6:8" x14ac:dyDescent="0.3">
      <c r="H5386" s="11">
        <v>1</v>
      </c>
    </row>
    <row r="5387" spans="6:8" x14ac:dyDescent="0.3">
      <c r="F5387" s="11">
        <v>-9.1844439999999992</v>
      </c>
      <c r="G5387" s="11">
        <v>53.438889000000003</v>
      </c>
      <c r="H5387" s="11">
        <v>1</v>
      </c>
    </row>
    <row r="5388" spans="6:8" x14ac:dyDescent="0.3">
      <c r="F5388" s="11">
        <v>-9.1130560000000003</v>
      </c>
      <c r="G5388" s="11">
        <v>53.426667000000002</v>
      </c>
      <c r="H5388" s="11">
        <v>1</v>
      </c>
    </row>
    <row r="5389" spans="6:8" x14ac:dyDescent="0.3">
      <c r="F5389" s="11">
        <v>-9.0291669999999993</v>
      </c>
      <c r="G5389" s="11">
        <v>53.412500000000001</v>
      </c>
      <c r="H5389" s="11">
        <v>1</v>
      </c>
    </row>
    <row r="5390" spans="6:8" x14ac:dyDescent="0.3">
      <c r="F5390" s="11">
        <v>-9.0736109999999996</v>
      </c>
      <c r="G5390" s="11">
        <v>53.380277999999997</v>
      </c>
      <c r="H5390" s="11">
        <v>1</v>
      </c>
    </row>
    <row r="5391" spans="6:8" x14ac:dyDescent="0.3">
      <c r="F5391" s="11">
        <v>-9.0438890000000001</v>
      </c>
      <c r="G5391" s="11">
        <v>53.343611000000003</v>
      </c>
      <c r="H5391" s="11">
        <v>1</v>
      </c>
    </row>
    <row r="5392" spans="6:8" x14ac:dyDescent="0.3">
      <c r="F5392" s="11">
        <v>-9.0727779999999996</v>
      </c>
      <c r="G5392" s="11">
        <v>53.299722000000003</v>
      </c>
      <c r="H5392" s="11">
        <v>1</v>
      </c>
    </row>
    <row r="5393" spans="6:8" x14ac:dyDescent="0.3">
      <c r="F5393" s="11">
        <v>-9.1297219999999992</v>
      </c>
      <c r="G5393" s="11">
        <v>53.327221999999999</v>
      </c>
      <c r="H5393" s="11">
        <v>1</v>
      </c>
    </row>
    <row r="5394" spans="6:8" x14ac:dyDescent="0.3">
      <c r="F5394" s="11">
        <v>-9.125</v>
      </c>
      <c r="G5394" s="11">
        <v>53.366667</v>
      </c>
      <c r="H5394" s="11">
        <v>1</v>
      </c>
    </row>
    <row r="5395" spans="6:8" x14ac:dyDescent="0.3">
      <c r="F5395" s="11">
        <v>-9.14</v>
      </c>
      <c r="G5395" s="11">
        <v>53.402500000000003</v>
      </c>
      <c r="H5395" s="11">
        <v>1</v>
      </c>
    </row>
    <row r="5396" spans="6:8" x14ac:dyDescent="0.3">
      <c r="F5396" s="11">
        <v>-9.2280560000000005</v>
      </c>
      <c r="G5396" s="11">
        <v>53.414444000000003</v>
      </c>
      <c r="H5396" s="11">
        <v>1</v>
      </c>
    </row>
    <row r="5397" spans="6:8" x14ac:dyDescent="0.3">
      <c r="F5397" s="11">
        <v>-9.2780559999999994</v>
      </c>
      <c r="G5397" s="11">
        <v>53.428888999999998</v>
      </c>
      <c r="H5397" s="11">
        <v>1</v>
      </c>
    </row>
    <row r="5398" spans="6:8" x14ac:dyDescent="0.3">
      <c r="F5398" s="11">
        <v>-9.3369440000000008</v>
      </c>
      <c r="G5398" s="11">
        <v>53.457222000000002</v>
      </c>
      <c r="H5398" s="11">
        <v>1</v>
      </c>
    </row>
    <row r="5399" spans="6:8" x14ac:dyDescent="0.3">
      <c r="F5399" s="11">
        <v>-9.4175000000000004</v>
      </c>
      <c r="G5399" s="11">
        <v>53.478332999999999</v>
      </c>
      <c r="H5399" s="11">
        <v>1</v>
      </c>
    </row>
    <row r="5400" spans="6:8" x14ac:dyDescent="0.3">
      <c r="F5400" s="11">
        <v>-9.4422219999999992</v>
      </c>
      <c r="G5400" s="11">
        <v>53.501111000000002</v>
      </c>
      <c r="H5400" s="11">
        <v>1</v>
      </c>
    </row>
    <row r="5401" spans="6:8" x14ac:dyDescent="0.3">
      <c r="F5401" s="11">
        <v>-9.3844440000000002</v>
      </c>
      <c r="G5401" s="11">
        <v>53.496389000000001</v>
      </c>
      <c r="H5401" s="11">
        <v>1</v>
      </c>
    </row>
    <row r="5402" spans="6:8" x14ac:dyDescent="0.3">
      <c r="F5402" s="11">
        <v>-9.3475000000000001</v>
      </c>
      <c r="G5402" s="11">
        <v>53.518056000000001</v>
      </c>
      <c r="H5402" s="11">
        <v>1</v>
      </c>
    </row>
    <row r="5403" spans="6:8" x14ac:dyDescent="0.3">
      <c r="F5403" s="11">
        <v>-9.2680559999999996</v>
      </c>
      <c r="G5403" s="11">
        <v>53.520277999999998</v>
      </c>
      <c r="H5403" s="11">
        <v>1</v>
      </c>
    </row>
    <row r="5404" spans="6:8" x14ac:dyDescent="0.3">
      <c r="F5404" s="11">
        <v>-9.2247219999999999</v>
      </c>
      <c r="G5404" s="11">
        <v>53.505555999999999</v>
      </c>
      <c r="H5404" s="11">
        <v>1</v>
      </c>
    </row>
    <row r="5405" spans="6:8" x14ac:dyDescent="0.3">
      <c r="F5405" s="11">
        <v>-9.2027780000000003</v>
      </c>
      <c r="G5405" s="11">
        <v>53.482222</v>
      </c>
      <c r="H5405" s="11">
        <v>1</v>
      </c>
    </row>
    <row r="5406" spans="6:8" x14ac:dyDescent="0.3">
      <c r="H5406" s="11">
        <v>1</v>
      </c>
    </row>
    <row r="5407" spans="6:8" x14ac:dyDescent="0.3">
      <c r="F5407" s="11">
        <v>-8.0030560000000008</v>
      </c>
      <c r="G5407" s="11">
        <v>53.614167000000002</v>
      </c>
      <c r="H5407" s="11">
        <v>1</v>
      </c>
    </row>
    <row r="5408" spans="6:8" x14ac:dyDescent="0.3">
      <c r="F5408" s="11">
        <v>-7.967778</v>
      </c>
      <c r="G5408" s="11">
        <v>53.568333000000003</v>
      </c>
      <c r="H5408" s="11">
        <v>1</v>
      </c>
    </row>
    <row r="5409" spans="6:8" x14ac:dyDescent="0.3">
      <c r="F5409" s="11">
        <v>-7.9327779999999999</v>
      </c>
      <c r="G5409" s="11">
        <v>53.549444000000001</v>
      </c>
      <c r="H5409" s="11">
        <v>1</v>
      </c>
    </row>
    <row r="5410" spans="6:8" x14ac:dyDescent="0.3">
      <c r="F5410" s="11">
        <v>-7.8819439999999998</v>
      </c>
      <c r="G5410" s="11">
        <v>53.550832999999997</v>
      </c>
      <c r="H5410" s="11">
        <v>1</v>
      </c>
    </row>
    <row r="5411" spans="6:8" x14ac:dyDescent="0.3">
      <c r="F5411" s="11">
        <v>-7.8525</v>
      </c>
      <c r="G5411" s="11">
        <v>53.541389000000002</v>
      </c>
      <c r="H5411" s="11">
        <v>1</v>
      </c>
    </row>
    <row r="5412" spans="6:8" x14ac:dyDescent="0.3">
      <c r="F5412" s="11">
        <v>-7.9036109999999997</v>
      </c>
      <c r="G5412" s="11">
        <v>53.508889000000003</v>
      </c>
      <c r="H5412" s="11">
        <v>1</v>
      </c>
    </row>
    <row r="5413" spans="6:8" x14ac:dyDescent="0.3">
      <c r="F5413" s="11">
        <v>-7.9127780000000003</v>
      </c>
      <c r="G5413" s="11">
        <v>53.477499999999999</v>
      </c>
      <c r="H5413" s="11">
        <v>1</v>
      </c>
    </row>
    <row r="5414" spans="6:8" x14ac:dyDescent="0.3">
      <c r="F5414" s="11">
        <v>-7.9272220000000004</v>
      </c>
      <c r="G5414" s="11">
        <v>53.457222000000002</v>
      </c>
      <c r="H5414" s="11">
        <v>1</v>
      </c>
    </row>
    <row r="5415" spans="6:8" x14ac:dyDescent="0.3">
      <c r="F5415" s="11">
        <v>-7.9761110000000004</v>
      </c>
      <c r="G5415" s="11">
        <v>53.473610999999998</v>
      </c>
      <c r="H5415" s="11">
        <v>1</v>
      </c>
    </row>
    <row r="5416" spans="6:8" x14ac:dyDescent="0.3">
      <c r="F5416" s="11">
        <v>-7.9983329999999997</v>
      </c>
      <c r="G5416" s="11">
        <v>53.496667000000002</v>
      </c>
      <c r="H5416" s="11">
        <v>1</v>
      </c>
    </row>
    <row r="5417" spans="6:8" x14ac:dyDescent="0.3">
      <c r="F5417" s="11">
        <v>-7.99</v>
      </c>
      <c r="G5417" s="11">
        <v>53.539166999999999</v>
      </c>
      <c r="H5417" s="11">
        <v>1</v>
      </c>
    </row>
    <row r="5418" spans="6:8" x14ac:dyDescent="0.3">
      <c r="F5418" s="11">
        <v>-8.0355559999999997</v>
      </c>
      <c r="G5418" s="11">
        <v>53.557222000000003</v>
      </c>
      <c r="H5418" s="11">
        <v>1</v>
      </c>
    </row>
    <row r="5419" spans="6:8" x14ac:dyDescent="0.3">
      <c r="F5419" s="11">
        <v>-8.0413890000000006</v>
      </c>
      <c r="G5419" s="11">
        <v>53.593333000000001</v>
      </c>
      <c r="H5419" s="11">
        <v>1</v>
      </c>
    </row>
    <row r="5420" spans="6:8" x14ac:dyDescent="0.3">
      <c r="F5420" s="11">
        <v>-8.0433330000000005</v>
      </c>
      <c r="G5420" s="11">
        <v>53.643889000000001</v>
      </c>
      <c r="H5420" s="11">
        <v>1</v>
      </c>
    </row>
    <row r="5421" spans="6:8" x14ac:dyDescent="0.3">
      <c r="H5421" s="11">
        <v>1</v>
      </c>
    </row>
    <row r="5422" spans="6:8" x14ac:dyDescent="0.3">
      <c r="F5422" s="11">
        <v>-7.3702779999999999</v>
      </c>
      <c r="G5422" s="11">
        <v>53.553333000000002</v>
      </c>
      <c r="H5422" s="11">
        <v>1</v>
      </c>
    </row>
    <row r="5423" spans="6:8" x14ac:dyDescent="0.3">
      <c r="F5423" s="11">
        <v>-7.4172219999999998</v>
      </c>
      <c r="G5423" s="11">
        <v>53.592778000000003</v>
      </c>
      <c r="H5423" s="11">
        <v>1</v>
      </c>
    </row>
    <row r="5424" spans="6:8" x14ac:dyDescent="0.3">
      <c r="H5424" s="11">
        <v>1</v>
      </c>
    </row>
    <row r="5425" spans="6:8" x14ac:dyDescent="0.3">
      <c r="F5425" s="11">
        <v>-7.3097219999999998</v>
      </c>
      <c r="G5425" s="11">
        <v>53.626944000000002</v>
      </c>
      <c r="H5425" s="11">
        <v>1</v>
      </c>
    </row>
    <row r="5426" spans="6:8" x14ac:dyDescent="0.3">
      <c r="F5426" s="11">
        <v>-7.3238890000000003</v>
      </c>
      <c r="G5426" s="11">
        <v>53.623888999999998</v>
      </c>
      <c r="H5426" s="11">
        <v>1</v>
      </c>
    </row>
    <row r="5427" spans="6:8" x14ac:dyDescent="0.3">
      <c r="F5427" s="11">
        <v>-7.3994439999999999</v>
      </c>
      <c r="G5427" s="11">
        <v>53.636667000000003</v>
      </c>
      <c r="H5427" s="11">
        <v>1</v>
      </c>
    </row>
    <row r="5428" spans="6:8" x14ac:dyDescent="0.3">
      <c r="F5428" s="11">
        <v>-7.3658330000000003</v>
      </c>
      <c r="G5428" s="11">
        <v>53.668610999999999</v>
      </c>
      <c r="H5428" s="11">
        <v>1</v>
      </c>
    </row>
    <row r="5429" spans="6:8" x14ac:dyDescent="0.3">
      <c r="H5429" s="11">
        <v>1</v>
      </c>
    </row>
    <row r="5430" spans="6:8" x14ac:dyDescent="0.3">
      <c r="F5430" s="11">
        <v>-7.3258330000000003</v>
      </c>
      <c r="G5430" s="11">
        <v>53.787500000000001</v>
      </c>
      <c r="H5430" s="11">
        <v>1</v>
      </c>
    </row>
    <row r="5431" spans="6:8" x14ac:dyDescent="0.3">
      <c r="F5431" s="11">
        <v>-7.3663889999999999</v>
      </c>
      <c r="G5431" s="11">
        <v>53.791944000000001</v>
      </c>
      <c r="H5431" s="11">
        <v>1</v>
      </c>
    </row>
    <row r="5432" spans="6:8" x14ac:dyDescent="0.3">
      <c r="F5432" s="11">
        <v>-7.3041669999999996</v>
      </c>
      <c r="G5432" s="11">
        <v>53.822499999999998</v>
      </c>
      <c r="H5432" s="11">
        <v>1</v>
      </c>
    </row>
    <row r="5433" spans="6:8" x14ac:dyDescent="0.3">
      <c r="H5433" s="11">
        <v>1</v>
      </c>
    </row>
    <row r="5434" spans="6:8" x14ac:dyDescent="0.3">
      <c r="F5434" s="11">
        <v>-7.3958329999999997</v>
      </c>
      <c r="G5434" s="11">
        <v>53.447778</v>
      </c>
      <c r="H5434" s="11">
        <v>1</v>
      </c>
    </row>
    <row r="5435" spans="6:8" x14ac:dyDescent="0.3">
      <c r="F5435" s="11">
        <v>-7.4225000000000003</v>
      </c>
      <c r="G5435" s="11">
        <v>53.467222</v>
      </c>
      <c r="H5435" s="11">
        <v>1</v>
      </c>
    </row>
    <row r="5436" spans="6:8" x14ac:dyDescent="0.3">
      <c r="F5436" s="11">
        <v>-7.358333</v>
      </c>
      <c r="G5436" s="11">
        <v>53.486111000000001</v>
      </c>
      <c r="H5436" s="11">
        <v>1</v>
      </c>
    </row>
    <row r="5437" spans="6:8" x14ac:dyDescent="0.3">
      <c r="H5437" s="11">
        <v>1</v>
      </c>
    </row>
    <row r="5438" spans="6:8" x14ac:dyDescent="0.3">
      <c r="F5438" s="11">
        <v>-8.2327779999999997</v>
      </c>
      <c r="G5438" s="11">
        <v>53.045000000000002</v>
      </c>
      <c r="H5438" s="11">
        <v>1</v>
      </c>
    </row>
    <row r="5439" spans="6:8" x14ac:dyDescent="0.3">
      <c r="F5439" s="11">
        <v>-8.2783329999999999</v>
      </c>
      <c r="G5439" s="11">
        <v>53.003889000000001</v>
      </c>
      <c r="H5439" s="11">
        <v>1</v>
      </c>
    </row>
    <row r="5440" spans="6:8" x14ac:dyDescent="0.3">
      <c r="F5440" s="11">
        <v>-8.2650000000000006</v>
      </c>
      <c r="G5440" s="11">
        <v>52.962221999999997</v>
      </c>
      <c r="H5440" s="11">
        <v>1</v>
      </c>
    </row>
    <row r="5441" spans="6:8" x14ac:dyDescent="0.3">
      <c r="F5441" s="11">
        <v>-8.2772220000000001</v>
      </c>
      <c r="G5441" s="11">
        <v>52.926389</v>
      </c>
      <c r="H5441" s="11">
        <v>1</v>
      </c>
    </row>
    <row r="5442" spans="6:8" x14ac:dyDescent="0.3">
      <c r="F5442" s="11">
        <v>-8.2969439999999999</v>
      </c>
      <c r="G5442" s="11">
        <v>52.893332999999998</v>
      </c>
      <c r="H5442" s="11">
        <v>1</v>
      </c>
    </row>
    <row r="5443" spans="6:8" x14ac:dyDescent="0.3">
      <c r="F5443" s="11">
        <v>-8.3849999999999998</v>
      </c>
      <c r="G5443" s="11">
        <v>52.891944000000002</v>
      </c>
      <c r="H5443" s="11">
        <v>1</v>
      </c>
    </row>
    <row r="5444" spans="6:8" x14ac:dyDescent="0.3">
      <c r="F5444" s="11">
        <v>-8.418056</v>
      </c>
      <c r="G5444" s="11">
        <v>52.847777999999998</v>
      </c>
      <c r="H5444" s="11">
        <v>1</v>
      </c>
    </row>
    <row r="5445" spans="6:8" x14ac:dyDescent="0.3">
      <c r="F5445" s="11">
        <v>-8.4561109999999999</v>
      </c>
      <c r="G5445" s="11">
        <v>52.830556000000001</v>
      </c>
      <c r="H5445" s="11">
        <v>1</v>
      </c>
    </row>
    <row r="5446" spans="6:8" x14ac:dyDescent="0.3">
      <c r="F5446" s="11">
        <v>-8.4330560000000006</v>
      </c>
      <c r="G5446" s="11">
        <v>52.875</v>
      </c>
      <c r="H5446" s="11">
        <v>1</v>
      </c>
    </row>
    <row r="5447" spans="6:8" x14ac:dyDescent="0.3">
      <c r="F5447" s="11">
        <v>-8.4947219999999994</v>
      </c>
      <c r="G5447" s="11">
        <v>52.897778000000002</v>
      </c>
      <c r="H5447" s="11">
        <v>1</v>
      </c>
    </row>
    <row r="5448" spans="6:8" x14ac:dyDescent="0.3">
      <c r="F5448" s="11">
        <v>-8.4361110000000004</v>
      </c>
      <c r="G5448" s="11">
        <v>52.923611000000001</v>
      </c>
      <c r="H5448" s="11">
        <v>1</v>
      </c>
    </row>
    <row r="5449" spans="6:8" x14ac:dyDescent="0.3">
      <c r="F5449" s="11">
        <v>-8.3494440000000001</v>
      </c>
      <c r="G5449" s="11">
        <v>52.926389</v>
      </c>
      <c r="H5449" s="11">
        <v>1</v>
      </c>
    </row>
    <row r="5450" spans="6:8" x14ac:dyDescent="0.3">
      <c r="F5450" s="11">
        <v>-8.3344439999999995</v>
      </c>
      <c r="G5450" s="11">
        <v>52.97</v>
      </c>
      <c r="H5450" s="11">
        <v>1</v>
      </c>
    </row>
    <row r="5451" spans="6:8" x14ac:dyDescent="0.3">
      <c r="F5451" s="11">
        <v>-8.3247219999999995</v>
      </c>
      <c r="G5451" s="11">
        <v>53.003610999999999</v>
      </c>
      <c r="H5451" s="11">
        <v>1</v>
      </c>
    </row>
    <row r="5452" spans="6:8" x14ac:dyDescent="0.3">
      <c r="F5452" s="11">
        <v>-8.2825000000000006</v>
      </c>
      <c r="G5452" s="11">
        <v>53.034166999999997</v>
      </c>
      <c r="H5452" s="11">
        <v>1</v>
      </c>
    </row>
    <row r="5453" spans="6:8" x14ac:dyDescent="0.3">
      <c r="F5453" s="11">
        <v>-8.2616669999999992</v>
      </c>
      <c r="G5453" s="11">
        <v>53.072221999999996</v>
      </c>
      <c r="H5453" s="11">
        <v>1</v>
      </c>
    </row>
    <row r="5454" spans="6:8" x14ac:dyDescent="0.3">
      <c r="F5454" s="11">
        <v>-8.1974999999999998</v>
      </c>
      <c r="G5454" s="11">
        <v>53.076110999999997</v>
      </c>
      <c r="H5454" s="11">
        <v>1</v>
      </c>
    </row>
    <row r="5455" spans="6:8" x14ac:dyDescent="0.3">
      <c r="H5455" s="11">
        <v>1</v>
      </c>
    </row>
    <row r="5456" spans="6:8" x14ac:dyDescent="0.3">
      <c r="F5456" s="11">
        <v>-9.5583329999999993</v>
      </c>
      <c r="G5456" s="11">
        <v>52.023888999999997</v>
      </c>
      <c r="H5456" s="11">
        <v>1</v>
      </c>
    </row>
    <row r="5457" spans="6:8" x14ac:dyDescent="0.3">
      <c r="F5457" s="11">
        <v>-9.5824999999999996</v>
      </c>
      <c r="G5457" s="11">
        <v>52.060555999999998</v>
      </c>
      <c r="H5457" s="11">
        <v>1</v>
      </c>
    </row>
    <row r="5458" spans="6:8" x14ac:dyDescent="0.3">
      <c r="F5458" s="11">
        <v>-9.5119439999999997</v>
      </c>
      <c r="G5458" s="11">
        <v>52.034999999999997</v>
      </c>
      <c r="H5458" s="11">
        <v>1</v>
      </c>
    </row>
    <row r="5459" spans="6:8" x14ac:dyDescent="0.3">
      <c r="H5459" s="11">
        <v>1</v>
      </c>
    </row>
    <row r="5460" spans="6:8" x14ac:dyDescent="0.3">
      <c r="F5460" s="11">
        <v>-2.9194439999999999</v>
      </c>
      <c r="G5460" s="11">
        <v>54.364443999999999</v>
      </c>
      <c r="H5460" s="11">
        <v>1</v>
      </c>
    </row>
    <row r="5461" spans="6:8" x14ac:dyDescent="0.3">
      <c r="F5461" s="11">
        <v>-2.9449999999999998</v>
      </c>
      <c r="G5461" s="11">
        <v>54.310277999999997</v>
      </c>
      <c r="H5461" s="11">
        <v>1</v>
      </c>
    </row>
    <row r="5462" spans="6:8" x14ac:dyDescent="0.3">
      <c r="F5462" s="11">
        <v>-2.9525000000000001</v>
      </c>
      <c r="G5462" s="11">
        <v>54.312778000000002</v>
      </c>
      <c r="H5462" s="11">
        <v>1</v>
      </c>
    </row>
    <row r="5463" spans="6:8" x14ac:dyDescent="0.3">
      <c r="F5463" s="11">
        <v>-2.9366669999999999</v>
      </c>
      <c r="G5463" s="11">
        <v>54.372777999999997</v>
      </c>
      <c r="H5463" s="11">
        <v>1</v>
      </c>
    </row>
    <row r="5464" spans="6:8" x14ac:dyDescent="0.3">
      <c r="F5464" s="11">
        <v>-2.9586109999999999</v>
      </c>
      <c r="G5464" s="11">
        <v>54.413055999999997</v>
      </c>
      <c r="H5464" s="11">
        <v>1</v>
      </c>
    </row>
    <row r="5465" spans="6:8" x14ac:dyDescent="0.3">
      <c r="H5465" s="11">
        <v>1</v>
      </c>
    </row>
    <row r="5466" spans="6:8" x14ac:dyDescent="0.3">
      <c r="F5466" s="11">
        <v>-3.1672220000000002</v>
      </c>
      <c r="G5466" s="11">
        <v>54.581111</v>
      </c>
      <c r="H5466" s="11">
        <v>1</v>
      </c>
    </row>
    <row r="5467" spans="6:8" x14ac:dyDescent="0.3">
      <c r="H5467" s="11">
        <v>1</v>
      </c>
    </row>
    <row r="5468" spans="6:8" x14ac:dyDescent="0.3">
      <c r="F5468" s="11">
        <v>-4.3819439999999998</v>
      </c>
      <c r="G5468" s="11">
        <v>55.219444000000003</v>
      </c>
      <c r="H5468" s="11">
        <v>1</v>
      </c>
    </row>
    <row r="5469" spans="6:8" x14ac:dyDescent="0.3">
      <c r="F5469" s="11">
        <v>-4.3724999999999996</v>
      </c>
      <c r="G5469" s="11">
        <v>55.260556000000001</v>
      </c>
      <c r="H5469" s="11">
        <v>1</v>
      </c>
    </row>
    <row r="5470" spans="6:8" x14ac:dyDescent="0.3">
      <c r="H5470" s="11">
        <v>1</v>
      </c>
    </row>
    <row r="5471" spans="6:8" x14ac:dyDescent="0.3">
      <c r="F5471" s="11">
        <v>-4.6688890000000001</v>
      </c>
      <c r="G5471" s="11">
        <v>56.204999999999998</v>
      </c>
      <c r="H5471" s="11">
        <v>1</v>
      </c>
    </row>
    <row r="5472" spans="6:8" x14ac:dyDescent="0.3">
      <c r="F5472" s="11">
        <v>-4.6422220000000003</v>
      </c>
      <c r="G5472" s="11">
        <v>56.155000000000001</v>
      </c>
      <c r="H5472" s="11">
        <v>1</v>
      </c>
    </row>
    <row r="5473" spans="6:8" x14ac:dyDescent="0.3">
      <c r="F5473" s="11">
        <v>-4.5911109999999997</v>
      </c>
      <c r="G5473" s="11">
        <v>56.116667</v>
      </c>
      <c r="H5473" s="11">
        <v>1</v>
      </c>
    </row>
    <row r="5474" spans="6:8" x14ac:dyDescent="0.3">
      <c r="F5474" s="11">
        <v>-4.5352779999999999</v>
      </c>
      <c r="G5474" s="11">
        <v>56.080278</v>
      </c>
      <c r="H5474" s="11">
        <v>1</v>
      </c>
    </row>
    <row r="5475" spans="6:8" x14ac:dyDescent="0.3">
      <c r="F5475" s="11">
        <v>-4.5513890000000004</v>
      </c>
      <c r="G5475" s="11">
        <v>56.050556</v>
      </c>
      <c r="H5475" s="11">
        <v>1</v>
      </c>
    </row>
    <row r="5476" spans="6:8" x14ac:dyDescent="0.3">
      <c r="F5476" s="11">
        <v>-4.5769440000000001</v>
      </c>
      <c r="G5476" s="11">
        <v>56.011111</v>
      </c>
      <c r="H5476" s="11">
        <v>1</v>
      </c>
    </row>
    <row r="5477" spans="6:8" x14ac:dyDescent="0.3">
      <c r="F5477" s="11">
        <v>-4.6344440000000002</v>
      </c>
      <c r="G5477" s="11">
        <v>56.036667000000001</v>
      </c>
      <c r="H5477" s="11">
        <v>1</v>
      </c>
    </row>
    <row r="5478" spans="6:8" x14ac:dyDescent="0.3">
      <c r="F5478" s="11">
        <v>-4.63</v>
      </c>
      <c r="G5478" s="11">
        <v>56.09</v>
      </c>
      <c r="H5478" s="11">
        <v>1</v>
      </c>
    </row>
    <row r="5479" spans="6:8" x14ac:dyDescent="0.3">
      <c r="F5479" s="11">
        <v>-4.6563889999999999</v>
      </c>
      <c r="G5479" s="11">
        <v>56.141111000000002</v>
      </c>
      <c r="H5479" s="11">
        <v>1</v>
      </c>
    </row>
    <row r="5480" spans="6:8" x14ac:dyDescent="0.3">
      <c r="F5480" s="11">
        <v>-4.6880559999999996</v>
      </c>
      <c r="G5480" s="11">
        <v>56.189444000000002</v>
      </c>
      <c r="H5480" s="11">
        <v>1</v>
      </c>
    </row>
    <row r="5481" spans="6:8" x14ac:dyDescent="0.3">
      <c r="F5481" s="11">
        <v>-4.6944439999999998</v>
      </c>
      <c r="G5481" s="11">
        <v>56.246389000000001</v>
      </c>
      <c r="H5481" s="11">
        <v>1</v>
      </c>
    </row>
    <row r="5482" spans="6:8" x14ac:dyDescent="0.3">
      <c r="H5482" s="11">
        <v>1</v>
      </c>
    </row>
    <row r="5483" spans="6:8" x14ac:dyDescent="0.3">
      <c r="F5483" s="11">
        <v>-4.5436110000000003</v>
      </c>
      <c r="G5483" s="11">
        <v>56.242778000000001</v>
      </c>
      <c r="H5483" s="11">
        <v>1</v>
      </c>
    </row>
    <row r="5484" spans="6:8" x14ac:dyDescent="0.3">
      <c r="F5484" s="11">
        <v>-4.6097219999999997</v>
      </c>
      <c r="G5484" s="11">
        <v>56.275556000000002</v>
      </c>
      <c r="H5484" s="11">
        <v>1</v>
      </c>
    </row>
    <row r="5485" spans="6:8" x14ac:dyDescent="0.3">
      <c r="F5485" s="11">
        <v>-4.5705559999999998</v>
      </c>
      <c r="G5485" s="11">
        <v>56.275278</v>
      </c>
      <c r="H5485" s="11">
        <v>1</v>
      </c>
    </row>
    <row r="5486" spans="6:8" x14ac:dyDescent="0.3">
      <c r="F5486" s="11">
        <v>-4.4977780000000003</v>
      </c>
      <c r="G5486" s="11">
        <v>56.256110999999997</v>
      </c>
      <c r="H5486" s="11">
        <v>1</v>
      </c>
    </row>
    <row r="5487" spans="6:8" x14ac:dyDescent="0.3">
      <c r="F5487" s="11">
        <v>-4.4363890000000001</v>
      </c>
      <c r="G5487" s="11">
        <v>56.231389</v>
      </c>
      <c r="H5487" s="11">
        <v>1</v>
      </c>
    </row>
    <row r="5488" spans="6:8" x14ac:dyDescent="0.3">
      <c r="H5488" s="11">
        <v>1</v>
      </c>
    </row>
    <row r="5489" spans="6:8" x14ac:dyDescent="0.3">
      <c r="F5489" s="11">
        <v>-4.2094440000000004</v>
      </c>
      <c r="G5489" s="11">
        <v>56.372777999999997</v>
      </c>
      <c r="H5489" s="11">
        <v>1</v>
      </c>
    </row>
    <row r="5490" spans="6:8" x14ac:dyDescent="0.3">
      <c r="F5490" s="11">
        <v>-4.2388890000000004</v>
      </c>
      <c r="G5490" s="11">
        <v>56.383611000000002</v>
      </c>
      <c r="H5490" s="11">
        <v>1</v>
      </c>
    </row>
    <row r="5491" spans="6:8" x14ac:dyDescent="0.3">
      <c r="F5491" s="11">
        <v>-4.1327780000000001</v>
      </c>
      <c r="G5491" s="11">
        <v>56.388333000000003</v>
      </c>
      <c r="H5491" s="11">
        <v>1</v>
      </c>
    </row>
    <row r="5492" spans="6:8" x14ac:dyDescent="0.3">
      <c r="H5492" s="11">
        <v>1</v>
      </c>
    </row>
    <row r="5493" spans="6:8" x14ac:dyDescent="0.3">
      <c r="F5493" s="11">
        <v>-4.0886110000000002</v>
      </c>
      <c r="G5493" s="11">
        <v>56.543332999999997</v>
      </c>
      <c r="H5493" s="11">
        <v>1</v>
      </c>
    </row>
    <row r="5494" spans="6:8" x14ac:dyDescent="0.3">
      <c r="F5494" s="11">
        <v>-4.1408329999999998</v>
      </c>
      <c r="G5494" s="11">
        <v>56.501944000000002</v>
      </c>
      <c r="H5494" s="11">
        <v>1</v>
      </c>
    </row>
    <row r="5495" spans="6:8" x14ac:dyDescent="0.3">
      <c r="F5495" s="11">
        <v>-4.2222220000000004</v>
      </c>
      <c r="G5495" s="11">
        <v>56.48</v>
      </c>
      <c r="H5495" s="11">
        <v>1</v>
      </c>
    </row>
    <row r="5496" spans="6:8" x14ac:dyDescent="0.3">
      <c r="F5496" s="11">
        <v>-4.2752780000000001</v>
      </c>
      <c r="G5496" s="11">
        <v>56.470556000000002</v>
      </c>
      <c r="H5496" s="11">
        <v>1</v>
      </c>
    </row>
    <row r="5497" spans="6:8" x14ac:dyDescent="0.3">
      <c r="F5497" s="11">
        <v>-4.1958330000000004</v>
      </c>
      <c r="G5497" s="11">
        <v>56.493333</v>
      </c>
      <c r="H5497" s="11">
        <v>1</v>
      </c>
    </row>
    <row r="5498" spans="6:8" x14ac:dyDescent="0.3">
      <c r="F5498" s="11">
        <v>-4.13</v>
      </c>
      <c r="G5498" s="11">
        <v>56.525556000000002</v>
      </c>
      <c r="H5498" s="11">
        <v>1</v>
      </c>
    </row>
    <row r="5499" spans="6:8" x14ac:dyDescent="0.3">
      <c r="F5499" s="11">
        <v>-4.0708330000000004</v>
      </c>
      <c r="G5499" s="11">
        <v>56.5625</v>
      </c>
      <c r="H5499" s="11">
        <v>1</v>
      </c>
    </row>
    <row r="5500" spans="6:8" x14ac:dyDescent="0.3">
      <c r="F5500" s="11">
        <v>-4.0055560000000003</v>
      </c>
      <c r="G5500" s="11">
        <v>56.572778</v>
      </c>
      <c r="H5500" s="11">
        <v>1</v>
      </c>
    </row>
    <row r="5501" spans="6:8" x14ac:dyDescent="0.3">
      <c r="H5501" s="11">
        <v>1</v>
      </c>
    </row>
    <row r="5502" spans="6:8" x14ac:dyDescent="0.3">
      <c r="F5502" s="11">
        <v>-4.2941669999999998</v>
      </c>
      <c r="G5502" s="11">
        <v>56.679721999999998</v>
      </c>
      <c r="H5502" s="11">
        <v>1</v>
      </c>
    </row>
    <row r="5503" spans="6:8" x14ac:dyDescent="0.3">
      <c r="F5503" s="11">
        <v>-4.4030560000000003</v>
      </c>
      <c r="G5503" s="11">
        <v>56.678055999999998</v>
      </c>
      <c r="H5503" s="11">
        <v>1</v>
      </c>
    </row>
    <row r="5504" spans="6:8" x14ac:dyDescent="0.3">
      <c r="F5504" s="11">
        <v>-4.3283329999999998</v>
      </c>
      <c r="G5504" s="11">
        <v>56.684167000000002</v>
      </c>
      <c r="H5504" s="11">
        <v>1</v>
      </c>
    </row>
    <row r="5505" spans="6:8" x14ac:dyDescent="0.3">
      <c r="F5505" s="11">
        <v>-4.2319440000000004</v>
      </c>
      <c r="G5505" s="11">
        <v>56.696111000000002</v>
      </c>
      <c r="H5505" s="11">
        <v>1</v>
      </c>
    </row>
    <row r="5506" spans="6:8" x14ac:dyDescent="0.3">
      <c r="H5506" s="11">
        <v>1</v>
      </c>
    </row>
    <row r="5507" spans="6:8" x14ac:dyDescent="0.3">
      <c r="F5507" s="11">
        <v>-4.3308330000000002</v>
      </c>
      <c r="G5507" s="11">
        <v>56.873055999999998</v>
      </c>
      <c r="H5507" s="11">
        <v>1</v>
      </c>
    </row>
    <row r="5508" spans="6:8" x14ac:dyDescent="0.3">
      <c r="F5508" s="11">
        <v>-4.3741669999999999</v>
      </c>
      <c r="G5508" s="11">
        <v>56.825833000000003</v>
      </c>
      <c r="H5508" s="11">
        <v>1</v>
      </c>
    </row>
    <row r="5509" spans="6:8" x14ac:dyDescent="0.3">
      <c r="F5509" s="11">
        <v>-4.42</v>
      </c>
      <c r="G5509" s="11">
        <v>56.78</v>
      </c>
      <c r="H5509" s="11">
        <v>1</v>
      </c>
    </row>
    <row r="5510" spans="6:8" x14ac:dyDescent="0.3">
      <c r="F5510" s="11">
        <v>-4.4488890000000003</v>
      </c>
      <c r="G5510" s="11">
        <v>56.732222</v>
      </c>
      <c r="H5510" s="11">
        <v>1</v>
      </c>
    </row>
    <row r="5511" spans="6:8" x14ac:dyDescent="0.3">
      <c r="F5511" s="11">
        <v>-4.4461110000000001</v>
      </c>
      <c r="G5511" s="11">
        <v>56.779443999999998</v>
      </c>
      <c r="H5511" s="11">
        <v>1</v>
      </c>
    </row>
    <row r="5512" spans="6:8" x14ac:dyDescent="0.3">
      <c r="F5512" s="11">
        <v>-4.3936109999999999</v>
      </c>
      <c r="G5512" s="11">
        <v>56.820833</v>
      </c>
      <c r="H5512" s="11">
        <v>1</v>
      </c>
    </row>
    <row r="5513" spans="6:8" x14ac:dyDescent="0.3">
      <c r="F5513" s="11">
        <v>-4.3502780000000003</v>
      </c>
      <c r="G5513" s="11">
        <v>56.868056000000003</v>
      </c>
      <c r="H5513" s="11">
        <v>1</v>
      </c>
    </row>
    <row r="5514" spans="6:8" x14ac:dyDescent="0.3">
      <c r="F5514" s="11">
        <v>-4.2983330000000004</v>
      </c>
      <c r="G5514" s="11">
        <v>56.91</v>
      </c>
      <c r="H5514" s="11">
        <v>1</v>
      </c>
    </row>
    <row r="5515" spans="6:8" x14ac:dyDescent="0.3">
      <c r="H5515" s="11">
        <v>1</v>
      </c>
    </row>
    <row r="5516" spans="6:8" x14ac:dyDescent="0.3">
      <c r="F5516" s="11">
        <v>-4.7619439999999997</v>
      </c>
      <c r="G5516" s="11">
        <v>56.692222000000001</v>
      </c>
      <c r="H5516" s="11">
        <v>1</v>
      </c>
    </row>
    <row r="5517" spans="6:8" x14ac:dyDescent="0.3">
      <c r="F5517" s="11">
        <v>-4.8658330000000003</v>
      </c>
      <c r="G5517" s="11">
        <v>56.692777999999997</v>
      </c>
      <c r="H5517" s="11">
        <v>1</v>
      </c>
    </row>
    <row r="5518" spans="6:8" x14ac:dyDescent="0.3">
      <c r="F5518" s="11">
        <v>-4.7855559999999997</v>
      </c>
      <c r="G5518" s="11">
        <v>56.701667</v>
      </c>
      <c r="H5518" s="11">
        <v>1</v>
      </c>
    </row>
    <row r="5519" spans="6:8" x14ac:dyDescent="0.3">
      <c r="F5519" s="11">
        <v>-4.6844440000000001</v>
      </c>
      <c r="G5519" s="11">
        <v>56.711111000000002</v>
      </c>
      <c r="H5519" s="11">
        <v>1</v>
      </c>
    </row>
    <row r="5520" spans="6:8" x14ac:dyDescent="0.3">
      <c r="H5520" s="11">
        <v>1</v>
      </c>
    </row>
    <row r="5521" spans="6:8" x14ac:dyDescent="0.3">
      <c r="F5521" s="11">
        <v>-4.8397220000000001</v>
      </c>
      <c r="G5521" s="11">
        <v>56.531666999999999</v>
      </c>
      <c r="H5521" s="11">
        <v>1</v>
      </c>
    </row>
    <row r="5522" spans="6:8" x14ac:dyDescent="0.3">
      <c r="F5522" s="11">
        <v>-4.8049999999999997</v>
      </c>
      <c r="G5522" s="11">
        <v>56.560277999999997</v>
      </c>
      <c r="H5522" s="11">
        <v>1</v>
      </c>
    </row>
    <row r="5523" spans="6:8" x14ac:dyDescent="0.3">
      <c r="H5523" s="11">
        <v>1</v>
      </c>
    </row>
    <row r="5524" spans="6:8" x14ac:dyDescent="0.3">
      <c r="F5524" s="11">
        <v>-5.0994440000000001</v>
      </c>
      <c r="G5524" s="11">
        <v>56.344721999999997</v>
      </c>
      <c r="H5524" s="11">
        <v>1</v>
      </c>
    </row>
    <row r="5525" spans="6:8" x14ac:dyDescent="0.3">
      <c r="F5525" s="11">
        <v>-5.1775000000000002</v>
      </c>
      <c r="G5525" s="11">
        <v>56.320833</v>
      </c>
      <c r="H5525" s="11">
        <v>1</v>
      </c>
    </row>
    <row r="5526" spans="6:8" x14ac:dyDescent="0.3">
      <c r="F5526" s="11">
        <v>-5.2219439999999997</v>
      </c>
      <c r="G5526" s="11">
        <v>56.278888999999999</v>
      </c>
      <c r="H5526" s="11">
        <v>1</v>
      </c>
    </row>
    <row r="5527" spans="6:8" x14ac:dyDescent="0.3">
      <c r="F5527" s="11">
        <v>-5.2750000000000004</v>
      </c>
      <c r="G5527" s="11">
        <v>56.239167000000002</v>
      </c>
      <c r="H5527" s="11">
        <v>1</v>
      </c>
    </row>
    <row r="5528" spans="6:8" x14ac:dyDescent="0.3">
      <c r="F5528" s="11">
        <v>-5.3308330000000002</v>
      </c>
      <c r="G5528" s="11">
        <v>56.200833000000003</v>
      </c>
      <c r="H5528" s="11">
        <v>1</v>
      </c>
    </row>
    <row r="5529" spans="6:8" x14ac:dyDescent="0.3">
      <c r="F5529" s="11">
        <v>-5.4083329999999998</v>
      </c>
      <c r="G5529" s="11">
        <v>56.176667000000002</v>
      </c>
      <c r="H5529" s="11">
        <v>1</v>
      </c>
    </row>
    <row r="5530" spans="6:8" x14ac:dyDescent="0.3">
      <c r="F5530" s="11">
        <v>-5.354444</v>
      </c>
      <c r="G5530" s="11">
        <v>56.202221999999999</v>
      </c>
      <c r="H5530" s="11">
        <v>1</v>
      </c>
    </row>
    <row r="5531" spans="6:8" x14ac:dyDescent="0.3">
      <c r="F5531" s="11">
        <v>-5.2955560000000004</v>
      </c>
      <c r="G5531" s="11">
        <v>56.238610999999999</v>
      </c>
      <c r="H5531" s="11">
        <v>1</v>
      </c>
    </row>
    <row r="5532" spans="6:8" x14ac:dyDescent="0.3">
      <c r="F5532" s="11">
        <v>-5.2511109999999999</v>
      </c>
      <c r="G5532" s="11">
        <v>56.283332999999999</v>
      </c>
      <c r="H5532" s="11">
        <v>1</v>
      </c>
    </row>
    <row r="5533" spans="6:8" x14ac:dyDescent="0.3">
      <c r="F5533" s="11">
        <v>-5.2030560000000001</v>
      </c>
      <c r="G5533" s="11">
        <v>56.327221999999999</v>
      </c>
      <c r="H5533" s="11">
        <v>1</v>
      </c>
    </row>
    <row r="5534" spans="6:8" x14ac:dyDescent="0.3">
      <c r="F5534" s="11">
        <v>-5.1236110000000004</v>
      </c>
      <c r="G5534" s="11">
        <v>56.35</v>
      </c>
      <c r="H5534" s="11">
        <v>1</v>
      </c>
    </row>
    <row r="5535" spans="6:8" x14ac:dyDescent="0.3">
      <c r="F5535" s="11">
        <v>-5.0680560000000003</v>
      </c>
      <c r="G5535" s="11">
        <v>56.381110999999997</v>
      </c>
      <c r="H5535" s="11">
        <v>1</v>
      </c>
    </row>
    <row r="5536" spans="6:8" x14ac:dyDescent="0.3">
      <c r="H5536" s="11">
        <v>1</v>
      </c>
    </row>
    <row r="5537" spans="6:8" x14ac:dyDescent="0.3">
      <c r="F5537" s="11">
        <v>-5.1088889999999996</v>
      </c>
      <c r="G5537" s="11">
        <v>56.501389000000003</v>
      </c>
      <c r="H5537" s="11">
        <v>1</v>
      </c>
    </row>
    <row r="5538" spans="6:8" x14ac:dyDescent="0.3">
      <c r="F5538" s="11">
        <v>-5.1661109999999999</v>
      </c>
      <c r="G5538" s="11">
        <v>56.463611</v>
      </c>
      <c r="H5538" s="11">
        <v>1</v>
      </c>
    </row>
    <row r="5539" spans="6:8" x14ac:dyDescent="0.3">
      <c r="F5539" s="11">
        <v>-5.2383329999999999</v>
      </c>
      <c r="G5539" s="11">
        <v>56.435555999999998</v>
      </c>
      <c r="H5539" s="11">
        <v>1</v>
      </c>
    </row>
    <row r="5540" spans="6:8" x14ac:dyDescent="0.3">
      <c r="F5540" s="11">
        <v>-5.1952780000000001</v>
      </c>
      <c r="G5540" s="11">
        <v>56.462499999999999</v>
      </c>
      <c r="H5540" s="11">
        <v>1</v>
      </c>
    </row>
    <row r="5541" spans="6:8" x14ac:dyDescent="0.3">
      <c r="F5541" s="11">
        <v>-5.1380559999999997</v>
      </c>
      <c r="G5541" s="11">
        <v>56.500278000000002</v>
      </c>
      <c r="H5541" s="11">
        <v>1</v>
      </c>
    </row>
    <row r="5542" spans="6:8" x14ac:dyDescent="0.3">
      <c r="F5542" s="11">
        <v>-5.0891669999999998</v>
      </c>
      <c r="G5542" s="11">
        <v>56.543610999999999</v>
      </c>
      <c r="H5542" s="11">
        <v>1</v>
      </c>
    </row>
    <row r="5543" spans="6:8" x14ac:dyDescent="0.3">
      <c r="H5543" s="11">
        <v>1</v>
      </c>
    </row>
    <row r="5544" spans="6:8" x14ac:dyDescent="0.3">
      <c r="F5544" s="11">
        <v>-4.8952780000000002</v>
      </c>
      <c r="G5544" s="11">
        <v>56.964167000000003</v>
      </c>
      <c r="H5544" s="11">
        <v>1</v>
      </c>
    </row>
    <row r="5545" spans="6:8" x14ac:dyDescent="0.3">
      <c r="F5545" s="11">
        <v>-4.9566670000000004</v>
      </c>
      <c r="G5545" s="11">
        <v>56.928333000000002</v>
      </c>
      <c r="H5545" s="11">
        <v>1</v>
      </c>
    </row>
    <row r="5546" spans="6:8" x14ac:dyDescent="0.3">
      <c r="F5546" s="11">
        <v>-4.9427779999999997</v>
      </c>
      <c r="G5546" s="11">
        <v>56.956667000000003</v>
      </c>
      <c r="H5546" s="11">
        <v>1</v>
      </c>
    </row>
    <row r="5547" spans="6:8" x14ac:dyDescent="0.3">
      <c r="F5547" s="11">
        <v>-4.8844440000000002</v>
      </c>
      <c r="G5547" s="11">
        <v>56.994444000000001</v>
      </c>
      <c r="H5547" s="11">
        <v>1</v>
      </c>
    </row>
    <row r="5548" spans="6:8" x14ac:dyDescent="0.3">
      <c r="F5548" s="11">
        <v>-4.844722</v>
      </c>
      <c r="G5548" s="11">
        <v>57.000833</v>
      </c>
      <c r="H5548" s="11">
        <v>1</v>
      </c>
    </row>
    <row r="5549" spans="6:8" x14ac:dyDescent="0.3">
      <c r="H5549" s="11">
        <v>1</v>
      </c>
    </row>
    <row r="5550" spans="6:8" x14ac:dyDescent="0.3">
      <c r="F5550" s="11">
        <v>-4.3911110000000004</v>
      </c>
      <c r="G5550" s="11">
        <v>57.337778</v>
      </c>
      <c r="H5550" s="11">
        <v>1</v>
      </c>
    </row>
    <row r="5551" spans="6:8" x14ac:dyDescent="0.3">
      <c r="F5551" s="11">
        <v>-4.4441670000000002</v>
      </c>
      <c r="G5551" s="11">
        <v>57.296388999999998</v>
      </c>
      <c r="H5551" s="11">
        <v>1</v>
      </c>
    </row>
    <row r="5552" spans="6:8" x14ac:dyDescent="0.3">
      <c r="F5552" s="11">
        <v>-4.4933329999999998</v>
      </c>
      <c r="G5552" s="11">
        <v>57.251944000000002</v>
      </c>
      <c r="H5552" s="11">
        <v>1</v>
      </c>
    </row>
    <row r="5553" spans="6:8" x14ac:dyDescent="0.3">
      <c r="F5553" s="11">
        <v>-4.5538889999999999</v>
      </c>
      <c r="G5553" s="11">
        <v>57.215555999999999</v>
      </c>
      <c r="H5553" s="11">
        <v>1</v>
      </c>
    </row>
    <row r="5554" spans="6:8" x14ac:dyDescent="0.3">
      <c r="F5554" s="11">
        <v>-4.6088889999999996</v>
      </c>
      <c r="G5554" s="11">
        <v>57.175556</v>
      </c>
      <c r="H5554" s="11">
        <v>1</v>
      </c>
    </row>
    <row r="5555" spans="6:8" x14ac:dyDescent="0.3">
      <c r="F5555" s="11">
        <v>-4.67</v>
      </c>
      <c r="G5555" s="11">
        <v>57.139721999999999</v>
      </c>
      <c r="H5555" s="11">
        <v>1</v>
      </c>
    </row>
    <row r="5556" spans="6:8" x14ac:dyDescent="0.3">
      <c r="F5556" s="11">
        <v>-4.6402780000000003</v>
      </c>
      <c r="G5556" s="11">
        <v>57.175832999999997</v>
      </c>
      <c r="H5556" s="11">
        <v>1</v>
      </c>
    </row>
    <row r="5557" spans="6:8" x14ac:dyDescent="0.3">
      <c r="F5557" s="11">
        <v>-4.5852779999999997</v>
      </c>
      <c r="G5557" s="11">
        <v>57.215833000000003</v>
      </c>
      <c r="H5557" s="11">
        <v>1</v>
      </c>
    </row>
    <row r="5558" spans="6:8" x14ac:dyDescent="0.3">
      <c r="F5558" s="11">
        <v>-4.5230560000000004</v>
      </c>
      <c r="G5558" s="11">
        <v>57.251389000000003</v>
      </c>
      <c r="H5558" s="11">
        <v>1</v>
      </c>
    </row>
    <row r="5559" spans="6:8" x14ac:dyDescent="0.3">
      <c r="F5559" s="11">
        <v>-4.4702780000000004</v>
      </c>
      <c r="G5559" s="11">
        <v>57.292777999999998</v>
      </c>
      <c r="H5559" s="11">
        <v>1</v>
      </c>
    </row>
    <row r="5560" spans="6:8" x14ac:dyDescent="0.3">
      <c r="F5560" s="11">
        <v>-4.4233330000000004</v>
      </c>
      <c r="G5560" s="11">
        <v>57.333888999999999</v>
      </c>
      <c r="H5560" s="11">
        <v>1</v>
      </c>
    </row>
    <row r="5561" spans="6:8" x14ac:dyDescent="0.3">
      <c r="F5561" s="11">
        <v>-4.3683329999999998</v>
      </c>
      <c r="G5561" s="11">
        <v>57.374167</v>
      </c>
      <c r="H5561" s="11">
        <v>1</v>
      </c>
    </row>
    <row r="5562" spans="6:8" x14ac:dyDescent="0.3">
      <c r="H5562" s="11">
        <v>1</v>
      </c>
    </row>
    <row r="5563" spans="6:8" x14ac:dyDescent="0.3">
      <c r="F5563" s="11">
        <v>-4.3552780000000002</v>
      </c>
      <c r="G5563" s="11">
        <v>57.479166999999997</v>
      </c>
      <c r="H5563" s="11">
        <v>1</v>
      </c>
    </row>
    <row r="5564" spans="6:8" x14ac:dyDescent="0.3">
      <c r="F5564" s="11">
        <v>-4.4516669999999996</v>
      </c>
      <c r="G5564" s="11">
        <v>57.484166999999999</v>
      </c>
      <c r="H5564" s="11">
        <v>1</v>
      </c>
    </row>
    <row r="5565" spans="6:8" x14ac:dyDescent="0.3">
      <c r="F5565" s="11">
        <v>-4.3758330000000001</v>
      </c>
      <c r="G5565" s="11">
        <v>57.502777999999999</v>
      </c>
      <c r="H5565" s="11">
        <v>1</v>
      </c>
    </row>
    <row r="5566" spans="6:8" x14ac:dyDescent="0.3">
      <c r="F5566" s="11">
        <v>-4.2669439999999996</v>
      </c>
      <c r="G5566" s="11">
        <v>57.495832999999998</v>
      </c>
      <c r="H5566" s="11">
        <v>1</v>
      </c>
    </row>
    <row r="5567" spans="6:8" x14ac:dyDescent="0.3">
      <c r="H5567" s="11">
        <v>1</v>
      </c>
    </row>
    <row r="5568" spans="6:8" x14ac:dyDescent="0.3">
      <c r="F5568" s="11">
        <v>-3.6269439999999999</v>
      </c>
      <c r="G5568" s="11">
        <v>57.638055999999999</v>
      </c>
      <c r="H5568" s="11">
        <v>1</v>
      </c>
    </row>
    <row r="5569" spans="6:8" x14ac:dyDescent="0.3">
      <c r="F5569" s="11">
        <v>-3.5805560000000001</v>
      </c>
      <c r="G5569" s="11">
        <v>57.637222000000001</v>
      </c>
      <c r="H5569" s="11">
        <v>1</v>
      </c>
    </row>
    <row r="5570" spans="6:8" x14ac:dyDescent="0.3">
      <c r="H5570" s="11">
        <v>1</v>
      </c>
    </row>
    <row r="5571" spans="6:8" x14ac:dyDescent="0.3">
      <c r="F5571" s="11">
        <v>-2.4750000000000001</v>
      </c>
      <c r="G5571" s="11">
        <v>56.713611</v>
      </c>
      <c r="H5571" s="11">
        <v>1</v>
      </c>
    </row>
    <row r="5572" spans="6:8" x14ac:dyDescent="0.3">
      <c r="F5572" s="11">
        <v>-2.4727779999999999</v>
      </c>
      <c r="G5572" s="11">
        <v>56.692777999999997</v>
      </c>
      <c r="H5572" s="11">
        <v>1</v>
      </c>
    </row>
    <row r="5573" spans="6:8" x14ac:dyDescent="0.3">
      <c r="H5573" s="11">
        <v>1</v>
      </c>
    </row>
    <row r="5574" spans="6:8" x14ac:dyDescent="0.3">
      <c r="F5574" s="11">
        <v>-4.9647220000000001</v>
      </c>
      <c r="G5574" s="11">
        <v>57.067777999999997</v>
      </c>
      <c r="H5574" s="11">
        <v>1</v>
      </c>
    </row>
    <row r="5575" spans="6:8" x14ac:dyDescent="0.3">
      <c r="F5575" s="11">
        <v>-4.9036109999999997</v>
      </c>
      <c r="G5575" s="11">
        <v>57.081389000000001</v>
      </c>
      <c r="H5575" s="11">
        <v>1</v>
      </c>
    </row>
    <row r="5576" spans="6:8" x14ac:dyDescent="0.3">
      <c r="H5576" s="11">
        <v>1</v>
      </c>
    </row>
    <row r="5577" spans="6:8" x14ac:dyDescent="0.3">
      <c r="F5577" s="11">
        <v>-5.2833329999999998</v>
      </c>
      <c r="G5577" s="11">
        <v>57.061388999999998</v>
      </c>
      <c r="H5577" s="11">
        <v>1</v>
      </c>
    </row>
    <row r="5578" spans="6:8" x14ac:dyDescent="0.3">
      <c r="F5578" s="11">
        <v>-5.3697220000000003</v>
      </c>
      <c r="G5578" s="11">
        <v>57.041666999999997</v>
      </c>
      <c r="H5578" s="11">
        <v>1</v>
      </c>
    </row>
    <row r="5579" spans="6:8" x14ac:dyDescent="0.3">
      <c r="F5579" s="11">
        <v>-5.3216669999999997</v>
      </c>
      <c r="G5579" s="11">
        <v>57.068055999999999</v>
      </c>
      <c r="H5579" s="11">
        <v>1</v>
      </c>
    </row>
    <row r="5580" spans="6:8" x14ac:dyDescent="0.3">
      <c r="F5580" s="11">
        <v>-5.2588889999999999</v>
      </c>
      <c r="G5580" s="11">
        <v>57.077500000000001</v>
      </c>
      <c r="H5580" s="11">
        <v>1</v>
      </c>
    </row>
    <row r="5581" spans="6:8" x14ac:dyDescent="0.3">
      <c r="H5581" s="11">
        <v>1</v>
      </c>
    </row>
    <row r="5582" spans="6:8" x14ac:dyDescent="0.3">
      <c r="F5582" s="11">
        <v>-5.6494439999999999</v>
      </c>
      <c r="G5582" s="11">
        <v>56.939722000000003</v>
      </c>
      <c r="H5582" s="11">
        <v>1</v>
      </c>
    </row>
    <row r="5583" spans="6:8" x14ac:dyDescent="0.3">
      <c r="F5583" s="11">
        <v>-5.7569439999999998</v>
      </c>
      <c r="G5583" s="11">
        <v>56.940556000000001</v>
      </c>
      <c r="H5583" s="11">
        <v>1</v>
      </c>
    </row>
    <row r="5584" spans="6:8" x14ac:dyDescent="0.3">
      <c r="F5584" s="11">
        <v>-5.789167</v>
      </c>
      <c r="G5584" s="11">
        <v>56.963889000000002</v>
      </c>
      <c r="H5584" s="11">
        <v>1</v>
      </c>
    </row>
    <row r="5585" spans="6:8" x14ac:dyDescent="0.3">
      <c r="F5585" s="11">
        <v>-5.7016669999999996</v>
      </c>
      <c r="G5585" s="11">
        <v>56.950277999999997</v>
      </c>
      <c r="H5585" s="11">
        <v>1</v>
      </c>
    </row>
    <row r="5586" spans="6:8" x14ac:dyDescent="0.3">
      <c r="F5586" s="11">
        <v>-5.6019439999999996</v>
      </c>
      <c r="G5586" s="11">
        <v>56.954444000000002</v>
      </c>
      <c r="H5586" s="11">
        <v>1</v>
      </c>
    </row>
    <row r="5587" spans="6:8" x14ac:dyDescent="0.3">
      <c r="F5587" s="11">
        <v>-5.5333329999999998</v>
      </c>
      <c r="G5587" s="11">
        <v>56.950555999999999</v>
      </c>
      <c r="H5587" s="11">
        <v>1</v>
      </c>
    </row>
    <row r="5588" spans="6:8" x14ac:dyDescent="0.3">
      <c r="H5588" s="11">
        <v>1</v>
      </c>
    </row>
    <row r="5589" spans="6:8" x14ac:dyDescent="0.3">
      <c r="F5589" s="11">
        <v>-5.0877780000000001</v>
      </c>
      <c r="G5589" s="11">
        <v>57.417777999999998</v>
      </c>
      <c r="H5589" s="11">
        <v>1</v>
      </c>
    </row>
    <row r="5590" spans="6:8" x14ac:dyDescent="0.3">
      <c r="F5590" s="11">
        <v>-5.12</v>
      </c>
      <c r="G5590" s="11">
        <v>57.423333</v>
      </c>
      <c r="H5590" s="11">
        <v>1</v>
      </c>
    </row>
    <row r="5591" spans="6:8" x14ac:dyDescent="0.3">
      <c r="F5591" s="11">
        <v>-5.0255559999999999</v>
      </c>
      <c r="G5591" s="11">
        <v>57.428055999999998</v>
      </c>
      <c r="H5591" s="11">
        <v>1</v>
      </c>
    </row>
    <row r="5592" spans="6:8" x14ac:dyDescent="0.3">
      <c r="H5592" s="11">
        <v>1</v>
      </c>
    </row>
    <row r="5593" spans="6:8" x14ac:dyDescent="0.3">
      <c r="F5593" s="11">
        <v>-5.0030559999999999</v>
      </c>
      <c r="G5593" s="11">
        <v>57.636389000000001</v>
      </c>
      <c r="H5593" s="11">
        <v>1</v>
      </c>
    </row>
    <row r="5594" spans="6:8" x14ac:dyDescent="0.3">
      <c r="F5594" s="11">
        <v>-5.0594440000000001</v>
      </c>
      <c r="G5594" s="11">
        <v>57.651111</v>
      </c>
      <c r="H5594" s="11">
        <v>1</v>
      </c>
    </row>
    <row r="5595" spans="6:8" x14ac:dyDescent="0.3">
      <c r="F5595" s="11">
        <v>-4.9488890000000003</v>
      </c>
      <c r="G5595" s="11">
        <v>57.646110999999998</v>
      </c>
      <c r="H5595" s="11">
        <v>1</v>
      </c>
    </row>
    <row r="5596" spans="6:8" x14ac:dyDescent="0.3">
      <c r="H5596" s="11">
        <v>1</v>
      </c>
    </row>
    <row r="5597" spans="6:8" x14ac:dyDescent="0.3">
      <c r="F5597" s="11">
        <v>-5.4386109999999999</v>
      </c>
      <c r="G5597" s="11">
        <v>57.668332999999997</v>
      </c>
      <c r="H5597" s="11">
        <v>1</v>
      </c>
    </row>
    <row r="5598" spans="6:8" x14ac:dyDescent="0.3">
      <c r="F5598" s="11">
        <v>-5.5313889999999999</v>
      </c>
      <c r="G5598" s="11">
        <v>57.678610999999997</v>
      </c>
      <c r="H5598" s="11">
        <v>1</v>
      </c>
    </row>
    <row r="5599" spans="6:8" x14ac:dyDescent="0.3">
      <c r="F5599" s="11">
        <v>-5.5605560000000001</v>
      </c>
      <c r="G5599" s="11">
        <v>57.724722</v>
      </c>
      <c r="H5599" s="11">
        <v>1</v>
      </c>
    </row>
    <row r="5600" spans="6:8" x14ac:dyDescent="0.3">
      <c r="F5600" s="11">
        <v>-5.6105559999999999</v>
      </c>
      <c r="G5600" s="11">
        <v>57.765833000000001</v>
      </c>
      <c r="H5600" s="11">
        <v>1</v>
      </c>
    </row>
    <row r="5601" spans="6:8" x14ac:dyDescent="0.3">
      <c r="F5601" s="11">
        <v>-5.5533330000000003</v>
      </c>
      <c r="G5601" s="11">
        <v>57.728889000000002</v>
      </c>
      <c r="H5601" s="11">
        <v>1</v>
      </c>
    </row>
    <row r="5602" spans="6:8" x14ac:dyDescent="0.3">
      <c r="F5602" s="11">
        <v>-5.4775</v>
      </c>
      <c r="G5602" s="11">
        <v>57.699722000000001</v>
      </c>
      <c r="H5602" s="11">
        <v>1</v>
      </c>
    </row>
    <row r="5603" spans="6:8" x14ac:dyDescent="0.3">
      <c r="F5603" s="11">
        <v>-5.4077780000000004</v>
      </c>
      <c r="G5603" s="11">
        <v>57.668056</v>
      </c>
      <c r="H5603" s="11">
        <v>1</v>
      </c>
    </row>
    <row r="5604" spans="6:8" x14ac:dyDescent="0.3">
      <c r="F5604" s="11">
        <v>-5.3305559999999996</v>
      </c>
      <c r="G5604" s="11">
        <v>57.639443999999997</v>
      </c>
      <c r="H5604" s="11">
        <v>1</v>
      </c>
    </row>
    <row r="5605" spans="6:8" x14ac:dyDescent="0.3">
      <c r="H5605" s="11">
        <v>1</v>
      </c>
    </row>
    <row r="5606" spans="6:8" x14ac:dyDescent="0.3">
      <c r="F5606" s="11">
        <v>-5.4733330000000002</v>
      </c>
      <c r="G5606" s="11">
        <v>57.756388999999999</v>
      </c>
      <c r="H5606" s="11">
        <v>1</v>
      </c>
    </row>
    <row r="5607" spans="6:8" x14ac:dyDescent="0.3">
      <c r="F5607" s="11">
        <v>-5.4577780000000002</v>
      </c>
      <c r="G5607" s="11">
        <v>57.786389</v>
      </c>
      <c r="H5607" s="11">
        <v>1</v>
      </c>
    </row>
    <row r="5608" spans="6:8" x14ac:dyDescent="0.3">
      <c r="F5608" s="11">
        <v>-5.4258329999999999</v>
      </c>
      <c r="G5608" s="11">
        <v>57.741943999999997</v>
      </c>
      <c r="H5608" s="11">
        <v>1</v>
      </c>
    </row>
    <row r="5609" spans="6:8" x14ac:dyDescent="0.3">
      <c r="H5609" s="11">
        <v>1</v>
      </c>
    </row>
    <row r="5610" spans="6:8" x14ac:dyDescent="0.3">
      <c r="F5610" s="11">
        <v>-4.3233329999999999</v>
      </c>
      <c r="G5610" s="11">
        <v>57.856667000000002</v>
      </c>
      <c r="H5610" s="11">
        <v>1</v>
      </c>
    </row>
    <row r="5611" spans="6:8" x14ac:dyDescent="0.3">
      <c r="F5611" s="11">
        <v>-4.3805560000000003</v>
      </c>
      <c r="G5611" s="11">
        <v>57.893611</v>
      </c>
      <c r="H5611" s="11">
        <v>1</v>
      </c>
    </row>
    <row r="5612" spans="6:8" x14ac:dyDescent="0.3">
      <c r="F5612" s="11">
        <v>-4.3597219999999997</v>
      </c>
      <c r="G5612" s="11">
        <v>57.895833000000003</v>
      </c>
      <c r="H5612" s="11">
        <v>1</v>
      </c>
    </row>
    <row r="5613" spans="6:8" x14ac:dyDescent="0.3">
      <c r="F5613" s="11">
        <v>-4.2986110000000002</v>
      </c>
      <c r="G5613" s="11">
        <v>57.859721999999998</v>
      </c>
      <c r="H5613" s="11">
        <v>1</v>
      </c>
    </row>
    <row r="5614" spans="6:8" x14ac:dyDescent="0.3">
      <c r="F5614" s="11">
        <v>-4.2097220000000002</v>
      </c>
      <c r="G5614" s="11">
        <v>57.860556000000003</v>
      </c>
      <c r="H5614" s="11">
        <v>1</v>
      </c>
    </row>
    <row r="5615" spans="6:8" x14ac:dyDescent="0.3">
      <c r="H5615" s="11">
        <v>1</v>
      </c>
    </row>
    <row r="5616" spans="6:8" x14ac:dyDescent="0.3">
      <c r="F5616" s="11">
        <v>-4.0466670000000002</v>
      </c>
      <c r="G5616" s="11">
        <v>57.938889000000003</v>
      </c>
      <c r="H5616" s="11">
        <v>1</v>
      </c>
    </row>
    <row r="5617" spans="6:8" x14ac:dyDescent="0.3">
      <c r="H5617" s="11">
        <v>1</v>
      </c>
    </row>
    <row r="5618" spans="6:8" x14ac:dyDescent="0.3">
      <c r="F5618" s="11">
        <v>-4.4869440000000003</v>
      </c>
      <c r="G5618" s="11">
        <v>58.066389000000001</v>
      </c>
      <c r="H5618" s="11">
        <v>1</v>
      </c>
    </row>
    <row r="5619" spans="6:8" x14ac:dyDescent="0.3">
      <c r="F5619" s="11">
        <v>-4.5594440000000001</v>
      </c>
      <c r="G5619" s="11">
        <v>58.097499999999997</v>
      </c>
      <c r="H5619" s="11">
        <v>1</v>
      </c>
    </row>
    <row r="5620" spans="6:8" x14ac:dyDescent="0.3">
      <c r="F5620" s="11">
        <v>-4.6219440000000001</v>
      </c>
      <c r="G5620" s="11">
        <v>58.133056000000003</v>
      </c>
      <c r="H5620" s="11">
        <v>1</v>
      </c>
    </row>
    <row r="5621" spans="6:8" x14ac:dyDescent="0.3">
      <c r="F5621" s="11">
        <v>-4.708056</v>
      </c>
      <c r="G5621" s="11">
        <v>58.158332999999999</v>
      </c>
      <c r="H5621" s="11">
        <v>1</v>
      </c>
    </row>
    <row r="5622" spans="6:8" x14ac:dyDescent="0.3">
      <c r="F5622" s="11">
        <v>-4.6802780000000004</v>
      </c>
      <c r="G5622" s="11">
        <v>58.158889000000002</v>
      </c>
      <c r="H5622" s="11">
        <v>1</v>
      </c>
    </row>
    <row r="5623" spans="6:8" x14ac:dyDescent="0.3">
      <c r="F5623" s="11">
        <v>-4.6005560000000001</v>
      </c>
      <c r="G5623" s="11">
        <v>58.131667</v>
      </c>
      <c r="H5623" s="11">
        <v>1</v>
      </c>
    </row>
    <row r="5624" spans="6:8" x14ac:dyDescent="0.3">
      <c r="F5624" s="11">
        <v>-4.5333329999999998</v>
      </c>
      <c r="G5624" s="11">
        <v>58.098332999999997</v>
      </c>
      <c r="H5624" s="11">
        <v>1</v>
      </c>
    </row>
    <row r="5625" spans="6:8" x14ac:dyDescent="0.3">
      <c r="F5625" s="11">
        <v>-4.4566670000000004</v>
      </c>
      <c r="G5625" s="11">
        <v>58.07</v>
      </c>
      <c r="H5625" s="11">
        <v>1</v>
      </c>
    </row>
    <row r="5626" spans="6:8" x14ac:dyDescent="0.3">
      <c r="F5626" s="11">
        <v>-4.4011110000000002</v>
      </c>
      <c r="G5626" s="11">
        <v>58.031944000000003</v>
      </c>
      <c r="H5626" s="11">
        <v>1</v>
      </c>
    </row>
    <row r="5627" spans="6:8" x14ac:dyDescent="0.3">
      <c r="H5627" s="11">
        <v>1</v>
      </c>
    </row>
    <row r="5628" spans="6:8" x14ac:dyDescent="0.3">
      <c r="F5628" s="11">
        <v>-4.3680560000000002</v>
      </c>
      <c r="G5628" s="11">
        <v>58.198056000000001</v>
      </c>
      <c r="H5628" s="11">
        <v>1</v>
      </c>
    </row>
    <row r="5629" spans="6:8" x14ac:dyDescent="0.3">
      <c r="F5629" s="11">
        <v>-4.3430559999999998</v>
      </c>
      <c r="G5629" s="11">
        <v>58.220832999999999</v>
      </c>
      <c r="H5629" s="11">
        <v>1</v>
      </c>
    </row>
    <row r="5630" spans="6:8" x14ac:dyDescent="0.3">
      <c r="H5630" s="11">
        <v>1</v>
      </c>
    </row>
    <row r="5631" spans="6:8" x14ac:dyDescent="0.3">
      <c r="F5631" s="11">
        <v>-4.1583329999999998</v>
      </c>
      <c r="G5631" s="11">
        <v>58.277500000000003</v>
      </c>
      <c r="H5631" s="11">
        <v>1</v>
      </c>
    </row>
    <row r="5632" spans="6:8" x14ac:dyDescent="0.3">
      <c r="F5632" s="11">
        <v>-4.1241669999999999</v>
      </c>
      <c r="G5632" s="11">
        <v>58.295555999999998</v>
      </c>
      <c r="H5632" s="11">
        <v>1</v>
      </c>
    </row>
    <row r="5633" spans="6:8" x14ac:dyDescent="0.3">
      <c r="H5633" s="11">
        <v>1</v>
      </c>
    </row>
    <row r="5634" spans="6:8" x14ac:dyDescent="0.3">
      <c r="F5634" s="11">
        <v>-7.2975000000000003</v>
      </c>
      <c r="G5634" s="11">
        <v>57.581944</v>
      </c>
      <c r="H5634" s="11">
        <v>1</v>
      </c>
    </row>
    <row r="5635" spans="6:8" x14ac:dyDescent="0.3">
      <c r="F5635" s="11">
        <v>-7.2880560000000001</v>
      </c>
      <c r="G5635" s="11">
        <v>57.608055999999998</v>
      </c>
      <c r="H5635" s="11">
        <v>1</v>
      </c>
    </row>
    <row r="5636" spans="6:8" x14ac:dyDescent="0.3">
      <c r="H5636" s="11">
        <v>1</v>
      </c>
    </row>
    <row r="5637" spans="6:8" x14ac:dyDescent="0.3">
      <c r="F5637" s="11">
        <v>8.2227779999999999</v>
      </c>
      <c r="G5637" s="11">
        <v>56.125833</v>
      </c>
      <c r="H5637" s="11">
        <v>1</v>
      </c>
    </row>
    <row r="5638" spans="6:8" x14ac:dyDescent="0.3">
      <c r="F5638" s="11">
        <v>8.2058330000000002</v>
      </c>
      <c r="G5638" s="11">
        <v>56.17</v>
      </c>
      <c r="H5638" s="11">
        <v>1</v>
      </c>
    </row>
    <row r="5639" spans="6:8" x14ac:dyDescent="0.3">
      <c r="H5639" s="11">
        <v>1</v>
      </c>
    </row>
    <row r="5640" spans="6:8" x14ac:dyDescent="0.3">
      <c r="F5640" s="11">
        <v>8.6119439999999994</v>
      </c>
      <c r="G5640" s="11">
        <v>61.866388999999998</v>
      </c>
      <c r="H5640" s="11">
        <v>1</v>
      </c>
    </row>
    <row r="5641" spans="6:8" x14ac:dyDescent="0.3">
      <c r="F5641" s="11">
        <v>8.7886109999999995</v>
      </c>
      <c r="G5641" s="11">
        <v>61.871667000000002</v>
      </c>
      <c r="H5641" s="11">
        <v>1</v>
      </c>
    </row>
    <row r="5642" spans="6:8" x14ac:dyDescent="0.3">
      <c r="F5642" s="11">
        <v>8.9605560000000004</v>
      </c>
      <c r="G5642" s="11">
        <v>61.865555999999998</v>
      </c>
      <c r="H5642" s="11">
        <v>1</v>
      </c>
    </row>
    <row r="5643" spans="6:8" x14ac:dyDescent="0.3">
      <c r="F5643" s="11">
        <v>8.9344439999999992</v>
      </c>
      <c r="G5643" s="11">
        <v>61.851388999999998</v>
      </c>
      <c r="H5643" s="11">
        <v>1</v>
      </c>
    </row>
    <row r="5644" spans="6:8" x14ac:dyDescent="0.3">
      <c r="F5644" s="11">
        <v>8.7663890000000002</v>
      </c>
      <c r="G5644" s="11">
        <v>61.862222000000003</v>
      </c>
      <c r="H5644" s="11">
        <v>1</v>
      </c>
    </row>
    <row r="5645" spans="6:8" x14ac:dyDescent="0.3">
      <c r="F5645" s="11">
        <v>8.5905559999999994</v>
      </c>
      <c r="G5645" s="11">
        <v>61.847222000000002</v>
      </c>
      <c r="H5645" s="11">
        <v>1</v>
      </c>
    </row>
    <row r="5646" spans="6:8" x14ac:dyDescent="0.3">
      <c r="F5646" s="11">
        <v>8.4544440000000005</v>
      </c>
      <c r="G5646" s="11">
        <v>61.879722000000001</v>
      </c>
      <c r="H5646" s="11">
        <v>1</v>
      </c>
    </row>
    <row r="5647" spans="6:8" x14ac:dyDescent="0.3">
      <c r="H5647" s="11">
        <v>1</v>
      </c>
    </row>
    <row r="5648" spans="6:8" x14ac:dyDescent="0.3">
      <c r="F5648" s="11">
        <v>8.5936109999999992</v>
      </c>
      <c r="G5648" s="11">
        <v>61.349443999999998</v>
      </c>
      <c r="H5648" s="11">
        <v>1</v>
      </c>
    </row>
    <row r="5649" spans="6:8" x14ac:dyDescent="0.3">
      <c r="F5649" s="11">
        <v>8.7730560000000004</v>
      </c>
      <c r="G5649" s="11">
        <v>61.33</v>
      </c>
      <c r="H5649" s="11">
        <v>1</v>
      </c>
    </row>
    <row r="5650" spans="6:8" x14ac:dyDescent="0.3">
      <c r="F5650" s="11">
        <v>8.9352780000000003</v>
      </c>
      <c r="G5650" s="11">
        <v>61.318888999999999</v>
      </c>
      <c r="H5650" s="11">
        <v>1</v>
      </c>
    </row>
    <row r="5651" spans="6:8" x14ac:dyDescent="0.3">
      <c r="F5651" s="11">
        <v>8.8894439999999992</v>
      </c>
      <c r="G5651" s="11">
        <v>61.298056000000003</v>
      </c>
      <c r="H5651" s="11">
        <v>1</v>
      </c>
    </row>
    <row r="5652" spans="6:8" x14ac:dyDescent="0.3">
      <c r="F5652" s="11">
        <v>8.7555560000000003</v>
      </c>
      <c r="G5652" s="11">
        <v>61.312778000000002</v>
      </c>
      <c r="H5652" s="11">
        <v>1</v>
      </c>
    </row>
    <row r="5653" spans="6:8" x14ac:dyDescent="0.3">
      <c r="F5653" s="11">
        <v>8.5877780000000001</v>
      </c>
      <c r="G5653" s="11">
        <v>61.333055999999999</v>
      </c>
      <c r="H5653" s="11">
        <v>1</v>
      </c>
    </row>
    <row r="5654" spans="6:8" x14ac:dyDescent="0.3">
      <c r="F5654" s="11">
        <v>8.3949999999999996</v>
      </c>
      <c r="G5654" s="11">
        <v>61.343055999999997</v>
      </c>
      <c r="H5654" s="11">
        <v>1</v>
      </c>
    </row>
    <row r="5655" spans="6:8" x14ac:dyDescent="0.3">
      <c r="F5655" s="11">
        <v>8.3391669999999998</v>
      </c>
      <c r="G5655" s="11">
        <v>61.368889000000003</v>
      </c>
      <c r="H5655" s="11">
        <v>1</v>
      </c>
    </row>
    <row r="5656" spans="6:8" x14ac:dyDescent="0.3">
      <c r="H5656" s="11">
        <v>1</v>
      </c>
    </row>
    <row r="5657" spans="6:8" x14ac:dyDescent="0.3">
      <c r="F5657" s="11">
        <v>8.08</v>
      </c>
      <c r="G5657" s="11">
        <v>60.744999999999997</v>
      </c>
      <c r="H5657" s="11">
        <v>1</v>
      </c>
    </row>
    <row r="5658" spans="6:8" x14ac:dyDescent="0.3">
      <c r="F5658" s="11">
        <v>8.1319440000000007</v>
      </c>
      <c r="G5658" s="11">
        <v>60.707777999999998</v>
      </c>
      <c r="H5658" s="11">
        <v>1</v>
      </c>
    </row>
    <row r="5659" spans="6:8" x14ac:dyDescent="0.3">
      <c r="F5659" s="11">
        <v>7.990278</v>
      </c>
      <c r="G5659" s="11">
        <v>60.740833000000002</v>
      </c>
      <c r="H5659" s="11">
        <v>1</v>
      </c>
    </row>
    <row r="5660" spans="6:8" x14ac:dyDescent="0.3">
      <c r="F5660" s="11">
        <v>7.9497220000000004</v>
      </c>
      <c r="G5660" s="11">
        <v>60.805833</v>
      </c>
      <c r="H5660" s="11">
        <v>1</v>
      </c>
    </row>
    <row r="5661" spans="6:8" x14ac:dyDescent="0.3">
      <c r="H5661" s="11">
        <v>1</v>
      </c>
    </row>
    <row r="5662" spans="6:8" x14ac:dyDescent="0.3">
      <c r="F5662" s="11">
        <v>8.6916670000000007</v>
      </c>
      <c r="G5662" s="11">
        <v>60.44</v>
      </c>
      <c r="H5662" s="11">
        <v>1</v>
      </c>
    </row>
    <row r="5663" spans="6:8" x14ac:dyDescent="0.3">
      <c r="F5663" s="11">
        <v>8.8252780000000008</v>
      </c>
      <c r="G5663" s="11">
        <v>60.427778000000004</v>
      </c>
      <c r="H5663" s="11">
        <v>1</v>
      </c>
    </row>
    <row r="5664" spans="6:8" x14ac:dyDescent="0.3">
      <c r="F5664" s="11">
        <v>8.8713890000000006</v>
      </c>
      <c r="G5664" s="11">
        <v>60.351944000000003</v>
      </c>
      <c r="H5664" s="11">
        <v>1</v>
      </c>
    </row>
    <row r="5665" spans="6:8" x14ac:dyDescent="0.3">
      <c r="F5665" s="11">
        <v>8.8249999999999993</v>
      </c>
      <c r="G5665" s="11">
        <v>60.380833000000003</v>
      </c>
      <c r="H5665" s="11">
        <v>1</v>
      </c>
    </row>
    <row r="5666" spans="6:8" x14ac:dyDescent="0.3">
      <c r="F5666" s="11">
        <v>8.7438889999999994</v>
      </c>
      <c r="G5666" s="11">
        <v>60.418332999999997</v>
      </c>
      <c r="H5666" s="11">
        <v>1</v>
      </c>
    </row>
    <row r="5667" spans="6:8" x14ac:dyDescent="0.3">
      <c r="F5667" s="11">
        <v>8.5744439999999997</v>
      </c>
      <c r="G5667" s="11">
        <v>60.442222000000001</v>
      </c>
      <c r="H5667" s="11">
        <v>1</v>
      </c>
    </row>
    <row r="5668" spans="6:8" x14ac:dyDescent="0.3">
      <c r="H5668" s="11">
        <v>1</v>
      </c>
    </row>
    <row r="5669" spans="6:8" x14ac:dyDescent="0.3">
      <c r="F5669" s="11">
        <v>8.2769440000000003</v>
      </c>
      <c r="G5669" s="11">
        <v>60.118611000000001</v>
      </c>
      <c r="H5669" s="11">
        <v>1</v>
      </c>
    </row>
    <row r="5670" spans="6:8" x14ac:dyDescent="0.3">
      <c r="F5670" s="11">
        <v>8.2050000000000001</v>
      </c>
      <c r="G5670" s="11">
        <v>60.111111000000001</v>
      </c>
      <c r="H5670" s="11">
        <v>1</v>
      </c>
    </row>
    <row r="5671" spans="6:8" x14ac:dyDescent="0.3">
      <c r="F5671" s="11">
        <v>8.1852780000000003</v>
      </c>
      <c r="G5671" s="11">
        <v>60.178333000000002</v>
      </c>
      <c r="H5671" s="11">
        <v>1</v>
      </c>
    </row>
    <row r="5672" spans="6:8" x14ac:dyDescent="0.3">
      <c r="H5672" s="11">
        <v>1</v>
      </c>
    </row>
    <row r="5673" spans="6:8" x14ac:dyDescent="0.3">
      <c r="F5673" s="11">
        <v>8.8638890000000004</v>
      </c>
      <c r="G5673" s="11">
        <v>59.919167000000002</v>
      </c>
      <c r="H5673" s="11">
        <v>1</v>
      </c>
    </row>
    <row r="5674" spans="6:8" x14ac:dyDescent="0.3">
      <c r="F5674" s="11">
        <v>8.9313889999999994</v>
      </c>
      <c r="G5674" s="11">
        <v>59.852499999999999</v>
      </c>
      <c r="H5674" s="11">
        <v>1</v>
      </c>
    </row>
    <row r="5675" spans="6:8" x14ac:dyDescent="0.3">
      <c r="F5675" s="11">
        <v>8.9586109999999994</v>
      </c>
      <c r="G5675" s="11">
        <v>59.820556000000003</v>
      </c>
      <c r="H5675" s="11">
        <v>1</v>
      </c>
    </row>
    <row r="5676" spans="6:8" x14ac:dyDescent="0.3">
      <c r="F5676" s="11">
        <v>8.8777779999999993</v>
      </c>
      <c r="G5676" s="11">
        <v>59.881667</v>
      </c>
      <c r="H5676" s="11">
        <v>1</v>
      </c>
    </row>
    <row r="5677" spans="6:8" x14ac:dyDescent="0.3">
      <c r="F5677" s="11">
        <v>8.7850000000000001</v>
      </c>
      <c r="G5677" s="11">
        <v>59.925277999999999</v>
      </c>
      <c r="H5677" s="11">
        <v>1</v>
      </c>
    </row>
    <row r="5678" spans="6:8" x14ac:dyDescent="0.3">
      <c r="F5678" s="11">
        <v>8.7797219999999996</v>
      </c>
      <c r="G5678" s="11">
        <v>59.971111000000001</v>
      </c>
      <c r="H5678" s="11">
        <v>1</v>
      </c>
    </row>
    <row r="5679" spans="6:8" x14ac:dyDescent="0.3">
      <c r="H5679" s="11">
        <v>1</v>
      </c>
    </row>
    <row r="5680" spans="6:8" x14ac:dyDescent="0.3">
      <c r="F5680" s="11">
        <v>8.8183330000000009</v>
      </c>
      <c r="G5680" s="11">
        <v>58.765000000000001</v>
      </c>
      <c r="H5680" s="11">
        <v>1</v>
      </c>
    </row>
    <row r="5681" spans="6:8" x14ac:dyDescent="0.3">
      <c r="F5681" s="11">
        <v>8.7291670000000003</v>
      </c>
      <c r="G5681" s="11">
        <v>58.779443999999998</v>
      </c>
      <c r="H5681" s="11">
        <v>1</v>
      </c>
    </row>
    <row r="5682" spans="6:8" x14ac:dyDescent="0.3">
      <c r="F5682" s="11">
        <v>8.6827780000000008</v>
      </c>
      <c r="G5682" s="11">
        <v>58.765833000000001</v>
      </c>
      <c r="H5682" s="11">
        <v>1</v>
      </c>
    </row>
    <row r="5683" spans="6:8" x14ac:dyDescent="0.3">
      <c r="F5683" s="11">
        <v>8.8125</v>
      </c>
      <c r="G5683" s="11">
        <v>58.798889000000003</v>
      </c>
      <c r="H5683" s="11">
        <v>1</v>
      </c>
    </row>
    <row r="5684" spans="6:8" x14ac:dyDescent="0.3">
      <c r="H5684" s="11">
        <v>1</v>
      </c>
    </row>
    <row r="5685" spans="6:8" x14ac:dyDescent="0.3">
      <c r="F5685" s="11">
        <v>8.7872219999999999</v>
      </c>
      <c r="G5685" s="11">
        <v>59.288611000000003</v>
      </c>
      <c r="H5685" s="11">
        <v>1</v>
      </c>
    </row>
    <row r="5686" spans="6:8" x14ac:dyDescent="0.3">
      <c r="F5686" s="11">
        <v>8.7308330000000005</v>
      </c>
      <c r="G5686" s="11">
        <v>59.305</v>
      </c>
      <c r="H5686" s="11">
        <v>1</v>
      </c>
    </row>
    <row r="5687" spans="6:8" x14ac:dyDescent="0.3">
      <c r="F5687" s="11">
        <v>8.8919440000000005</v>
      </c>
      <c r="G5687" s="11">
        <v>59.306666999999997</v>
      </c>
      <c r="H5687" s="11">
        <v>1</v>
      </c>
    </row>
    <row r="5688" spans="6:8" x14ac:dyDescent="0.3">
      <c r="H5688" s="11">
        <v>1</v>
      </c>
    </row>
    <row r="5689" spans="6:8" x14ac:dyDescent="0.3">
      <c r="F5689" s="11">
        <v>8.4713890000000003</v>
      </c>
      <c r="G5689" s="11">
        <v>59.240833000000002</v>
      </c>
      <c r="H5689" s="11">
        <v>1</v>
      </c>
    </row>
    <row r="5690" spans="6:8" x14ac:dyDescent="0.3">
      <c r="F5690" s="11">
        <v>8.4738889999999998</v>
      </c>
      <c r="G5690" s="11">
        <v>59.151667000000003</v>
      </c>
      <c r="H5690" s="11">
        <v>1</v>
      </c>
    </row>
    <row r="5691" spans="6:8" x14ac:dyDescent="0.3">
      <c r="F5691" s="11">
        <v>8.4911110000000001</v>
      </c>
      <c r="G5691" s="11">
        <v>59.070278000000002</v>
      </c>
      <c r="H5691" s="11">
        <v>1</v>
      </c>
    </row>
    <row r="5692" spans="6:8" x14ac:dyDescent="0.3">
      <c r="F5692" s="11">
        <v>8.4555559999999996</v>
      </c>
      <c r="G5692" s="11">
        <v>59.025556000000002</v>
      </c>
      <c r="H5692" s="11">
        <v>1</v>
      </c>
    </row>
    <row r="5693" spans="6:8" x14ac:dyDescent="0.3">
      <c r="F5693" s="11">
        <v>8.4477779999999996</v>
      </c>
      <c r="G5693" s="11">
        <v>59.107222</v>
      </c>
      <c r="H5693" s="11">
        <v>1</v>
      </c>
    </row>
    <row r="5694" spans="6:8" x14ac:dyDescent="0.3">
      <c r="F5694" s="11">
        <v>8.4219439999999999</v>
      </c>
      <c r="G5694" s="11">
        <v>59.187778000000002</v>
      </c>
      <c r="H5694" s="11">
        <v>1</v>
      </c>
    </row>
    <row r="5695" spans="6:8" x14ac:dyDescent="0.3">
      <c r="F5695" s="11">
        <v>8.4433330000000009</v>
      </c>
      <c r="G5695" s="11">
        <v>59.266944000000002</v>
      </c>
      <c r="H5695" s="11">
        <v>1</v>
      </c>
    </row>
    <row r="5696" spans="6:8" x14ac:dyDescent="0.3">
      <c r="F5696" s="11">
        <v>8.4602780000000006</v>
      </c>
      <c r="G5696" s="11">
        <v>59.311667</v>
      </c>
      <c r="H5696" s="11">
        <v>1</v>
      </c>
    </row>
    <row r="5697" spans="6:8" x14ac:dyDescent="0.3">
      <c r="H5697" s="11">
        <v>1</v>
      </c>
    </row>
    <row r="5698" spans="6:8" x14ac:dyDescent="0.3">
      <c r="F5698" s="11">
        <v>8.1011109999999995</v>
      </c>
      <c r="G5698" s="11">
        <v>59.115000000000002</v>
      </c>
      <c r="H5698" s="11">
        <v>1</v>
      </c>
    </row>
    <row r="5699" spans="6:8" x14ac:dyDescent="0.3">
      <c r="F5699" s="11">
        <v>8.2247219999999999</v>
      </c>
      <c r="G5699" s="11">
        <v>59.073332999999998</v>
      </c>
      <c r="H5699" s="11">
        <v>1</v>
      </c>
    </row>
    <row r="5700" spans="6:8" x14ac:dyDescent="0.3">
      <c r="F5700" s="11">
        <v>8.2433329999999998</v>
      </c>
      <c r="G5700" s="11">
        <v>58.996110999999999</v>
      </c>
      <c r="H5700" s="11">
        <v>1</v>
      </c>
    </row>
    <row r="5701" spans="6:8" x14ac:dyDescent="0.3">
      <c r="F5701" s="11">
        <v>8.1616669999999996</v>
      </c>
      <c r="G5701" s="11">
        <v>59.056111000000001</v>
      </c>
      <c r="H5701" s="11">
        <v>1</v>
      </c>
    </row>
    <row r="5702" spans="6:8" x14ac:dyDescent="0.3">
      <c r="F5702" s="11">
        <v>8.0625</v>
      </c>
      <c r="G5702" s="11">
        <v>59.108333000000002</v>
      </c>
      <c r="H5702" s="11">
        <v>1</v>
      </c>
    </row>
    <row r="5703" spans="6:8" x14ac:dyDescent="0.3">
      <c r="F5703" s="11">
        <v>8.0416670000000003</v>
      </c>
      <c r="G5703" s="11">
        <v>59.183610999999999</v>
      </c>
      <c r="H5703" s="11">
        <v>1</v>
      </c>
    </row>
    <row r="5704" spans="6:8" x14ac:dyDescent="0.3">
      <c r="H5704" s="11">
        <v>1</v>
      </c>
    </row>
    <row r="5705" spans="6:8" x14ac:dyDescent="0.3">
      <c r="F5705" s="11">
        <v>8.2083329999999997</v>
      </c>
      <c r="G5705" s="11">
        <v>59.41</v>
      </c>
      <c r="H5705" s="11">
        <v>1</v>
      </c>
    </row>
    <row r="5706" spans="6:8" x14ac:dyDescent="0.3">
      <c r="F5706" s="11">
        <v>8.3686109999999996</v>
      </c>
      <c r="G5706" s="11">
        <v>59.387500000000003</v>
      </c>
      <c r="H5706" s="11">
        <v>1</v>
      </c>
    </row>
    <row r="5707" spans="6:8" x14ac:dyDescent="0.3">
      <c r="F5707" s="11">
        <v>8.3333329999999997</v>
      </c>
      <c r="G5707" s="11">
        <v>59.370832999999998</v>
      </c>
      <c r="H5707" s="11">
        <v>1</v>
      </c>
    </row>
    <row r="5708" spans="6:8" x14ac:dyDescent="0.3">
      <c r="F5708" s="11">
        <v>8.1747219999999992</v>
      </c>
      <c r="G5708" s="11">
        <v>59.395555999999999</v>
      </c>
      <c r="H5708" s="11">
        <v>1</v>
      </c>
    </row>
    <row r="5709" spans="6:8" x14ac:dyDescent="0.3">
      <c r="F5709" s="11">
        <v>8.0322220000000009</v>
      </c>
      <c r="G5709" s="11">
        <v>59.428055999999998</v>
      </c>
      <c r="H5709" s="11">
        <v>1</v>
      </c>
    </row>
    <row r="5710" spans="6:8" x14ac:dyDescent="0.3">
      <c r="H5710" s="11">
        <v>1</v>
      </c>
    </row>
    <row r="5711" spans="6:8" x14ac:dyDescent="0.3">
      <c r="F5711" s="11">
        <v>7.8397220000000001</v>
      </c>
      <c r="G5711" s="11">
        <v>59.720556000000002</v>
      </c>
      <c r="H5711" s="11">
        <v>1</v>
      </c>
    </row>
    <row r="5712" spans="6:8" x14ac:dyDescent="0.3">
      <c r="F5712" s="11">
        <v>7.9855559999999999</v>
      </c>
      <c r="G5712" s="11">
        <v>59.708055999999999</v>
      </c>
      <c r="H5712" s="11">
        <v>1</v>
      </c>
    </row>
    <row r="5713" spans="6:8" x14ac:dyDescent="0.3">
      <c r="F5713" s="11">
        <v>7.9966670000000004</v>
      </c>
      <c r="G5713" s="11">
        <v>59.656388999999997</v>
      </c>
      <c r="H5713" s="11">
        <v>1</v>
      </c>
    </row>
    <row r="5714" spans="6:8" x14ac:dyDescent="0.3">
      <c r="F5714" s="11">
        <v>7.8708330000000002</v>
      </c>
      <c r="G5714" s="11">
        <v>59.691667000000002</v>
      </c>
      <c r="H5714" s="11">
        <v>1</v>
      </c>
    </row>
    <row r="5715" spans="6:8" x14ac:dyDescent="0.3">
      <c r="F5715" s="11">
        <v>7.7688889999999997</v>
      </c>
      <c r="G5715" s="11">
        <v>59.741110999999997</v>
      </c>
      <c r="H5715" s="11">
        <v>1</v>
      </c>
    </row>
    <row r="5716" spans="6:8" x14ac:dyDescent="0.3">
      <c r="H5716" s="11">
        <v>1</v>
      </c>
    </row>
    <row r="5717" spans="6:8" x14ac:dyDescent="0.3">
      <c r="F5717" s="11">
        <v>8.0616669999999999</v>
      </c>
      <c r="G5717" s="11">
        <v>59.924444000000001</v>
      </c>
      <c r="H5717" s="11">
        <v>1</v>
      </c>
    </row>
    <row r="5718" spans="6:8" x14ac:dyDescent="0.3">
      <c r="F5718" s="11">
        <v>8.0813889999999997</v>
      </c>
      <c r="G5718" s="11">
        <v>59.865000000000002</v>
      </c>
      <c r="H5718" s="11">
        <v>1</v>
      </c>
    </row>
    <row r="5719" spans="6:8" x14ac:dyDescent="0.3">
      <c r="F5719" s="11">
        <v>8.2044440000000005</v>
      </c>
      <c r="G5719" s="11">
        <v>59.835833000000001</v>
      </c>
      <c r="H5719" s="11">
        <v>1</v>
      </c>
    </row>
    <row r="5720" spans="6:8" x14ac:dyDescent="0.3">
      <c r="F5720" s="11">
        <v>8.2563890000000004</v>
      </c>
      <c r="G5720" s="11">
        <v>59.801943999999999</v>
      </c>
      <c r="H5720" s="11">
        <v>1</v>
      </c>
    </row>
    <row r="5721" spans="6:8" x14ac:dyDescent="0.3">
      <c r="F5721" s="11">
        <v>8.1300000000000008</v>
      </c>
      <c r="G5721" s="11">
        <v>59.843611000000003</v>
      </c>
      <c r="H5721" s="11">
        <v>1</v>
      </c>
    </row>
    <row r="5722" spans="6:8" x14ac:dyDescent="0.3">
      <c r="F5722" s="11">
        <v>8.1405560000000001</v>
      </c>
      <c r="G5722" s="11">
        <v>59.788055999999997</v>
      </c>
      <c r="H5722" s="11">
        <v>1</v>
      </c>
    </row>
    <row r="5723" spans="6:8" x14ac:dyDescent="0.3">
      <c r="F5723" s="11">
        <v>8.1558329999999994</v>
      </c>
      <c r="G5723" s="11">
        <v>59.773055999999997</v>
      </c>
      <c r="H5723" s="11">
        <v>1</v>
      </c>
    </row>
    <row r="5724" spans="6:8" x14ac:dyDescent="0.3">
      <c r="F5724" s="11">
        <v>8.0347220000000004</v>
      </c>
      <c r="G5724" s="11">
        <v>59.813611000000002</v>
      </c>
      <c r="H5724" s="11">
        <v>1</v>
      </c>
    </row>
    <row r="5725" spans="6:8" x14ac:dyDescent="0.3">
      <c r="F5725" s="11">
        <v>7.9852780000000001</v>
      </c>
      <c r="G5725" s="11">
        <v>59.875556000000003</v>
      </c>
      <c r="H5725" s="11">
        <v>1</v>
      </c>
    </row>
    <row r="5726" spans="6:8" x14ac:dyDescent="0.3">
      <c r="F5726" s="11">
        <v>7.9969440000000001</v>
      </c>
      <c r="G5726" s="11">
        <v>59.940556000000001</v>
      </c>
      <c r="H5726" s="11">
        <v>1</v>
      </c>
    </row>
    <row r="5727" spans="6:8" x14ac:dyDescent="0.3">
      <c r="F5727" s="11">
        <v>7.9252779999999996</v>
      </c>
      <c r="G5727" s="11">
        <v>59.995277999999999</v>
      </c>
      <c r="H5727" s="11">
        <v>1</v>
      </c>
    </row>
    <row r="5728" spans="6:8" x14ac:dyDescent="0.3">
      <c r="H5728" s="11">
        <v>1</v>
      </c>
    </row>
    <row r="5729" spans="6:8" x14ac:dyDescent="0.3">
      <c r="F5729" s="11">
        <v>7.723611</v>
      </c>
      <c r="G5729" s="11">
        <v>60.160832999999997</v>
      </c>
      <c r="H5729" s="11">
        <v>1</v>
      </c>
    </row>
    <row r="5730" spans="6:8" x14ac:dyDescent="0.3">
      <c r="F5730" s="11">
        <v>7.69</v>
      </c>
      <c r="G5730" s="11">
        <v>60.159166999999997</v>
      </c>
      <c r="H5730" s="11">
        <v>1</v>
      </c>
    </row>
    <row r="5731" spans="6:8" x14ac:dyDescent="0.3">
      <c r="F5731" s="11">
        <v>7.545833</v>
      </c>
      <c r="G5731" s="11">
        <v>60.160277999999998</v>
      </c>
      <c r="H5731" s="11">
        <v>1</v>
      </c>
    </row>
    <row r="5732" spans="6:8" x14ac:dyDescent="0.3">
      <c r="H5732" s="11">
        <v>1</v>
      </c>
    </row>
    <row r="5733" spans="6:8" x14ac:dyDescent="0.3">
      <c r="F5733" s="11">
        <v>7.5588889999999997</v>
      </c>
      <c r="G5733" s="11">
        <v>59.842500000000001</v>
      </c>
      <c r="H5733" s="11">
        <v>1</v>
      </c>
    </row>
    <row r="5734" spans="6:8" x14ac:dyDescent="0.3">
      <c r="F5734" s="11">
        <v>7.4874999999999998</v>
      </c>
      <c r="G5734" s="11">
        <v>59.843611000000003</v>
      </c>
      <c r="H5734" s="11">
        <v>1</v>
      </c>
    </row>
    <row r="5735" spans="6:8" x14ac:dyDescent="0.3">
      <c r="H5735" s="11">
        <v>1</v>
      </c>
    </row>
    <row r="5736" spans="6:8" x14ac:dyDescent="0.3">
      <c r="F5736" s="11">
        <v>7.8072220000000003</v>
      </c>
      <c r="G5736" s="11">
        <v>58.777500000000003</v>
      </c>
      <c r="H5736" s="11">
        <v>1</v>
      </c>
    </row>
    <row r="5737" spans="6:8" x14ac:dyDescent="0.3">
      <c r="F5737" s="11">
        <v>7.7991669999999997</v>
      </c>
      <c r="G5737" s="11">
        <v>58.703333000000001</v>
      </c>
      <c r="H5737" s="11">
        <v>1</v>
      </c>
    </row>
    <row r="5738" spans="6:8" x14ac:dyDescent="0.3">
      <c r="F5738" s="11">
        <v>7.8002779999999996</v>
      </c>
      <c r="G5738" s="11">
        <v>58.617778000000001</v>
      </c>
      <c r="H5738" s="11">
        <v>1</v>
      </c>
    </row>
    <row r="5739" spans="6:8" x14ac:dyDescent="0.3">
      <c r="F5739" s="11">
        <v>7.7736109999999998</v>
      </c>
      <c r="G5739" s="11">
        <v>58.663611000000003</v>
      </c>
      <c r="H5739" s="11">
        <v>1</v>
      </c>
    </row>
    <row r="5740" spans="6:8" x14ac:dyDescent="0.3">
      <c r="F5740" s="11">
        <v>7.7941669999999998</v>
      </c>
      <c r="G5740" s="11">
        <v>58.741943999999997</v>
      </c>
      <c r="H5740" s="11">
        <v>1</v>
      </c>
    </row>
    <row r="5741" spans="6:8" x14ac:dyDescent="0.3">
      <c r="F5741" s="11">
        <v>7.7424999999999997</v>
      </c>
      <c r="G5741" s="11">
        <v>58.798611000000001</v>
      </c>
      <c r="H5741" s="11">
        <v>1</v>
      </c>
    </row>
    <row r="5742" spans="6:8" x14ac:dyDescent="0.3">
      <c r="H5742" s="11">
        <v>1</v>
      </c>
    </row>
    <row r="5743" spans="6:8" x14ac:dyDescent="0.3">
      <c r="F5743" s="11">
        <v>6.6886109999999999</v>
      </c>
      <c r="G5743" s="11">
        <v>58.572221999999996</v>
      </c>
      <c r="H5743" s="11">
        <v>1</v>
      </c>
    </row>
    <row r="5744" spans="6:8" x14ac:dyDescent="0.3">
      <c r="F5744" s="11">
        <v>6.6541670000000002</v>
      </c>
      <c r="G5744" s="11">
        <v>58.484444000000003</v>
      </c>
      <c r="H5744" s="11">
        <v>1</v>
      </c>
    </row>
    <row r="5745" spans="6:8" x14ac:dyDescent="0.3">
      <c r="F5745" s="11">
        <v>6.6269439999999999</v>
      </c>
      <c r="G5745" s="11">
        <v>58.453611000000002</v>
      </c>
      <c r="H5745" s="11">
        <v>1</v>
      </c>
    </row>
    <row r="5746" spans="6:8" x14ac:dyDescent="0.3">
      <c r="F5746" s="11">
        <v>6.6616669999999996</v>
      </c>
      <c r="G5746" s="11">
        <v>58.542777999999998</v>
      </c>
      <c r="H5746" s="11">
        <v>1</v>
      </c>
    </row>
    <row r="5747" spans="6:8" x14ac:dyDescent="0.3">
      <c r="F5747" s="11">
        <v>6.6602779999999999</v>
      </c>
      <c r="G5747" s="11">
        <v>58.638333000000003</v>
      </c>
      <c r="H5747" s="11">
        <v>1</v>
      </c>
    </row>
    <row r="5748" spans="6:8" x14ac:dyDescent="0.3">
      <c r="H5748" s="11">
        <v>1</v>
      </c>
    </row>
    <row r="5749" spans="6:8" x14ac:dyDescent="0.3">
      <c r="F5749" s="11">
        <v>6.5711110000000001</v>
      </c>
      <c r="G5749" s="11">
        <v>58.347499999999997</v>
      </c>
      <c r="H5749" s="11">
        <v>1</v>
      </c>
    </row>
    <row r="5750" spans="6:8" x14ac:dyDescent="0.3">
      <c r="F5750" s="11">
        <v>6.5530559999999998</v>
      </c>
      <c r="G5750" s="11">
        <v>58.375278000000002</v>
      </c>
      <c r="H5750" s="11">
        <v>1</v>
      </c>
    </row>
    <row r="5751" spans="6:8" x14ac:dyDescent="0.3">
      <c r="F5751" s="11">
        <v>6.5341670000000001</v>
      </c>
      <c r="G5751" s="11">
        <v>58.444721999999999</v>
      </c>
      <c r="H5751" s="11">
        <v>1</v>
      </c>
    </row>
    <row r="5752" spans="6:8" x14ac:dyDescent="0.3">
      <c r="H5752" s="11">
        <v>1</v>
      </c>
    </row>
    <row r="5753" spans="6:8" x14ac:dyDescent="0.3">
      <c r="F5753" s="11">
        <v>6.2725</v>
      </c>
      <c r="G5753" s="11">
        <v>61.912500000000001</v>
      </c>
      <c r="H5753" s="11">
        <v>1</v>
      </c>
    </row>
    <row r="5754" spans="6:8" x14ac:dyDescent="0.3">
      <c r="F5754" s="11">
        <v>6.1022220000000003</v>
      </c>
      <c r="G5754" s="11">
        <v>61.908332999999999</v>
      </c>
      <c r="H5754" s="11">
        <v>1</v>
      </c>
    </row>
    <row r="5755" spans="6:8" x14ac:dyDescent="0.3">
      <c r="F5755" s="11">
        <v>6.2794439999999998</v>
      </c>
      <c r="G5755" s="11">
        <v>61.923333</v>
      </c>
      <c r="H5755" s="11">
        <v>1</v>
      </c>
    </row>
    <row r="5756" spans="6:8" x14ac:dyDescent="0.3">
      <c r="F5756" s="11">
        <v>6.4074999999999998</v>
      </c>
      <c r="G5756" s="11">
        <v>61.965833000000003</v>
      </c>
      <c r="H5756" s="11">
        <v>1</v>
      </c>
    </row>
    <row r="5757" spans="6:8" x14ac:dyDescent="0.3">
      <c r="F5757" s="11">
        <v>6.4772220000000003</v>
      </c>
      <c r="G5757" s="11">
        <v>61.935833000000002</v>
      </c>
      <c r="H5757" s="11">
        <v>1</v>
      </c>
    </row>
    <row r="5758" spans="6:8" x14ac:dyDescent="0.3">
      <c r="H5758" s="11">
        <v>1</v>
      </c>
    </row>
    <row r="5759" spans="6:8" x14ac:dyDescent="0.3">
      <c r="F5759" s="11">
        <v>6.3416670000000002</v>
      </c>
      <c r="G5759" s="11">
        <v>61.704721999999997</v>
      </c>
      <c r="H5759" s="11">
        <v>1</v>
      </c>
    </row>
    <row r="5760" spans="6:8" x14ac:dyDescent="0.3">
      <c r="F5760" s="11">
        <v>6.3047219999999999</v>
      </c>
      <c r="G5760" s="11">
        <v>61.751666999999998</v>
      </c>
      <c r="H5760" s="11">
        <v>1</v>
      </c>
    </row>
    <row r="5761" spans="6:8" x14ac:dyDescent="0.3">
      <c r="F5761" s="11">
        <v>6.3661110000000001</v>
      </c>
      <c r="G5761" s="11">
        <v>61.688889000000003</v>
      </c>
      <c r="H5761" s="11">
        <v>1</v>
      </c>
    </row>
    <row r="5762" spans="6:8" x14ac:dyDescent="0.3">
      <c r="F5762" s="11">
        <v>6.4055559999999998</v>
      </c>
      <c r="G5762" s="11">
        <v>61.624443999999997</v>
      </c>
      <c r="H5762" s="11">
        <v>1</v>
      </c>
    </row>
  </sheetData>
  <pageMargins left="0.7" right="0.7" top="0.75" bottom="0.75" header="0.3" footer="0.3"/>
  <pageSetup paperSize="9" orientation="portrait" horizontalDpi="4294967293" verticalDpi="4294967293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908A97035E50478CBB3D7D199717A6" ma:contentTypeVersion="2" ma:contentTypeDescription="Create a new document." ma:contentTypeScope="" ma:versionID="feda9b42de18952db6fd06ce149db174">
  <xsd:schema xmlns:xsd="http://www.w3.org/2001/XMLSchema" xmlns:xs="http://www.w3.org/2001/XMLSchema" xmlns:p="http://schemas.microsoft.com/office/2006/metadata/properties" xmlns:ns2="99586898-a167-430f-9bd8-1309c133fb37" targetNamespace="http://schemas.microsoft.com/office/2006/metadata/properties" ma:root="true" ma:fieldsID="3736608a9f0712f7ca8f3f3f49c55d64" ns2:_="">
    <xsd:import namespace="99586898-a167-430f-9bd8-1309c133fb3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586898-a167-430f-9bd8-1309c133fb3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AA6EFEB-23B0-4C66-8A4C-4E7FFFD48E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586898-a167-430f-9bd8-1309c133fb3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5C00BD9-D20E-48D8-931F-6A64422C024D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99586898-a167-430f-9bd8-1309c133fb37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7DC4C78-4E34-4092-9A1E-28F61E9287F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6</vt:i4>
      </vt:variant>
    </vt:vector>
  </HeadingPairs>
  <TitlesOfParts>
    <vt:vector size="13" baseType="lpstr">
      <vt:lpstr>Help</vt:lpstr>
      <vt:lpstr>Invullen</vt:lpstr>
      <vt:lpstr>Kaart</vt:lpstr>
      <vt:lpstr>Printpagina &amp; prijzen</vt:lpstr>
      <vt:lpstr>Soortenlijst</vt:lpstr>
      <vt:lpstr>Sheet leegmaken</vt:lpstr>
      <vt:lpstr>Rect</vt:lpstr>
      <vt:lpstr>Help!Afdrukbereik</vt:lpstr>
      <vt:lpstr>Invullen!Afdrukbereik</vt:lpstr>
      <vt:lpstr>Kaart!Afdrukbereik</vt:lpstr>
      <vt:lpstr>'Printpagina &amp; prijzen'!Afdrukbereik</vt:lpstr>
      <vt:lpstr>SpeciesCode</vt:lpstr>
      <vt:lpstr>SpeciesCodeFullList</vt:lpstr>
    </vt:vector>
  </TitlesOfParts>
  <Company>Organisatie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Gebruiker</dc:creator>
  <cp:lastModifiedBy>Windows-gebruiker</cp:lastModifiedBy>
  <cp:lastPrinted>2017-12-20T13:51:27Z</cp:lastPrinted>
  <dcterms:created xsi:type="dcterms:W3CDTF">2014-11-11T18:32:41Z</dcterms:created>
  <dcterms:modified xsi:type="dcterms:W3CDTF">2018-01-23T14:00:48Z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0x0101007C908A97035E50478CBB3D7D199717A6</vt:lpwstr>
  </property>
</Properties>
</file>